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1" activeTab="1"/>
  </bookViews>
  <sheets>
    <sheet name="Sales_Profit_Region" sheetId="7" r:id="rId1"/>
    <sheet name="Category_SubCategory" sheetId="8" r:id="rId2"/>
    <sheet name="Ship_Mode" sheetId="3" r:id="rId3"/>
    <sheet name="Customer_Segment" sheetId="4" r:id="rId4"/>
    <sheet name="Order_Status" sheetId="5" r:id="rId5"/>
    <sheet name="Monthly_Sales" sheetId="6" r:id="rId6"/>
    <sheet name="cleaned_orders" sheetId="1" r:id="rId7"/>
    <sheet name="business_rules" sheetId="2" r:id="rId8"/>
  </sheets>
  <definedNames>
    <definedName name="_xlnm._FilterDatabase" localSheetId="6" hidden="1">cleaned_orders!$A$1:$AF$914</definedName>
  </definedNames>
  <calcPr calcId="144525"/>
  <pivotCaches>
    <pivotCache cacheId="13" r:id="rId9"/>
  </pivotCaches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2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" i="1"/>
  <c r="W805" i="1"/>
  <c r="U805" i="1" s="1"/>
  <c r="AB805" i="1" s="1"/>
  <c r="W806" i="1"/>
  <c r="U806" i="1" s="1"/>
  <c r="AB806" i="1" s="1"/>
  <c r="W807" i="1"/>
  <c r="U807" i="1" s="1"/>
  <c r="AB807" i="1" s="1"/>
  <c r="W808" i="1"/>
  <c r="U808" i="1" s="1"/>
  <c r="AB808" i="1" s="1"/>
  <c r="W809" i="1"/>
  <c r="U809" i="1" s="1"/>
  <c r="AB809" i="1" s="1"/>
  <c r="W810" i="1"/>
  <c r="U810" i="1" s="1"/>
  <c r="AB810" i="1" s="1"/>
  <c r="W811" i="1"/>
  <c r="U811" i="1" s="1"/>
  <c r="AB811" i="1" s="1"/>
  <c r="W812" i="1"/>
  <c r="U812" i="1" s="1"/>
  <c r="AB812" i="1" s="1"/>
  <c r="W813" i="1"/>
  <c r="U813" i="1" s="1"/>
  <c r="AB813" i="1" s="1"/>
  <c r="W814" i="1"/>
  <c r="U814" i="1" s="1"/>
  <c r="AB814" i="1" s="1"/>
  <c r="W815" i="1"/>
  <c r="U815" i="1" s="1"/>
  <c r="AB815" i="1" s="1"/>
  <c r="W816" i="1"/>
  <c r="U816" i="1" s="1"/>
  <c r="AB816" i="1" s="1"/>
  <c r="W817" i="1"/>
  <c r="U817" i="1" s="1"/>
  <c r="AB817" i="1" s="1"/>
  <c r="W818" i="1"/>
  <c r="U818" i="1" s="1"/>
  <c r="AB818" i="1" s="1"/>
  <c r="W819" i="1"/>
  <c r="U819" i="1" s="1"/>
  <c r="AB819" i="1" s="1"/>
  <c r="W820" i="1"/>
  <c r="U820" i="1" s="1"/>
  <c r="AB820" i="1" s="1"/>
  <c r="W821" i="1"/>
  <c r="U821" i="1" s="1"/>
  <c r="AB821" i="1" s="1"/>
  <c r="W822" i="1"/>
  <c r="U822" i="1" s="1"/>
  <c r="AB822" i="1" s="1"/>
  <c r="W823" i="1"/>
  <c r="U823" i="1" s="1"/>
  <c r="AB823" i="1" s="1"/>
  <c r="W824" i="1"/>
  <c r="U824" i="1" s="1"/>
  <c r="AB824" i="1" s="1"/>
  <c r="W825" i="1"/>
  <c r="U825" i="1" s="1"/>
  <c r="AB825" i="1" s="1"/>
  <c r="W826" i="1"/>
  <c r="U826" i="1" s="1"/>
  <c r="AB826" i="1" s="1"/>
  <c r="W827" i="1"/>
  <c r="U827" i="1" s="1"/>
  <c r="AB827" i="1" s="1"/>
  <c r="W828" i="1"/>
  <c r="U828" i="1" s="1"/>
  <c r="AB828" i="1" s="1"/>
  <c r="W829" i="1"/>
  <c r="U829" i="1" s="1"/>
  <c r="AB829" i="1" s="1"/>
  <c r="W830" i="1"/>
  <c r="U830" i="1" s="1"/>
  <c r="AB830" i="1" s="1"/>
  <c r="W831" i="1"/>
  <c r="U831" i="1" s="1"/>
  <c r="AB831" i="1" s="1"/>
  <c r="W832" i="1"/>
  <c r="U832" i="1" s="1"/>
  <c r="AB832" i="1" s="1"/>
  <c r="W833" i="1"/>
  <c r="U833" i="1" s="1"/>
  <c r="AB833" i="1" s="1"/>
  <c r="W834" i="1"/>
  <c r="U834" i="1" s="1"/>
  <c r="AB834" i="1" s="1"/>
  <c r="W835" i="1"/>
  <c r="U835" i="1" s="1"/>
  <c r="AB835" i="1" s="1"/>
  <c r="W836" i="1"/>
  <c r="U836" i="1" s="1"/>
  <c r="AB836" i="1" s="1"/>
  <c r="W837" i="1"/>
  <c r="U837" i="1" s="1"/>
  <c r="AB837" i="1" s="1"/>
  <c r="W838" i="1"/>
  <c r="U838" i="1" s="1"/>
  <c r="AB838" i="1" s="1"/>
  <c r="W839" i="1"/>
  <c r="U839" i="1" s="1"/>
  <c r="AB839" i="1" s="1"/>
  <c r="W840" i="1"/>
  <c r="U840" i="1" s="1"/>
  <c r="AB840" i="1" s="1"/>
  <c r="W841" i="1"/>
  <c r="U841" i="1" s="1"/>
  <c r="AB841" i="1" s="1"/>
  <c r="W842" i="1"/>
  <c r="U842" i="1" s="1"/>
  <c r="AB842" i="1" s="1"/>
  <c r="W843" i="1"/>
  <c r="U843" i="1" s="1"/>
  <c r="AB843" i="1" s="1"/>
  <c r="W844" i="1"/>
  <c r="U844" i="1" s="1"/>
  <c r="AB844" i="1" s="1"/>
  <c r="W845" i="1"/>
  <c r="U845" i="1" s="1"/>
  <c r="AB845" i="1" s="1"/>
  <c r="W846" i="1"/>
  <c r="U846" i="1" s="1"/>
  <c r="AB846" i="1" s="1"/>
  <c r="W847" i="1"/>
  <c r="U847" i="1" s="1"/>
  <c r="AB847" i="1" s="1"/>
  <c r="W848" i="1"/>
  <c r="U848" i="1" s="1"/>
  <c r="AB848" i="1" s="1"/>
  <c r="W849" i="1"/>
  <c r="U849" i="1" s="1"/>
  <c r="AB849" i="1" s="1"/>
  <c r="W850" i="1"/>
  <c r="U850" i="1" s="1"/>
  <c r="AB850" i="1" s="1"/>
  <c r="W851" i="1"/>
  <c r="U851" i="1" s="1"/>
  <c r="AB851" i="1" s="1"/>
  <c r="W852" i="1"/>
  <c r="U852" i="1" s="1"/>
  <c r="AB852" i="1" s="1"/>
  <c r="W853" i="1"/>
  <c r="U853" i="1" s="1"/>
  <c r="AB853" i="1" s="1"/>
  <c r="W854" i="1"/>
  <c r="U854" i="1" s="1"/>
  <c r="AB854" i="1" s="1"/>
  <c r="W855" i="1"/>
  <c r="U855" i="1" s="1"/>
  <c r="AB855" i="1" s="1"/>
  <c r="W856" i="1"/>
  <c r="U856" i="1" s="1"/>
  <c r="AB856" i="1" s="1"/>
  <c r="W857" i="1"/>
  <c r="U857" i="1" s="1"/>
  <c r="AB857" i="1" s="1"/>
  <c r="W858" i="1"/>
  <c r="U858" i="1" s="1"/>
  <c r="AB858" i="1" s="1"/>
  <c r="W859" i="1"/>
  <c r="U859" i="1" s="1"/>
  <c r="AB859" i="1" s="1"/>
  <c r="W860" i="1"/>
  <c r="U860" i="1" s="1"/>
  <c r="AB860" i="1" s="1"/>
  <c r="W861" i="1"/>
  <c r="U861" i="1" s="1"/>
  <c r="AB861" i="1" s="1"/>
  <c r="W862" i="1"/>
  <c r="U862" i="1" s="1"/>
  <c r="AB862" i="1" s="1"/>
  <c r="W863" i="1"/>
  <c r="U863" i="1" s="1"/>
  <c r="AB863" i="1" s="1"/>
  <c r="W864" i="1"/>
  <c r="U864" i="1" s="1"/>
  <c r="AB864" i="1" s="1"/>
  <c r="W865" i="1"/>
  <c r="U865" i="1" s="1"/>
  <c r="AB865" i="1" s="1"/>
  <c r="W866" i="1"/>
  <c r="U866" i="1" s="1"/>
  <c r="AB866" i="1" s="1"/>
  <c r="W867" i="1"/>
  <c r="U867" i="1" s="1"/>
  <c r="AB867" i="1" s="1"/>
  <c r="W868" i="1"/>
  <c r="U868" i="1" s="1"/>
  <c r="AB868" i="1" s="1"/>
  <c r="W869" i="1"/>
  <c r="U869" i="1" s="1"/>
  <c r="AB869" i="1" s="1"/>
  <c r="W870" i="1"/>
  <c r="U870" i="1" s="1"/>
  <c r="AB870" i="1" s="1"/>
  <c r="W871" i="1"/>
  <c r="U871" i="1" s="1"/>
  <c r="AB871" i="1" s="1"/>
  <c r="W872" i="1"/>
  <c r="U872" i="1" s="1"/>
  <c r="AB872" i="1" s="1"/>
  <c r="W873" i="1"/>
  <c r="U873" i="1" s="1"/>
  <c r="AB873" i="1" s="1"/>
  <c r="W874" i="1"/>
  <c r="U874" i="1" s="1"/>
  <c r="AB874" i="1" s="1"/>
  <c r="W875" i="1"/>
  <c r="U875" i="1" s="1"/>
  <c r="AB875" i="1" s="1"/>
  <c r="W876" i="1"/>
  <c r="U876" i="1" s="1"/>
  <c r="AB876" i="1" s="1"/>
  <c r="W877" i="1"/>
  <c r="U877" i="1" s="1"/>
  <c r="AB877" i="1" s="1"/>
  <c r="W878" i="1"/>
  <c r="U878" i="1" s="1"/>
  <c r="AB878" i="1" s="1"/>
  <c r="W879" i="1"/>
  <c r="U879" i="1" s="1"/>
  <c r="AB879" i="1" s="1"/>
  <c r="W880" i="1"/>
  <c r="U880" i="1" s="1"/>
  <c r="AB880" i="1" s="1"/>
  <c r="W881" i="1"/>
  <c r="U881" i="1" s="1"/>
  <c r="AB881" i="1" s="1"/>
  <c r="W882" i="1"/>
  <c r="U882" i="1" s="1"/>
  <c r="AB882" i="1" s="1"/>
  <c r="W883" i="1"/>
  <c r="U883" i="1" s="1"/>
  <c r="AB883" i="1" s="1"/>
  <c r="W884" i="1"/>
  <c r="U884" i="1" s="1"/>
  <c r="AB884" i="1" s="1"/>
  <c r="W885" i="1"/>
  <c r="U885" i="1" s="1"/>
  <c r="AB885" i="1" s="1"/>
  <c r="W886" i="1"/>
  <c r="U886" i="1" s="1"/>
  <c r="AB886" i="1" s="1"/>
  <c r="W887" i="1"/>
  <c r="U887" i="1" s="1"/>
  <c r="AB887" i="1" s="1"/>
  <c r="W888" i="1"/>
  <c r="U888" i="1" s="1"/>
  <c r="AB888" i="1" s="1"/>
  <c r="W889" i="1"/>
  <c r="U889" i="1" s="1"/>
  <c r="AB889" i="1" s="1"/>
  <c r="W890" i="1"/>
  <c r="U890" i="1" s="1"/>
  <c r="AB890" i="1" s="1"/>
  <c r="W891" i="1"/>
  <c r="U891" i="1" s="1"/>
  <c r="AB891" i="1" s="1"/>
  <c r="W892" i="1"/>
  <c r="U892" i="1" s="1"/>
  <c r="AB892" i="1" s="1"/>
  <c r="W893" i="1"/>
  <c r="U893" i="1" s="1"/>
  <c r="AB893" i="1" s="1"/>
  <c r="W894" i="1"/>
  <c r="U894" i="1" s="1"/>
  <c r="AB894" i="1" s="1"/>
  <c r="W895" i="1"/>
  <c r="U895" i="1" s="1"/>
  <c r="AB895" i="1" s="1"/>
  <c r="W896" i="1"/>
  <c r="U896" i="1" s="1"/>
  <c r="AB896" i="1" s="1"/>
  <c r="W897" i="1"/>
  <c r="U897" i="1" s="1"/>
  <c r="AB897" i="1" s="1"/>
  <c r="W898" i="1"/>
  <c r="U898" i="1" s="1"/>
  <c r="AB898" i="1" s="1"/>
  <c r="W899" i="1"/>
  <c r="U899" i="1" s="1"/>
  <c r="AB899" i="1" s="1"/>
  <c r="W900" i="1"/>
  <c r="U900" i="1" s="1"/>
  <c r="AB900" i="1" s="1"/>
  <c r="W901" i="1"/>
  <c r="U901" i="1" s="1"/>
  <c r="AB901" i="1" s="1"/>
  <c r="W902" i="1"/>
  <c r="U902" i="1" s="1"/>
  <c r="AB902" i="1" s="1"/>
  <c r="W903" i="1"/>
  <c r="U903" i="1" s="1"/>
  <c r="AB903" i="1" s="1"/>
  <c r="W904" i="1"/>
  <c r="U904" i="1" s="1"/>
  <c r="AB904" i="1" s="1"/>
  <c r="W905" i="1"/>
  <c r="U905" i="1" s="1"/>
  <c r="AB905" i="1" s="1"/>
  <c r="W906" i="1"/>
  <c r="U906" i="1" s="1"/>
  <c r="AB906" i="1" s="1"/>
  <c r="W907" i="1"/>
  <c r="U907" i="1" s="1"/>
  <c r="AB907" i="1" s="1"/>
  <c r="W908" i="1"/>
  <c r="U908" i="1" s="1"/>
  <c r="AB908" i="1" s="1"/>
  <c r="W909" i="1"/>
  <c r="U909" i="1" s="1"/>
  <c r="AB909" i="1" s="1"/>
  <c r="W910" i="1"/>
  <c r="U910" i="1" s="1"/>
  <c r="AB910" i="1" s="1"/>
  <c r="W911" i="1"/>
  <c r="U911" i="1" s="1"/>
  <c r="AB911" i="1" s="1"/>
  <c r="W912" i="1"/>
  <c r="U912" i="1" s="1"/>
  <c r="AB912" i="1" s="1"/>
  <c r="W913" i="1"/>
  <c r="U913" i="1" s="1"/>
  <c r="AB913" i="1" s="1"/>
  <c r="W914" i="1"/>
  <c r="U914" i="1" s="1"/>
  <c r="AB914" i="1" s="1"/>
  <c r="W145" i="1"/>
  <c r="U145" i="1" s="1"/>
  <c r="AB145" i="1" s="1"/>
  <c r="W146" i="1"/>
  <c r="U146" i="1" s="1"/>
  <c r="AB146" i="1" s="1"/>
  <c r="W147" i="1"/>
  <c r="U147" i="1" s="1"/>
  <c r="AB147" i="1" s="1"/>
  <c r="W148" i="1"/>
  <c r="U148" i="1" s="1"/>
  <c r="AB148" i="1" s="1"/>
  <c r="W149" i="1"/>
  <c r="U149" i="1" s="1"/>
  <c r="AB149" i="1" s="1"/>
  <c r="W150" i="1"/>
  <c r="U150" i="1" s="1"/>
  <c r="AB150" i="1" s="1"/>
  <c r="W151" i="1"/>
  <c r="U151" i="1" s="1"/>
  <c r="AB151" i="1" s="1"/>
  <c r="W152" i="1"/>
  <c r="U152" i="1" s="1"/>
  <c r="AB152" i="1" s="1"/>
  <c r="W153" i="1"/>
  <c r="U153" i="1" s="1"/>
  <c r="AB153" i="1" s="1"/>
  <c r="W154" i="1"/>
  <c r="U154" i="1" s="1"/>
  <c r="AB154" i="1" s="1"/>
  <c r="W155" i="1"/>
  <c r="U155" i="1" s="1"/>
  <c r="AB155" i="1" s="1"/>
  <c r="W156" i="1"/>
  <c r="U156" i="1" s="1"/>
  <c r="AB156" i="1" s="1"/>
  <c r="W157" i="1"/>
  <c r="U157" i="1" s="1"/>
  <c r="AB157" i="1" s="1"/>
  <c r="W158" i="1"/>
  <c r="U158" i="1" s="1"/>
  <c r="AB158" i="1" s="1"/>
  <c r="W159" i="1"/>
  <c r="U159" i="1" s="1"/>
  <c r="AB159" i="1" s="1"/>
  <c r="W160" i="1"/>
  <c r="U160" i="1" s="1"/>
  <c r="AB160" i="1" s="1"/>
  <c r="W161" i="1"/>
  <c r="U161" i="1" s="1"/>
  <c r="AB161" i="1" s="1"/>
  <c r="W162" i="1"/>
  <c r="U162" i="1" s="1"/>
  <c r="AB162" i="1" s="1"/>
  <c r="W163" i="1"/>
  <c r="U163" i="1" s="1"/>
  <c r="AB163" i="1" s="1"/>
  <c r="W164" i="1"/>
  <c r="U164" i="1" s="1"/>
  <c r="AB164" i="1" s="1"/>
  <c r="W165" i="1"/>
  <c r="U165" i="1" s="1"/>
  <c r="AB165" i="1" s="1"/>
  <c r="W166" i="1"/>
  <c r="U166" i="1" s="1"/>
  <c r="AB166" i="1" s="1"/>
  <c r="W167" i="1"/>
  <c r="U167" i="1" s="1"/>
  <c r="AB167" i="1" s="1"/>
  <c r="W168" i="1"/>
  <c r="U168" i="1" s="1"/>
  <c r="AB168" i="1" s="1"/>
  <c r="W169" i="1"/>
  <c r="U169" i="1" s="1"/>
  <c r="AB169" i="1" s="1"/>
  <c r="W170" i="1"/>
  <c r="U170" i="1" s="1"/>
  <c r="AB170" i="1" s="1"/>
  <c r="W171" i="1"/>
  <c r="U171" i="1" s="1"/>
  <c r="AB171" i="1" s="1"/>
  <c r="W172" i="1"/>
  <c r="U172" i="1" s="1"/>
  <c r="AB172" i="1" s="1"/>
  <c r="W173" i="1"/>
  <c r="U173" i="1" s="1"/>
  <c r="AB173" i="1" s="1"/>
  <c r="W174" i="1"/>
  <c r="U174" i="1" s="1"/>
  <c r="AB174" i="1" s="1"/>
  <c r="W175" i="1"/>
  <c r="U175" i="1" s="1"/>
  <c r="AB175" i="1" s="1"/>
  <c r="W176" i="1"/>
  <c r="U176" i="1" s="1"/>
  <c r="AB176" i="1" s="1"/>
  <c r="W177" i="1"/>
  <c r="U177" i="1" s="1"/>
  <c r="AB177" i="1" s="1"/>
  <c r="W178" i="1"/>
  <c r="U178" i="1" s="1"/>
  <c r="AB178" i="1" s="1"/>
  <c r="W179" i="1"/>
  <c r="U179" i="1" s="1"/>
  <c r="AB179" i="1" s="1"/>
  <c r="W180" i="1"/>
  <c r="U180" i="1" s="1"/>
  <c r="AB180" i="1" s="1"/>
  <c r="W181" i="1"/>
  <c r="U181" i="1" s="1"/>
  <c r="AB181" i="1" s="1"/>
  <c r="W182" i="1"/>
  <c r="U182" i="1" s="1"/>
  <c r="AB182" i="1" s="1"/>
  <c r="W183" i="1"/>
  <c r="U183" i="1" s="1"/>
  <c r="AB183" i="1" s="1"/>
  <c r="W184" i="1"/>
  <c r="U184" i="1" s="1"/>
  <c r="AB184" i="1" s="1"/>
  <c r="W185" i="1"/>
  <c r="U185" i="1" s="1"/>
  <c r="AB185" i="1" s="1"/>
  <c r="W186" i="1"/>
  <c r="U186" i="1" s="1"/>
  <c r="AB186" i="1" s="1"/>
  <c r="W187" i="1"/>
  <c r="U187" i="1" s="1"/>
  <c r="AB187" i="1" s="1"/>
  <c r="W188" i="1"/>
  <c r="U188" i="1" s="1"/>
  <c r="AB188" i="1" s="1"/>
  <c r="W189" i="1"/>
  <c r="U189" i="1" s="1"/>
  <c r="AB189" i="1" s="1"/>
  <c r="W190" i="1"/>
  <c r="U190" i="1" s="1"/>
  <c r="AB190" i="1" s="1"/>
  <c r="W191" i="1"/>
  <c r="U191" i="1" s="1"/>
  <c r="AB191" i="1" s="1"/>
  <c r="W192" i="1"/>
  <c r="U192" i="1" s="1"/>
  <c r="AB192" i="1" s="1"/>
  <c r="W193" i="1"/>
  <c r="U193" i="1" s="1"/>
  <c r="AB193" i="1" s="1"/>
  <c r="W194" i="1"/>
  <c r="U194" i="1" s="1"/>
  <c r="AB194" i="1" s="1"/>
  <c r="W195" i="1"/>
  <c r="U195" i="1" s="1"/>
  <c r="AB195" i="1" s="1"/>
  <c r="W196" i="1"/>
  <c r="U196" i="1" s="1"/>
  <c r="AB196" i="1" s="1"/>
  <c r="W197" i="1"/>
  <c r="U197" i="1" s="1"/>
  <c r="AB197" i="1" s="1"/>
  <c r="W198" i="1"/>
  <c r="U198" i="1" s="1"/>
  <c r="AB198" i="1" s="1"/>
  <c r="W199" i="1"/>
  <c r="U199" i="1" s="1"/>
  <c r="AB199" i="1" s="1"/>
  <c r="W200" i="1"/>
  <c r="U200" i="1" s="1"/>
  <c r="AB200" i="1" s="1"/>
  <c r="W201" i="1"/>
  <c r="U201" i="1" s="1"/>
  <c r="AB201" i="1" s="1"/>
  <c r="W202" i="1"/>
  <c r="U202" i="1" s="1"/>
  <c r="AB202" i="1" s="1"/>
  <c r="W203" i="1"/>
  <c r="U203" i="1" s="1"/>
  <c r="AB203" i="1" s="1"/>
  <c r="W204" i="1"/>
  <c r="U204" i="1" s="1"/>
  <c r="AB204" i="1" s="1"/>
  <c r="W205" i="1"/>
  <c r="U205" i="1" s="1"/>
  <c r="AB205" i="1" s="1"/>
  <c r="W206" i="1"/>
  <c r="U206" i="1" s="1"/>
  <c r="AB206" i="1" s="1"/>
  <c r="W207" i="1"/>
  <c r="U207" i="1" s="1"/>
  <c r="AB207" i="1" s="1"/>
  <c r="W208" i="1"/>
  <c r="U208" i="1" s="1"/>
  <c r="AB208" i="1" s="1"/>
  <c r="W209" i="1"/>
  <c r="U209" i="1" s="1"/>
  <c r="AB209" i="1" s="1"/>
  <c r="W210" i="1"/>
  <c r="U210" i="1" s="1"/>
  <c r="AB210" i="1" s="1"/>
  <c r="W211" i="1"/>
  <c r="U211" i="1" s="1"/>
  <c r="AB211" i="1" s="1"/>
  <c r="W212" i="1"/>
  <c r="U212" i="1" s="1"/>
  <c r="AB212" i="1" s="1"/>
  <c r="W213" i="1"/>
  <c r="U213" i="1" s="1"/>
  <c r="AB213" i="1" s="1"/>
  <c r="W214" i="1"/>
  <c r="U214" i="1" s="1"/>
  <c r="AB214" i="1" s="1"/>
  <c r="W215" i="1"/>
  <c r="U215" i="1" s="1"/>
  <c r="AB215" i="1" s="1"/>
  <c r="W216" i="1"/>
  <c r="U216" i="1" s="1"/>
  <c r="AB216" i="1" s="1"/>
  <c r="W217" i="1"/>
  <c r="U217" i="1" s="1"/>
  <c r="AB217" i="1" s="1"/>
  <c r="W218" i="1"/>
  <c r="U218" i="1" s="1"/>
  <c r="AB218" i="1" s="1"/>
  <c r="W219" i="1"/>
  <c r="U219" i="1" s="1"/>
  <c r="AB219" i="1" s="1"/>
  <c r="W220" i="1"/>
  <c r="U220" i="1" s="1"/>
  <c r="AB220" i="1" s="1"/>
  <c r="W221" i="1"/>
  <c r="U221" i="1" s="1"/>
  <c r="AB221" i="1" s="1"/>
  <c r="W222" i="1"/>
  <c r="U222" i="1" s="1"/>
  <c r="AB222" i="1" s="1"/>
  <c r="W223" i="1"/>
  <c r="U223" i="1" s="1"/>
  <c r="AB223" i="1" s="1"/>
  <c r="W224" i="1"/>
  <c r="U224" i="1" s="1"/>
  <c r="AB224" i="1" s="1"/>
  <c r="W225" i="1"/>
  <c r="U225" i="1" s="1"/>
  <c r="AB225" i="1" s="1"/>
  <c r="W226" i="1"/>
  <c r="U226" i="1" s="1"/>
  <c r="AB226" i="1" s="1"/>
  <c r="W227" i="1"/>
  <c r="U227" i="1" s="1"/>
  <c r="AB227" i="1" s="1"/>
  <c r="W228" i="1"/>
  <c r="U228" i="1" s="1"/>
  <c r="AB228" i="1" s="1"/>
  <c r="W229" i="1"/>
  <c r="U229" i="1" s="1"/>
  <c r="AB229" i="1" s="1"/>
  <c r="W230" i="1"/>
  <c r="U230" i="1" s="1"/>
  <c r="AB230" i="1" s="1"/>
  <c r="W231" i="1"/>
  <c r="U231" i="1" s="1"/>
  <c r="AB231" i="1" s="1"/>
  <c r="W232" i="1"/>
  <c r="U232" i="1" s="1"/>
  <c r="AB232" i="1" s="1"/>
  <c r="W233" i="1"/>
  <c r="U233" i="1" s="1"/>
  <c r="AB233" i="1" s="1"/>
  <c r="W234" i="1"/>
  <c r="U234" i="1" s="1"/>
  <c r="AB234" i="1" s="1"/>
  <c r="W235" i="1"/>
  <c r="U235" i="1" s="1"/>
  <c r="AB235" i="1" s="1"/>
  <c r="W236" i="1"/>
  <c r="U236" i="1" s="1"/>
  <c r="AB236" i="1" s="1"/>
  <c r="W237" i="1"/>
  <c r="U237" i="1" s="1"/>
  <c r="AB237" i="1" s="1"/>
  <c r="W238" i="1"/>
  <c r="U238" i="1" s="1"/>
  <c r="AB238" i="1" s="1"/>
  <c r="W239" i="1"/>
  <c r="U239" i="1" s="1"/>
  <c r="AB239" i="1" s="1"/>
  <c r="W240" i="1"/>
  <c r="U240" i="1" s="1"/>
  <c r="AB240" i="1" s="1"/>
  <c r="W241" i="1"/>
  <c r="U241" i="1" s="1"/>
  <c r="AB241" i="1" s="1"/>
  <c r="W242" i="1"/>
  <c r="U242" i="1" s="1"/>
  <c r="AB242" i="1" s="1"/>
  <c r="W243" i="1"/>
  <c r="U243" i="1" s="1"/>
  <c r="AB243" i="1" s="1"/>
  <c r="W244" i="1"/>
  <c r="U244" i="1" s="1"/>
  <c r="AB244" i="1" s="1"/>
  <c r="W245" i="1"/>
  <c r="U245" i="1" s="1"/>
  <c r="AB245" i="1" s="1"/>
  <c r="W246" i="1"/>
  <c r="U246" i="1" s="1"/>
  <c r="AB246" i="1" s="1"/>
  <c r="W247" i="1"/>
  <c r="U247" i="1" s="1"/>
  <c r="AB247" i="1" s="1"/>
  <c r="W248" i="1"/>
  <c r="U248" i="1" s="1"/>
  <c r="AB248" i="1" s="1"/>
  <c r="W249" i="1"/>
  <c r="U249" i="1" s="1"/>
  <c r="AB249" i="1" s="1"/>
  <c r="W250" i="1"/>
  <c r="U250" i="1" s="1"/>
  <c r="AB250" i="1" s="1"/>
  <c r="W251" i="1"/>
  <c r="U251" i="1" s="1"/>
  <c r="AB251" i="1" s="1"/>
  <c r="W252" i="1"/>
  <c r="U252" i="1" s="1"/>
  <c r="AB252" i="1" s="1"/>
  <c r="W253" i="1"/>
  <c r="U253" i="1" s="1"/>
  <c r="AB253" i="1" s="1"/>
  <c r="W254" i="1"/>
  <c r="U254" i="1" s="1"/>
  <c r="AB254" i="1" s="1"/>
  <c r="W255" i="1"/>
  <c r="U255" i="1" s="1"/>
  <c r="AB255" i="1" s="1"/>
  <c r="W256" i="1"/>
  <c r="U256" i="1" s="1"/>
  <c r="AB256" i="1" s="1"/>
  <c r="W257" i="1"/>
  <c r="U257" i="1" s="1"/>
  <c r="AB257" i="1" s="1"/>
  <c r="W258" i="1"/>
  <c r="U258" i="1" s="1"/>
  <c r="AB258" i="1" s="1"/>
  <c r="W259" i="1"/>
  <c r="U259" i="1" s="1"/>
  <c r="AB259" i="1" s="1"/>
  <c r="W260" i="1"/>
  <c r="U260" i="1" s="1"/>
  <c r="AB260" i="1" s="1"/>
  <c r="W261" i="1"/>
  <c r="U261" i="1" s="1"/>
  <c r="AB261" i="1" s="1"/>
  <c r="W262" i="1"/>
  <c r="U262" i="1" s="1"/>
  <c r="AB262" i="1" s="1"/>
  <c r="W263" i="1"/>
  <c r="U263" i="1" s="1"/>
  <c r="AB263" i="1" s="1"/>
  <c r="W264" i="1"/>
  <c r="U264" i="1" s="1"/>
  <c r="AB264" i="1" s="1"/>
  <c r="W265" i="1"/>
  <c r="U265" i="1" s="1"/>
  <c r="AB265" i="1" s="1"/>
  <c r="W266" i="1"/>
  <c r="U266" i="1" s="1"/>
  <c r="AB266" i="1" s="1"/>
  <c r="W267" i="1"/>
  <c r="U267" i="1" s="1"/>
  <c r="AB267" i="1" s="1"/>
  <c r="W268" i="1"/>
  <c r="U268" i="1" s="1"/>
  <c r="AB268" i="1" s="1"/>
  <c r="W269" i="1"/>
  <c r="U269" i="1" s="1"/>
  <c r="AB269" i="1" s="1"/>
  <c r="W270" i="1"/>
  <c r="U270" i="1" s="1"/>
  <c r="AB270" i="1" s="1"/>
  <c r="W271" i="1"/>
  <c r="U271" i="1" s="1"/>
  <c r="AB271" i="1" s="1"/>
  <c r="W272" i="1"/>
  <c r="U272" i="1" s="1"/>
  <c r="AB272" i="1" s="1"/>
  <c r="W273" i="1"/>
  <c r="U273" i="1" s="1"/>
  <c r="AB273" i="1" s="1"/>
  <c r="W274" i="1"/>
  <c r="U274" i="1" s="1"/>
  <c r="AB274" i="1" s="1"/>
  <c r="W275" i="1"/>
  <c r="U275" i="1" s="1"/>
  <c r="AB275" i="1" s="1"/>
  <c r="W276" i="1"/>
  <c r="U276" i="1" s="1"/>
  <c r="AB276" i="1" s="1"/>
  <c r="W277" i="1"/>
  <c r="U277" i="1" s="1"/>
  <c r="AB277" i="1" s="1"/>
  <c r="W278" i="1"/>
  <c r="U278" i="1" s="1"/>
  <c r="AB278" i="1" s="1"/>
  <c r="W279" i="1"/>
  <c r="U279" i="1" s="1"/>
  <c r="AB279" i="1" s="1"/>
  <c r="W280" i="1"/>
  <c r="U280" i="1" s="1"/>
  <c r="AB280" i="1" s="1"/>
  <c r="W281" i="1"/>
  <c r="U281" i="1" s="1"/>
  <c r="AB281" i="1" s="1"/>
  <c r="W282" i="1"/>
  <c r="U282" i="1" s="1"/>
  <c r="AB282" i="1" s="1"/>
  <c r="W283" i="1"/>
  <c r="U283" i="1" s="1"/>
  <c r="AB283" i="1" s="1"/>
  <c r="W284" i="1"/>
  <c r="U284" i="1" s="1"/>
  <c r="AB284" i="1" s="1"/>
  <c r="W285" i="1"/>
  <c r="U285" i="1" s="1"/>
  <c r="AB285" i="1" s="1"/>
  <c r="W286" i="1"/>
  <c r="U286" i="1" s="1"/>
  <c r="AB286" i="1" s="1"/>
  <c r="W287" i="1"/>
  <c r="U287" i="1" s="1"/>
  <c r="AB287" i="1" s="1"/>
  <c r="W288" i="1"/>
  <c r="U288" i="1" s="1"/>
  <c r="AB288" i="1" s="1"/>
  <c r="W289" i="1"/>
  <c r="U289" i="1" s="1"/>
  <c r="AB289" i="1" s="1"/>
  <c r="W290" i="1"/>
  <c r="U290" i="1" s="1"/>
  <c r="AB290" i="1" s="1"/>
  <c r="W291" i="1"/>
  <c r="U291" i="1" s="1"/>
  <c r="AB291" i="1" s="1"/>
  <c r="W292" i="1"/>
  <c r="U292" i="1" s="1"/>
  <c r="AB292" i="1" s="1"/>
  <c r="W293" i="1"/>
  <c r="U293" i="1" s="1"/>
  <c r="AB293" i="1" s="1"/>
  <c r="W294" i="1"/>
  <c r="U294" i="1" s="1"/>
  <c r="AB294" i="1" s="1"/>
  <c r="W295" i="1"/>
  <c r="U295" i="1" s="1"/>
  <c r="AB295" i="1" s="1"/>
  <c r="W296" i="1"/>
  <c r="U296" i="1" s="1"/>
  <c r="AB296" i="1" s="1"/>
  <c r="W297" i="1"/>
  <c r="U297" i="1" s="1"/>
  <c r="AB297" i="1" s="1"/>
  <c r="W298" i="1"/>
  <c r="U298" i="1" s="1"/>
  <c r="AB298" i="1" s="1"/>
  <c r="W299" i="1"/>
  <c r="U299" i="1" s="1"/>
  <c r="AB299" i="1" s="1"/>
  <c r="W300" i="1"/>
  <c r="U300" i="1" s="1"/>
  <c r="AB300" i="1" s="1"/>
  <c r="W301" i="1"/>
  <c r="U301" i="1" s="1"/>
  <c r="AB301" i="1" s="1"/>
  <c r="W302" i="1"/>
  <c r="U302" i="1" s="1"/>
  <c r="AB302" i="1" s="1"/>
  <c r="W303" i="1"/>
  <c r="U303" i="1" s="1"/>
  <c r="AB303" i="1" s="1"/>
  <c r="W304" i="1"/>
  <c r="U304" i="1" s="1"/>
  <c r="AB304" i="1" s="1"/>
  <c r="W305" i="1"/>
  <c r="U305" i="1" s="1"/>
  <c r="AB305" i="1" s="1"/>
  <c r="W306" i="1"/>
  <c r="U306" i="1" s="1"/>
  <c r="AB306" i="1" s="1"/>
  <c r="W307" i="1"/>
  <c r="U307" i="1" s="1"/>
  <c r="AB307" i="1" s="1"/>
  <c r="W308" i="1"/>
  <c r="U308" i="1" s="1"/>
  <c r="AB308" i="1" s="1"/>
  <c r="W309" i="1"/>
  <c r="U309" i="1" s="1"/>
  <c r="AB309" i="1" s="1"/>
  <c r="W310" i="1"/>
  <c r="U310" i="1" s="1"/>
  <c r="AB310" i="1" s="1"/>
  <c r="W311" i="1"/>
  <c r="U311" i="1" s="1"/>
  <c r="AB311" i="1" s="1"/>
  <c r="W312" i="1"/>
  <c r="U312" i="1" s="1"/>
  <c r="AB312" i="1" s="1"/>
  <c r="W313" i="1"/>
  <c r="U313" i="1" s="1"/>
  <c r="AB313" i="1" s="1"/>
  <c r="W314" i="1"/>
  <c r="U314" i="1" s="1"/>
  <c r="AB314" i="1" s="1"/>
  <c r="W315" i="1"/>
  <c r="U315" i="1" s="1"/>
  <c r="AB315" i="1" s="1"/>
  <c r="W316" i="1"/>
  <c r="U316" i="1" s="1"/>
  <c r="AB316" i="1" s="1"/>
  <c r="W317" i="1"/>
  <c r="U317" i="1" s="1"/>
  <c r="AB317" i="1" s="1"/>
  <c r="W318" i="1"/>
  <c r="U318" i="1" s="1"/>
  <c r="AB318" i="1" s="1"/>
  <c r="W319" i="1"/>
  <c r="U319" i="1" s="1"/>
  <c r="AB319" i="1" s="1"/>
  <c r="W320" i="1"/>
  <c r="U320" i="1" s="1"/>
  <c r="AB320" i="1" s="1"/>
  <c r="W321" i="1"/>
  <c r="U321" i="1" s="1"/>
  <c r="AB321" i="1" s="1"/>
  <c r="W322" i="1"/>
  <c r="U322" i="1" s="1"/>
  <c r="AB322" i="1" s="1"/>
  <c r="W323" i="1"/>
  <c r="U323" i="1" s="1"/>
  <c r="AB323" i="1" s="1"/>
  <c r="W324" i="1"/>
  <c r="U324" i="1" s="1"/>
  <c r="AB324" i="1" s="1"/>
  <c r="W325" i="1"/>
  <c r="U325" i="1" s="1"/>
  <c r="AB325" i="1" s="1"/>
  <c r="W326" i="1"/>
  <c r="U326" i="1" s="1"/>
  <c r="AB326" i="1" s="1"/>
  <c r="W327" i="1"/>
  <c r="U327" i="1" s="1"/>
  <c r="AB327" i="1" s="1"/>
  <c r="W328" i="1"/>
  <c r="U328" i="1" s="1"/>
  <c r="AB328" i="1" s="1"/>
  <c r="W329" i="1"/>
  <c r="U329" i="1" s="1"/>
  <c r="AB329" i="1" s="1"/>
  <c r="W330" i="1"/>
  <c r="U330" i="1" s="1"/>
  <c r="AB330" i="1" s="1"/>
  <c r="W331" i="1"/>
  <c r="U331" i="1" s="1"/>
  <c r="AB331" i="1" s="1"/>
  <c r="W332" i="1"/>
  <c r="U332" i="1" s="1"/>
  <c r="AB332" i="1" s="1"/>
  <c r="W333" i="1"/>
  <c r="U333" i="1" s="1"/>
  <c r="AB333" i="1" s="1"/>
  <c r="W334" i="1"/>
  <c r="U334" i="1" s="1"/>
  <c r="AB334" i="1" s="1"/>
  <c r="W335" i="1"/>
  <c r="U335" i="1" s="1"/>
  <c r="AB335" i="1" s="1"/>
  <c r="W336" i="1"/>
  <c r="U336" i="1" s="1"/>
  <c r="AB336" i="1" s="1"/>
  <c r="W337" i="1"/>
  <c r="U337" i="1" s="1"/>
  <c r="AB337" i="1" s="1"/>
  <c r="W338" i="1"/>
  <c r="U338" i="1" s="1"/>
  <c r="AB338" i="1" s="1"/>
  <c r="W339" i="1"/>
  <c r="U339" i="1" s="1"/>
  <c r="AB339" i="1" s="1"/>
  <c r="W340" i="1"/>
  <c r="U340" i="1" s="1"/>
  <c r="AB340" i="1" s="1"/>
  <c r="W341" i="1"/>
  <c r="U341" i="1" s="1"/>
  <c r="AB341" i="1" s="1"/>
  <c r="W342" i="1"/>
  <c r="U342" i="1" s="1"/>
  <c r="AB342" i="1" s="1"/>
  <c r="W343" i="1"/>
  <c r="U343" i="1" s="1"/>
  <c r="AB343" i="1" s="1"/>
  <c r="W344" i="1"/>
  <c r="U344" i="1" s="1"/>
  <c r="AB344" i="1" s="1"/>
  <c r="W345" i="1"/>
  <c r="U345" i="1" s="1"/>
  <c r="AB345" i="1" s="1"/>
  <c r="W346" i="1"/>
  <c r="U346" i="1" s="1"/>
  <c r="AB346" i="1" s="1"/>
  <c r="W347" i="1"/>
  <c r="U347" i="1" s="1"/>
  <c r="AB347" i="1" s="1"/>
  <c r="W348" i="1"/>
  <c r="U348" i="1" s="1"/>
  <c r="AB348" i="1" s="1"/>
  <c r="W349" i="1"/>
  <c r="U349" i="1" s="1"/>
  <c r="AB349" i="1" s="1"/>
  <c r="W350" i="1"/>
  <c r="U350" i="1" s="1"/>
  <c r="AB350" i="1" s="1"/>
  <c r="W351" i="1"/>
  <c r="U351" i="1" s="1"/>
  <c r="AB351" i="1" s="1"/>
  <c r="W352" i="1"/>
  <c r="U352" i="1" s="1"/>
  <c r="AB352" i="1" s="1"/>
  <c r="W353" i="1"/>
  <c r="U353" i="1" s="1"/>
  <c r="AB353" i="1" s="1"/>
  <c r="W354" i="1"/>
  <c r="U354" i="1" s="1"/>
  <c r="AB354" i="1" s="1"/>
  <c r="W355" i="1"/>
  <c r="U355" i="1" s="1"/>
  <c r="AB355" i="1" s="1"/>
  <c r="W356" i="1"/>
  <c r="U356" i="1" s="1"/>
  <c r="AB356" i="1" s="1"/>
  <c r="W357" i="1"/>
  <c r="U357" i="1" s="1"/>
  <c r="AB357" i="1" s="1"/>
  <c r="W358" i="1"/>
  <c r="U358" i="1" s="1"/>
  <c r="AB358" i="1" s="1"/>
  <c r="W359" i="1"/>
  <c r="U359" i="1" s="1"/>
  <c r="AB359" i="1" s="1"/>
  <c r="W360" i="1"/>
  <c r="U360" i="1" s="1"/>
  <c r="AB360" i="1" s="1"/>
  <c r="W361" i="1"/>
  <c r="U361" i="1" s="1"/>
  <c r="AB361" i="1" s="1"/>
  <c r="W362" i="1"/>
  <c r="U362" i="1" s="1"/>
  <c r="AB362" i="1" s="1"/>
  <c r="W363" i="1"/>
  <c r="U363" i="1" s="1"/>
  <c r="AB363" i="1" s="1"/>
  <c r="W364" i="1"/>
  <c r="U364" i="1" s="1"/>
  <c r="AB364" i="1" s="1"/>
  <c r="W365" i="1"/>
  <c r="U365" i="1" s="1"/>
  <c r="AB365" i="1" s="1"/>
  <c r="W366" i="1"/>
  <c r="U366" i="1" s="1"/>
  <c r="AB366" i="1" s="1"/>
  <c r="W367" i="1"/>
  <c r="U367" i="1" s="1"/>
  <c r="AB367" i="1" s="1"/>
  <c r="W368" i="1"/>
  <c r="U368" i="1" s="1"/>
  <c r="AB368" i="1" s="1"/>
  <c r="W369" i="1"/>
  <c r="U369" i="1" s="1"/>
  <c r="AB369" i="1" s="1"/>
  <c r="W370" i="1"/>
  <c r="U370" i="1" s="1"/>
  <c r="AB370" i="1" s="1"/>
  <c r="W371" i="1"/>
  <c r="U371" i="1" s="1"/>
  <c r="AB371" i="1" s="1"/>
  <c r="W372" i="1"/>
  <c r="U372" i="1" s="1"/>
  <c r="AB372" i="1" s="1"/>
  <c r="W373" i="1"/>
  <c r="U373" i="1" s="1"/>
  <c r="AB373" i="1" s="1"/>
  <c r="W374" i="1"/>
  <c r="U374" i="1" s="1"/>
  <c r="AB374" i="1" s="1"/>
  <c r="W375" i="1"/>
  <c r="U375" i="1" s="1"/>
  <c r="AB375" i="1" s="1"/>
  <c r="W376" i="1"/>
  <c r="U376" i="1" s="1"/>
  <c r="AB376" i="1" s="1"/>
  <c r="W377" i="1"/>
  <c r="U377" i="1" s="1"/>
  <c r="AB377" i="1" s="1"/>
  <c r="W378" i="1"/>
  <c r="U378" i="1" s="1"/>
  <c r="AB378" i="1" s="1"/>
  <c r="W379" i="1"/>
  <c r="U379" i="1" s="1"/>
  <c r="AB379" i="1" s="1"/>
  <c r="W380" i="1"/>
  <c r="U380" i="1" s="1"/>
  <c r="AB380" i="1" s="1"/>
  <c r="W381" i="1"/>
  <c r="U381" i="1" s="1"/>
  <c r="AB381" i="1" s="1"/>
  <c r="W382" i="1"/>
  <c r="U382" i="1" s="1"/>
  <c r="AB382" i="1" s="1"/>
  <c r="W383" i="1"/>
  <c r="U383" i="1" s="1"/>
  <c r="AB383" i="1" s="1"/>
  <c r="W384" i="1"/>
  <c r="U384" i="1" s="1"/>
  <c r="AB384" i="1" s="1"/>
  <c r="W385" i="1"/>
  <c r="U385" i="1" s="1"/>
  <c r="AB385" i="1" s="1"/>
  <c r="W386" i="1"/>
  <c r="U386" i="1" s="1"/>
  <c r="AB386" i="1" s="1"/>
  <c r="W387" i="1"/>
  <c r="U387" i="1" s="1"/>
  <c r="AB387" i="1" s="1"/>
  <c r="W388" i="1"/>
  <c r="U388" i="1" s="1"/>
  <c r="AB388" i="1" s="1"/>
  <c r="W389" i="1"/>
  <c r="U389" i="1" s="1"/>
  <c r="AB389" i="1" s="1"/>
  <c r="W390" i="1"/>
  <c r="U390" i="1" s="1"/>
  <c r="AB390" i="1" s="1"/>
  <c r="W391" i="1"/>
  <c r="U391" i="1" s="1"/>
  <c r="AB391" i="1" s="1"/>
  <c r="W392" i="1"/>
  <c r="U392" i="1" s="1"/>
  <c r="AB392" i="1" s="1"/>
  <c r="W393" i="1"/>
  <c r="U393" i="1" s="1"/>
  <c r="AB393" i="1" s="1"/>
  <c r="W394" i="1"/>
  <c r="U394" i="1" s="1"/>
  <c r="AB394" i="1" s="1"/>
  <c r="W395" i="1"/>
  <c r="U395" i="1" s="1"/>
  <c r="AB395" i="1" s="1"/>
  <c r="W396" i="1"/>
  <c r="U396" i="1" s="1"/>
  <c r="AB396" i="1" s="1"/>
  <c r="W397" i="1"/>
  <c r="U397" i="1" s="1"/>
  <c r="AB397" i="1" s="1"/>
  <c r="W398" i="1"/>
  <c r="U398" i="1" s="1"/>
  <c r="AB398" i="1" s="1"/>
  <c r="W399" i="1"/>
  <c r="U399" i="1" s="1"/>
  <c r="AB399" i="1" s="1"/>
  <c r="W400" i="1"/>
  <c r="U400" i="1" s="1"/>
  <c r="AB400" i="1" s="1"/>
  <c r="W401" i="1"/>
  <c r="U401" i="1" s="1"/>
  <c r="AB401" i="1" s="1"/>
  <c r="W402" i="1"/>
  <c r="U402" i="1" s="1"/>
  <c r="AB402" i="1" s="1"/>
  <c r="W403" i="1"/>
  <c r="U403" i="1" s="1"/>
  <c r="AB403" i="1" s="1"/>
  <c r="W404" i="1"/>
  <c r="U404" i="1" s="1"/>
  <c r="AB404" i="1" s="1"/>
  <c r="W405" i="1"/>
  <c r="U405" i="1" s="1"/>
  <c r="AB405" i="1" s="1"/>
  <c r="W406" i="1"/>
  <c r="U406" i="1" s="1"/>
  <c r="AB406" i="1" s="1"/>
  <c r="W407" i="1"/>
  <c r="U407" i="1" s="1"/>
  <c r="AB407" i="1" s="1"/>
  <c r="W408" i="1"/>
  <c r="U408" i="1" s="1"/>
  <c r="AB408" i="1" s="1"/>
  <c r="W409" i="1"/>
  <c r="U409" i="1" s="1"/>
  <c r="AB409" i="1" s="1"/>
  <c r="W410" i="1"/>
  <c r="U410" i="1" s="1"/>
  <c r="AB410" i="1" s="1"/>
  <c r="W411" i="1"/>
  <c r="U411" i="1" s="1"/>
  <c r="AB411" i="1" s="1"/>
  <c r="W412" i="1"/>
  <c r="U412" i="1" s="1"/>
  <c r="AB412" i="1" s="1"/>
  <c r="W413" i="1"/>
  <c r="U413" i="1" s="1"/>
  <c r="AB413" i="1" s="1"/>
  <c r="W414" i="1"/>
  <c r="U414" i="1" s="1"/>
  <c r="AB414" i="1" s="1"/>
  <c r="W415" i="1"/>
  <c r="U415" i="1" s="1"/>
  <c r="AB415" i="1" s="1"/>
  <c r="W416" i="1"/>
  <c r="U416" i="1" s="1"/>
  <c r="AB416" i="1" s="1"/>
  <c r="W417" i="1"/>
  <c r="U417" i="1" s="1"/>
  <c r="AB417" i="1" s="1"/>
  <c r="W418" i="1"/>
  <c r="U418" i="1" s="1"/>
  <c r="AB418" i="1" s="1"/>
  <c r="W419" i="1"/>
  <c r="U419" i="1" s="1"/>
  <c r="AB419" i="1" s="1"/>
  <c r="W420" i="1"/>
  <c r="U420" i="1" s="1"/>
  <c r="AB420" i="1" s="1"/>
  <c r="W421" i="1"/>
  <c r="U421" i="1" s="1"/>
  <c r="AB421" i="1" s="1"/>
  <c r="W422" i="1"/>
  <c r="U422" i="1" s="1"/>
  <c r="AB422" i="1" s="1"/>
  <c r="W423" i="1"/>
  <c r="U423" i="1" s="1"/>
  <c r="AB423" i="1" s="1"/>
  <c r="W424" i="1"/>
  <c r="U424" i="1" s="1"/>
  <c r="AB424" i="1" s="1"/>
  <c r="W425" i="1"/>
  <c r="U425" i="1" s="1"/>
  <c r="AB425" i="1" s="1"/>
  <c r="W426" i="1"/>
  <c r="U426" i="1" s="1"/>
  <c r="AB426" i="1" s="1"/>
  <c r="W427" i="1"/>
  <c r="U427" i="1" s="1"/>
  <c r="AB427" i="1" s="1"/>
  <c r="W428" i="1"/>
  <c r="U428" i="1" s="1"/>
  <c r="AB428" i="1" s="1"/>
  <c r="W429" i="1"/>
  <c r="U429" i="1" s="1"/>
  <c r="AB429" i="1" s="1"/>
  <c r="W430" i="1"/>
  <c r="U430" i="1" s="1"/>
  <c r="AB430" i="1" s="1"/>
  <c r="W431" i="1"/>
  <c r="U431" i="1" s="1"/>
  <c r="AB431" i="1" s="1"/>
  <c r="W432" i="1"/>
  <c r="U432" i="1" s="1"/>
  <c r="AB432" i="1" s="1"/>
  <c r="W433" i="1"/>
  <c r="U433" i="1" s="1"/>
  <c r="AB433" i="1" s="1"/>
  <c r="W434" i="1"/>
  <c r="U434" i="1" s="1"/>
  <c r="AB434" i="1" s="1"/>
  <c r="W435" i="1"/>
  <c r="U435" i="1" s="1"/>
  <c r="AB435" i="1" s="1"/>
  <c r="W436" i="1"/>
  <c r="U436" i="1" s="1"/>
  <c r="AB436" i="1" s="1"/>
  <c r="W437" i="1"/>
  <c r="U437" i="1" s="1"/>
  <c r="AB437" i="1" s="1"/>
  <c r="W438" i="1"/>
  <c r="U438" i="1" s="1"/>
  <c r="AB438" i="1" s="1"/>
  <c r="W439" i="1"/>
  <c r="U439" i="1" s="1"/>
  <c r="AB439" i="1" s="1"/>
  <c r="W440" i="1"/>
  <c r="U440" i="1" s="1"/>
  <c r="AB440" i="1" s="1"/>
  <c r="W441" i="1"/>
  <c r="U441" i="1" s="1"/>
  <c r="AB441" i="1" s="1"/>
  <c r="W442" i="1"/>
  <c r="U442" i="1" s="1"/>
  <c r="AB442" i="1" s="1"/>
  <c r="W443" i="1"/>
  <c r="U443" i="1" s="1"/>
  <c r="AB443" i="1" s="1"/>
  <c r="W444" i="1"/>
  <c r="U444" i="1" s="1"/>
  <c r="AB444" i="1" s="1"/>
  <c r="W445" i="1"/>
  <c r="U445" i="1" s="1"/>
  <c r="AB445" i="1" s="1"/>
  <c r="W446" i="1"/>
  <c r="U446" i="1" s="1"/>
  <c r="AB446" i="1" s="1"/>
  <c r="W447" i="1"/>
  <c r="U447" i="1" s="1"/>
  <c r="AB447" i="1" s="1"/>
  <c r="W448" i="1"/>
  <c r="U448" i="1" s="1"/>
  <c r="AB448" i="1" s="1"/>
  <c r="W449" i="1"/>
  <c r="U449" i="1" s="1"/>
  <c r="AB449" i="1" s="1"/>
  <c r="W450" i="1"/>
  <c r="U450" i="1" s="1"/>
  <c r="AB450" i="1" s="1"/>
  <c r="W451" i="1"/>
  <c r="U451" i="1" s="1"/>
  <c r="AB451" i="1" s="1"/>
  <c r="W452" i="1"/>
  <c r="U452" i="1" s="1"/>
  <c r="AB452" i="1" s="1"/>
  <c r="W453" i="1"/>
  <c r="U453" i="1" s="1"/>
  <c r="AB453" i="1" s="1"/>
  <c r="W454" i="1"/>
  <c r="U454" i="1" s="1"/>
  <c r="AB454" i="1" s="1"/>
  <c r="W455" i="1"/>
  <c r="U455" i="1" s="1"/>
  <c r="AB455" i="1" s="1"/>
  <c r="W456" i="1"/>
  <c r="U456" i="1" s="1"/>
  <c r="AB456" i="1" s="1"/>
  <c r="W457" i="1"/>
  <c r="U457" i="1" s="1"/>
  <c r="AB457" i="1" s="1"/>
  <c r="W458" i="1"/>
  <c r="U458" i="1" s="1"/>
  <c r="AB458" i="1" s="1"/>
  <c r="W459" i="1"/>
  <c r="U459" i="1" s="1"/>
  <c r="AB459" i="1" s="1"/>
  <c r="W460" i="1"/>
  <c r="U460" i="1" s="1"/>
  <c r="AB460" i="1" s="1"/>
  <c r="W461" i="1"/>
  <c r="U461" i="1" s="1"/>
  <c r="AB461" i="1" s="1"/>
  <c r="W462" i="1"/>
  <c r="U462" i="1" s="1"/>
  <c r="AB462" i="1" s="1"/>
  <c r="W463" i="1"/>
  <c r="U463" i="1" s="1"/>
  <c r="AB463" i="1" s="1"/>
  <c r="W464" i="1"/>
  <c r="U464" i="1" s="1"/>
  <c r="AB464" i="1" s="1"/>
  <c r="W465" i="1"/>
  <c r="U465" i="1" s="1"/>
  <c r="AB465" i="1" s="1"/>
  <c r="W466" i="1"/>
  <c r="U466" i="1" s="1"/>
  <c r="AB466" i="1" s="1"/>
  <c r="W467" i="1"/>
  <c r="U467" i="1" s="1"/>
  <c r="AB467" i="1" s="1"/>
  <c r="W468" i="1"/>
  <c r="U468" i="1" s="1"/>
  <c r="AB468" i="1" s="1"/>
  <c r="W469" i="1"/>
  <c r="U469" i="1" s="1"/>
  <c r="AB469" i="1" s="1"/>
  <c r="W470" i="1"/>
  <c r="U470" i="1" s="1"/>
  <c r="AB470" i="1" s="1"/>
  <c r="W471" i="1"/>
  <c r="U471" i="1" s="1"/>
  <c r="AB471" i="1" s="1"/>
  <c r="W472" i="1"/>
  <c r="U472" i="1" s="1"/>
  <c r="AB472" i="1" s="1"/>
  <c r="W473" i="1"/>
  <c r="U473" i="1" s="1"/>
  <c r="AB473" i="1" s="1"/>
  <c r="W474" i="1"/>
  <c r="U474" i="1" s="1"/>
  <c r="AB474" i="1" s="1"/>
  <c r="W475" i="1"/>
  <c r="U475" i="1" s="1"/>
  <c r="AB475" i="1" s="1"/>
  <c r="W476" i="1"/>
  <c r="U476" i="1" s="1"/>
  <c r="AB476" i="1" s="1"/>
  <c r="W477" i="1"/>
  <c r="U477" i="1" s="1"/>
  <c r="AB477" i="1" s="1"/>
  <c r="W478" i="1"/>
  <c r="U478" i="1" s="1"/>
  <c r="AB478" i="1" s="1"/>
  <c r="W479" i="1"/>
  <c r="U479" i="1" s="1"/>
  <c r="AB479" i="1" s="1"/>
  <c r="W480" i="1"/>
  <c r="U480" i="1" s="1"/>
  <c r="AB480" i="1" s="1"/>
  <c r="W481" i="1"/>
  <c r="U481" i="1" s="1"/>
  <c r="AB481" i="1" s="1"/>
  <c r="W482" i="1"/>
  <c r="U482" i="1" s="1"/>
  <c r="AB482" i="1" s="1"/>
  <c r="W483" i="1"/>
  <c r="U483" i="1" s="1"/>
  <c r="AB483" i="1" s="1"/>
  <c r="W484" i="1"/>
  <c r="U484" i="1" s="1"/>
  <c r="AB484" i="1" s="1"/>
  <c r="W485" i="1"/>
  <c r="U485" i="1" s="1"/>
  <c r="AB485" i="1" s="1"/>
  <c r="W486" i="1"/>
  <c r="U486" i="1" s="1"/>
  <c r="AB486" i="1" s="1"/>
  <c r="W487" i="1"/>
  <c r="U487" i="1" s="1"/>
  <c r="AB487" i="1" s="1"/>
  <c r="W488" i="1"/>
  <c r="U488" i="1" s="1"/>
  <c r="AB488" i="1" s="1"/>
  <c r="W489" i="1"/>
  <c r="U489" i="1" s="1"/>
  <c r="AB489" i="1" s="1"/>
  <c r="W490" i="1"/>
  <c r="U490" i="1" s="1"/>
  <c r="AB490" i="1" s="1"/>
  <c r="W491" i="1"/>
  <c r="U491" i="1" s="1"/>
  <c r="AB491" i="1" s="1"/>
  <c r="W492" i="1"/>
  <c r="U492" i="1" s="1"/>
  <c r="AB492" i="1" s="1"/>
  <c r="W493" i="1"/>
  <c r="U493" i="1" s="1"/>
  <c r="AB493" i="1" s="1"/>
  <c r="W494" i="1"/>
  <c r="U494" i="1" s="1"/>
  <c r="AB494" i="1" s="1"/>
  <c r="W495" i="1"/>
  <c r="U495" i="1" s="1"/>
  <c r="AB495" i="1" s="1"/>
  <c r="W496" i="1"/>
  <c r="U496" i="1" s="1"/>
  <c r="AB496" i="1" s="1"/>
  <c r="W497" i="1"/>
  <c r="U497" i="1" s="1"/>
  <c r="AB497" i="1" s="1"/>
  <c r="W498" i="1"/>
  <c r="U498" i="1" s="1"/>
  <c r="AB498" i="1" s="1"/>
  <c r="W499" i="1"/>
  <c r="U499" i="1" s="1"/>
  <c r="AB499" i="1" s="1"/>
  <c r="W500" i="1"/>
  <c r="U500" i="1" s="1"/>
  <c r="AB500" i="1" s="1"/>
  <c r="W501" i="1"/>
  <c r="U501" i="1" s="1"/>
  <c r="AB501" i="1" s="1"/>
  <c r="W502" i="1"/>
  <c r="U502" i="1" s="1"/>
  <c r="AB502" i="1" s="1"/>
  <c r="W503" i="1"/>
  <c r="U503" i="1" s="1"/>
  <c r="AB503" i="1" s="1"/>
  <c r="W504" i="1"/>
  <c r="U504" i="1" s="1"/>
  <c r="AB504" i="1" s="1"/>
  <c r="W505" i="1"/>
  <c r="U505" i="1" s="1"/>
  <c r="AB505" i="1" s="1"/>
  <c r="W506" i="1"/>
  <c r="U506" i="1" s="1"/>
  <c r="AB506" i="1" s="1"/>
  <c r="W507" i="1"/>
  <c r="U507" i="1" s="1"/>
  <c r="AB507" i="1" s="1"/>
  <c r="W508" i="1"/>
  <c r="U508" i="1" s="1"/>
  <c r="AB508" i="1" s="1"/>
  <c r="W509" i="1"/>
  <c r="U509" i="1" s="1"/>
  <c r="AB509" i="1" s="1"/>
  <c r="W510" i="1"/>
  <c r="U510" i="1" s="1"/>
  <c r="AB510" i="1" s="1"/>
  <c r="W511" i="1"/>
  <c r="U511" i="1" s="1"/>
  <c r="AB511" i="1" s="1"/>
  <c r="W512" i="1"/>
  <c r="U512" i="1" s="1"/>
  <c r="AB512" i="1" s="1"/>
  <c r="W513" i="1"/>
  <c r="U513" i="1" s="1"/>
  <c r="AB513" i="1" s="1"/>
  <c r="W514" i="1"/>
  <c r="U514" i="1" s="1"/>
  <c r="AB514" i="1" s="1"/>
  <c r="W515" i="1"/>
  <c r="U515" i="1" s="1"/>
  <c r="AB515" i="1" s="1"/>
  <c r="W516" i="1"/>
  <c r="U516" i="1" s="1"/>
  <c r="AB516" i="1" s="1"/>
  <c r="W517" i="1"/>
  <c r="U517" i="1" s="1"/>
  <c r="AB517" i="1" s="1"/>
  <c r="W518" i="1"/>
  <c r="U518" i="1" s="1"/>
  <c r="AB518" i="1" s="1"/>
  <c r="W519" i="1"/>
  <c r="U519" i="1" s="1"/>
  <c r="AB519" i="1" s="1"/>
  <c r="W520" i="1"/>
  <c r="U520" i="1" s="1"/>
  <c r="AB520" i="1" s="1"/>
  <c r="W521" i="1"/>
  <c r="U521" i="1" s="1"/>
  <c r="AB521" i="1" s="1"/>
  <c r="W522" i="1"/>
  <c r="U522" i="1" s="1"/>
  <c r="AB522" i="1" s="1"/>
  <c r="W523" i="1"/>
  <c r="U523" i="1" s="1"/>
  <c r="AB523" i="1" s="1"/>
  <c r="W524" i="1"/>
  <c r="U524" i="1" s="1"/>
  <c r="AB524" i="1" s="1"/>
  <c r="W525" i="1"/>
  <c r="U525" i="1" s="1"/>
  <c r="AB525" i="1" s="1"/>
  <c r="W526" i="1"/>
  <c r="U526" i="1" s="1"/>
  <c r="AB526" i="1" s="1"/>
  <c r="W527" i="1"/>
  <c r="U527" i="1" s="1"/>
  <c r="AB527" i="1" s="1"/>
  <c r="W528" i="1"/>
  <c r="U528" i="1" s="1"/>
  <c r="AB528" i="1" s="1"/>
  <c r="W529" i="1"/>
  <c r="U529" i="1" s="1"/>
  <c r="AB529" i="1" s="1"/>
  <c r="W530" i="1"/>
  <c r="U530" i="1" s="1"/>
  <c r="AB530" i="1" s="1"/>
  <c r="W531" i="1"/>
  <c r="U531" i="1" s="1"/>
  <c r="AB531" i="1" s="1"/>
  <c r="W532" i="1"/>
  <c r="U532" i="1" s="1"/>
  <c r="AB532" i="1" s="1"/>
  <c r="W533" i="1"/>
  <c r="U533" i="1" s="1"/>
  <c r="AB533" i="1" s="1"/>
  <c r="W534" i="1"/>
  <c r="U534" i="1" s="1"/>
  <c r="AB534" i="1" s="1"/>
  <c r="W535" i="1"/>
  <c r="U535" i="1" s="1"/>
  <c r="AB535" i="1" s="1"/>
  <c r="W536" i="1"/>
  <c r="U536" i="1" s="1"/>
  <c r="AB536" i="1" s="1"/>
  <c r="W537" i="1"/>
  <c r="U537" i="1" s="1"/>
  <c r="AB537" i="1" s="1"/>
  <c r="W538" i="1"/>
  <c r="U538" i="1" s="1"/>
  <c r="AB538" i="1" s="1"/>
  <c r="W539" i="1"/>
  <c r="U539" i="1" s="1"/>
  <c r="AB539" i="1" s="1"/>
  <c r="W540" i="1"/>
  <c r="U540" i="1" s="1"/>
  <c r="AB540" i="1" s="1"/>
  <c r="W541" i="1"/>
  <c r="U541" i="1" s="1"/>
  <c r="AB541" i="1" s="1"/>
  <c r="W542" i="1"/>
  <c r="U542" i="1" s="1"/>
  <c r="AB542" i="1" s="1"/>
  <c r="W543" i="1"/>
  <c r="U543" i="1" s="1"/>
  <c r="AB543" i="1" s="1"/>
  <c r="W544" i="1"/>
  <c r="U544" i="1" s="1"/>
  <c r="AB544" i="1" s="1"/>
  <c r="W545" i="1"/>
  <c r="U545" i="1" s="1"/>
  <c r="AB545" i="1" s="1"/>
  <c r="W546" i="1"/>
  <c r="U546" i="1" s="1"/>
  <c r="AB546" i="1" s="1"/>
  <c r="W547" i="1"/>
  <c r="U547" i="1" s="1"/>
  <c r="AB547" i="1" s="1"/>
  <c r="W548" i="1"/>
  <c r="U548" i="1" s="1"/>
  <c r="AB548" i="1" s="1"/>
  <c r="W549" i="1"/>
  <c r="U549" i="1" s="1"/>
  <c r="AB549" i="1" s="1"/>
  <c r="W550" i="1"/>
  <c r="U550" i="1" s="1"/>
  <c r="AB550" i="1" s="1"/>
  <c r="W551" i="1"/>
  <c r="U551" i="1" s="1"/>
  <c r="AB551" i="1" s="1"/>
  <c r="W552" i="1"/>
  <c r="U552" i="1" s="1"/>
  <c r="AB552" i="1" s="1"/>
  <c r="W553" i="1"/>
  <c r="U553" i="1" s="1"/>
  <c r="AB553" i="1" s="1"/>
  <c r="W554" i="1"/>
  <c r="U554" i="1" s="1"/>
  <c r="AB554" i="1" s="1"/>
  <c r="W555" i="1"/>
  <c r="U555" i="1" s="1"/>
  <c r="AB555" i="1" s="1"/>
  <c r="W556" i="1"/>
  <c r="U556" i="1" s="1"/>
  <c r="AB556" i="1" s="1"/>
  <c r="W557" i="1"/>
  <c r="U557" i="1" s="1"/>
  <c r="AB557" i="1" s="1"/>
  <c r="W558" i="1"/>
  <c r="U558" i="1" s="1"/>
  <c r="AB558" i="1" s="1"/>
  <c r="W559" i="1"/>
  <c r="U559" i="1" s="1"/>
  <c r="AB559" i="1" s="1"/>
  <c r="W560" i="1"/>
  <c r="U560" i="1" s="1"/>
  <c r="AB560" i="1" s="1"/>
  <c r="W561" i="1"/>
  <c r="U561" i="1" s="1"/>
  <c r="AB561" i="1" s="1"/>
  <c r="W562" i="1"/>
  <c r="U562" i="1" s="1"/>
  <c r="AB562" i="1" s="1"/>
  <c r="W563" i="1"/>
  <c r="U563" i="1" s="1"/>
  <c r="AB563" i="1" s="1"/>
  <c r="W564" i="1"/>
  <c r="U564" i="1" s="1"/>
  <c r="AB564" i="1" s="1"/>
  <c r="W565" i="1"/>
  <c r="U565" i="1" s="1"/>
  <c r="AB565" i="1" s="1"/>
  <c r="W566" i="1"/>
  <c r="U566" i="1" s="1"/>
  <c r="AB566" i="1" s="1"/>
  <c r="W567" i="1"/>
  <c r="U567" i="1" s="1"/>
  <c r="AB567" i="1" s="1"/>
  <c r="W568" i="1"/>
  <c r="U568" i="1" s="1"/>
  <c r="AB568" i="1" s="1"/>
  <c r="W569" i="1"/>
  <c r="U569" i="1" s="1"/>
  <c r="AB569" i="1" s="1"/>
  <c r="W570" i="1"/>
  <c r="U570" i="1" s="1"/>
  <c r="AB570" i="1" s="1"/>
  <c r="W571" i="1"/>
  <c r="U571" i="1" s="1"/>
  <c r="AB571" i="1" s="1"/>
  <c r="W572" i="1"/>
  <c r="U572" i="1" s="1"/>
  <c r="AB572" i="1" s="1"/>
  <c r="W573" i="1"/>
  <c r="U573" i="1" s="1"/>
  <c r="AB573" i="1" s="1"/>
  <c r="W574" i="1"/>
  <c r="U574" i="1" s="1"/>
  <c r="AB574" i="1" s="1"/>
  <c r="W575" i="1"/>
  <c r="U575" i="1" s="1"/>
  <c r="AB575" i="1" s="1"/>
  <c r="W576" i="1"/>
  <c r="U576" i="1" s="1"/>
  <c r="AB576" i="1" s="1"/>
  <c r="W577" i="1"/>
  <c r="U577" i="1" s="1"/>
  <c r="AB577" i="1" s="1"/>
  <c r="W578" i="1"/>
  <c r="U578" i="1" s="1"/>
  <c r="AB578" i="1" s="1"/>
  <c r="W579" i="1"/>
  <c r="U579" i="1" s="1"/>
  <c r="AB579" i="1" s="1"/>
  <c r="W580" i="1"/>
  <c r="U580" i="1" s="1"/>
  <c r="AB580" i="1" s="1"/>
  <c r="W581" i="1"/>
  <c r="U581" i="1" s="1"/>
  <c r="AB581" i="1" s="1"/>
  <c r="W582" i="1"/>
  <c r="U582" i="1" s="1"/>
  <c r="AB582" i="1" s="1"/>
  <c r="W583" i="1"/>
  <c r="U583" i="1" s="1"/>
  <c r="AB583" i="1" s="1"/>
  <c r="W584" i="1"/>
  <c r="U584" i="1" s="1"/>
  <c r="AB584" i="1" s="1"/>
  <c r="W585" i="1"/>
  <c r="U585" i="1" s="1"/>
  <c r="AB585" i="1" s="1"/>
  <c r="W586" i="1"/>
  <c r="U586" i="1" s="1"/>
  <c r="AB586" i="1" s="1"/>
  <c r="W587" i="1"/>
  <c r="U587" i="1" s="1"/>
  <c r="AB587" i="1" s="1"/>
  <c r="W588" i="1"/>
  <c r="U588" i="1" s="1"/>
  <c r="AB588" i="1" s="1"/>
  <c r="W589" i="1"/>
  <c r="U589" i="1" s="1"/>
  <c r="AB589" i="1" s="1"/>
  <c r="W590" i="1"/>
  <c r="U590" i="1" s="1"/>
  <c r="AB590" i="1" s="1"/>
  <c r="W591" i="1"/>
  <c r="U591" i="1" s="1"/>
  <c r="AB591" i="1" s="1"/>
  <c r="W592" i="1"/>
  <c r="U592" i="1" s="1"/>
  <c r="AB592" i="1" s="1"/>
  <c r="W593" i="1"/>
  <c r="U593" i="1" s="1"/>
  <c r="AB593" i="1" s="1"/>
  <c r="W594" i="1"/>
  <c r="U594" i="1" s="1"/>
  <c r="AB594" i="1" s="1"/>
  <c r="W595" i="1"/>
  <c r="U595" i="1" s="1"/>
  <c r="AB595" i="1" s="1"/>
  <c r="W596" i="1"/>
  <c r="U596" i="1" s="1"/>
  <c r="AB596" i="1" s="1"/>
  <c r="W597" i="1"/>
  <c r="U597" i="1" s="1"/>
  <c r="AB597" i="1" s="1"/>
  <c r="W598" i="1"/>
  <c r="U598" i="1" s="1"/>
  <c r="AB598" i="1" s="1"/>
  <c r="W599" i="1"/>
  <c r="U599" i="1" s="1"/>
  <c r="AB599" i="1" s="1"/>
  <c r="W600" i="1"/>
  <c r="U600" i="1" s="1"/>
  <c r="AB600" i="1" s="1"/>
  <c r="W601" i="1"/>
  <c r="U601" i="1" s="1"/>
  <c r="AB601" i="1" s="1"/>
  <c r="W602" i="1"/>
  <c r="U602" i="1" s="1"/>
  <c r="AB602" i="1" s="1"/>
  <c r="W603" i="1"/>
  <c r="U603" i="1" s="1"/>
  <c r="AB603" i="1" s="1"/>
  <c r="W604" i="1"/>
  <c r="U604" i="1" s="1"/>
  <c r="AB604" i="1" s="1"/>
  <c r="W605" i="1"/>
  <c r="U605" i="1" s="1"/>
  <c r="AB605" i="1" s="1"/>
  <c r="W606" i="1"/>
  <c r="U606" i="1" s="1"/>
  <c r="AB606" i="1" s="1"/>
  <c r="W607" i="1"/>
  <c r="U607" i="1" s="1"/>
  <c r="AB607" i="1" s="1"/>
  <c r="W608" i="1"/>
  <c r="U608" i="1" s="1"/>
  <c r="AB608" i="1" s="1"/>
  <c r="W609" i="1"/>
  <c r="U609" i="1" s="1"/>
  <c r="AB609" i="1" s="1"/>
  <c r="W610" i="1"/>
  <c r="U610" i="1" s="1"/>
  <c r="AB610" i="1" s="1"/>
  <c r="W611" i="1"/>
  <c r="U611" i="1" s="1"/>
  <c r="AB611" i="1" s="1"/>
  <c r="W612" i="1"/>
  <c r="U612" i="1" s="1"/>
  <c r="AB612" i="1" s="1"/>
  <c r="W613" i="1"/>
  <c r="U613" i="1" s="1"/>
  <c r="AB613" i="1" s="1"/>
  <c r="W614" i="1"/>
  <c r="U614" i="1" s="1"/>
  <c r="AB614" i="1" s="1"/>
  <c r="W615" i="1"/>
  <c r="U615" i="1" s="1"/>
  <c r="AB615" i="1" s="1"/>
  <c r="W616" i="1"/>
  <c r="U616" i="1" s="1"/>
  <c r="AB616" i="1" s="1"/>
  <c r="W617" i="1"/>
  <c r="U617" i="1" s="1"/>
  <c r="AB617" i="1" s="1"/>
  <c r="W618" i="1"/>
  <c r="U618" i="1" s="1"/>
  <c r="AB618" i="1" s="1"/>
  <c r="W619" i="1"/>
  <c r="U619" i="1" s="1"/>
  <c r="AB619" i="1" s="1"/>
  <c r="W620" i="1"/>
  <c r="U620" i="1" s="1"/>
  <c r="AB620" i="1" s="1"/>
  <c r="W621" i="1"/>
  <c r="U621" i="1" s="1"/>
  <c r="AB621" i="1" s="1"/>
  <c r="W622" i="1"/>
  <c r="U622" i="1" s="1"/>
  <c r="AB622" i="1" s="1"/>
  <c r="W623" i="1"/>
  <c r="U623" i="1" s="1"/>
  <c r="AB623" i="1" s="1"/>
  <c r="W624" i="1"/>
  <c r="U624" i="1" s="1"/>
  <c r="AB624" i="1" s="1"/>
  <c r="W625" i="1"/>
  <c r="U625" i="1" s="1"/>
  <c r="AB625" i="1" s="1"/>
  <c r="W626" i="1"/>
  <c r="U626" i="1" s="1"/>
  <c r="AB626" i="1" s="1"/>
  <c r="W627" i="1"/>
  <c r="U627" i="1" s="1"/>
  <c r="AB627" i="1" s="1"/>
  <c r="W628" i="1"/>
  <c r="U628" i="1" s="1"/>
  <c r="AB628" i="1" s="1"/>
  <c r="W629" i="1"/>
  <c r="U629" i="1" s="1"/>
  <c r="AB629" i="1" s="1"/>
  <c r="W630" i="1"/>
  <c r="U630" i="1" s="1"/>
  <c r="AB630" i="1" s="1"/>
  <c r="W631" i="1"/>
  <c r="U631" i="1" s="1"/>
  <c r="AB631" i="1" s="1"/>
  <c r="W632" i="1"/>
  <c r="U632" i="1" s="1"/>
  <c r="AB632" i="1" s="1"/>
  <c r="W633" i="1"/>
  <c r="U633" i="1" s="1"/>
  <c r="AB633" i="1" s="1"/>
  <c r="W634" i="1"/>
  <c r="U634" i="1" s="1"/>
  <c r="AB634" i="1" s="1"/>
  <c r="W635" i="1"/>
  <c r="U635" i="1" s="1"/>
  <c r="AB635" i="1" s="1"/>
  <c r="W636" i="1"/>
  <c r="U636" i="1" s="1"/>
  <c r="AB636" i="1" s="1"/>
  <c r="W637" i="1"/>
  <c r="U637" i="1" s="1"/>
  <c r="AB637" i="1" s="1"/>
  <c r="W638" i="1"/>
  <c r="U638" i="1" s="1"/>
  <c r="AB638" i="1" s="1"/>
  <c r="W639" i="1"/>
  <c r="U639" i="1" s="1"/>
  <c r="AB639" i="1" s="1"/>
  <c r="W640" i="1"/>
  <c r="U640" i="1" s="1"/>
  <c r="AB640" i="1" s="1"/>
  <c r="W641" i="1"/>
  <c r="U641" i="1" s="1"/>
  <c r="AB641" i="1" s="1"/>
  <c r="W642" i="1"/>
  <c r="U642" i="1" s="1"/>
  <c r="AB642" i="1" s="1"/>
  <c r="W643" i="1"/>
  <c r="U643" i="1" s="1"/>
  <c r="AB643" i="1" s="1"/>
  <c r="W644" i="1"/>
  <c r="U644" i="1" s="1"/>
  <c r="AB644" i="1" s="1"/>
  <c r="W645" i="1"/>
  <c r="U645" i="1" s="1"/>
  <c r="AB645" i="1" s="1"/>
  <c r="W646" i="1"/>
  <c r="U646" i="1" s="1"/>
  <c r="AB646" i="1" s="1"/>
  <c r="W647" i="1"/>
  <c r="U647" i="1" s="1"/>
  <c r="AB647" i="1" s="1"/>
  <c r="W648" i="1"/>
  <c r="U648" i="1" s="1"/>
  <c r="AB648" i="1" s="1"/>
  <c r="W649" i="1"/>
  <c r="U649" i="1" s="1"/>
  <c r="AB649" i="1" s="1"/>
  <c r="W650" i="1"/>
  <c r="U650" i="1" s="1"/>
  <c r="AB650" i="1" s="1"/>
  <c r="W651" i="1"/>
  <c r="U651" i="1" s="1"/>
  <c r="AB651" i="1" s="1"/>
  <c r="W652" i="1"/>
  <c r="U652" i="1" s="1"/>
  <c r="AB652" i="1" s="1"/>
  <c r="W653" i="1"/>
  <c r="U653" i="1" s="1"/>
  <c r="AB653" i="1" s="1"/>
  <c r="W654" i="1"/>
  <c r="U654" i="1" s="1"/>
  <c r="AB654" i="1" s="1"/>
  <c r="W655" i="1"/>
  <c r="U655" i="1" s="1"/>
  <c r="AB655" i="1" s="1"/>
  <c r="W656" i="1"/>
  <c r="U656" i="1" s="1"/>
  <c r="AB656" i="1" s="1"/>
  <c r="W657" i="1"/>
  <c r="U657" i="1" s="1"/>
  <c r="AB657" i="1" s="1"/>
  <c r="W658" i="1"/>
  <c r="U658" i="1" s="1"/>
  <c r="AB658" i="1" s="1"/>
  <c r="W659" i="1"/>
  <c r="U659" i="1" s="1"/>
  <c r="AB659" i="1" s="1"/>
  <c r="W660" i="1"/>
  <c r="U660" i="1" s="1"/>
  <c r="AB660" i="1" s="1"/>
  <c r="W661" i="1"/>
  <c r="U661" i="1" s="1"/>
  <c r="AB661" i="1" s="1"/>
  <c r="W662" i="1"/>
  <c r="U662" i="1" s="1"/>
  <c r="AB662" i="1" s="1"/>
  <c r="W663" i="1"/>
  <c r="U663" i="1" s="1"/>
  <c r="AB663" i="1" s="1"/>
  <c r="W664" i="1"/>
  <c r="U664" i="1" s="1"/>
  <c r="AB664" i="1" s="1"/>
  <c r="W665" i="1"/>
  <c r="U665" i="1" s="1"/>
  <c r="AB665" i="1" s="1"/>
  <c r="W666" i="1"/>
  <c r="U666" i="1" s="1"/>
  <c r="AB666" i="1" s="1"/>
  <c r="W667" i="1"/>
  <c r="U667" i="1" s="1"/>
  <c r="AB667" i="1" s="1"/>
  <c r="W668" i="1"/>
  <c r="U668" i="1" s="1"/>
  <c r="AB668" i="1" s="1"/>
  <c r="W669" i="1"/>
  <c r="U669" i="1" s="1"/>
  <c r="AB669" i="1" s="1"/>
  <c r="W670" i="1"/>
  <c r="U670" i="1" s="1"/>
  <c r="AB670" i="1" s="1"/>
  <c r="W671" i="1"/>
  <c r="U671" i="1" s="1"/>
  <c r="AB671" i="1" s="1"/>
  <c r="W672" i="1"/>
  <c r="U672" i="1" s="1"/>
  <c r="AB672" i="1" s="1"/>
  <c r="W673" i="1"/>
  <c r="U673" i="1" s="1"/>
  <c r="AB673" i="1" s="1"/>
  <c r="W674" i="1"/>
  <c r="U674" i="1" s="1"/>
  <c r="AB674" i="1" s="1"/>
  <c r="W675" i="1"/>
  <c r="U675" i="1" s="1"/>
  <c r="AB675" i="1" s="1"/>
  <c r="W676" i="1"/>
  <c r="U676" i="1" s="1"/>
  <c r="AB676" i="1" s="1"/>
  <c r="W677" i="1"/>
  <c r="U677" i="1" s="1"/>
  <c r="AB677" i="1" s="1"/>
  <c r="W678" i="1"/>
  <c r="U678" i="1" s="1"/>
  <c r="AB678" i="1" s="1"/>
  <c r="W679" i="1"/>
  <c r="U679" i="1" s="1"/>
  <c r="AB679" i="1" s="1"/>
  <c r="W680" i="1"/>
  <c r="U680" i="1" s="1"/>
  <c r="AB680" i="1" s="1"/>
  <c r="W681" i="1"/>
  <c r="U681" i="1" s="1"/>
  <c r="AB681" i="1" s="1"/>
  <c r="W682" i="1"/>
  <c r="U682" i="1" s="1"/>
  <c r="AB682" i="1" s="1"/>
  <c r="W683" i="1"/>
  <c r="U683" i="1" s="1"/>
  <c r="AB683" i="1" s="1"/>
  <c r="W684" i="1"/>
  <c r="U684" i="1" s="1"/>
  <c r="AB684" i="1" s="1"/>
  <c r="W685" i="1"/>
  <c r="U685" i="1" s="1"/>
  <c r="AB685" i="1" s="1"/>
  <c r="W686" i="1"/>
  <c r="U686" i="1" s="1"/>
  <c r="AB686" i="1" s="1"/>
  <c r="W687" i="1"/>
  <c r="U687" i="1" s="1"/>
  <c r="AB687" i="1" s="1"/>
  <c r="W688" i="1"/>
  <c r="U688" i="1" s="1"/>
  <c r="AB688" i="1" s="1"/>
  <c r="W689" i="1"/>
  <c r="U689" i="1" s="1"/>
  <c r="AB689" i="1" s="1"/>
  <c r="W690" i="1"/>
  <c r="U690" i="1" s="1"/>
  <c r="AB690" i="1" s="1"/>
  <c r="W691" i="1"/>
  <c r="U691" i="1" s="1"/>
  <c r="AB691" i="1" s="1"/>
  <c r="W692" i="1"/>
  <c r="U692" i="1" s="1"/>
  <c r="AB692" i="1" s="1"/>
  <c r="W693" i="1"/>
  <c r="U693" i="1" s="1"/>
  <c r="AB693" i="1" s="1"/>
  <c r="W694" i="1"/>
  <c r="U694" i="1" s="1"/>
  <c r="AB694" i="1" s="1"/>
  <c r="W695" i="1"/>
  <c r="U695" i="1" s="1"/>
  <c r="AB695" i="1" s="1"/>
  <c r="W696" i="1"/>
  <c r="U696" i="1" s="1"/>
  <c r="AB696" i="1" s="1"/>
  <c r="W697" i="1"/>
  <c r="U697" i="1" s="1"/>
  <c r="AB697" i="1" s="1"/>
  <c r="W698" i="1"/>
  <c r="U698" i="1" s="1"/>
  <c r="AB698" i="1" s="1"/>
  <c r="W699" i="1"/>
  <c r="U699" i="1" s="1"/>
  <c r="AB699" i="1" s="1"/>
  <c r="W700" i="1"/>
  <c r="U700" i="1" s="1"/>
  <c r="AB700" i="1" s="1"/>
  <c r="W701" i="1"/>
  <c r="U701" i="1" s="1"/>
  <c r="AB701" i="1" s="1"/>
  <c r="W702" i="1"/>
  <c r="U702" i="1" s="1"/>
  <c r="AB702" i="1" s="1"/>
  <c r="W703" i="1"/>
  <c r="U703" i="1" s="1"/>
  <c r="AB703" i="1" s="1"/>
  <c r="W704" i="1"/>
  <c r="U704" i="1" s="1"/>
  <c r="AB704" i="1" s="1"/>
  <c r="W705" i="1"/>
  <c r="U705" i="1" s="1"/>
  <c r="AB705" i="1" s="1"/>
  <c r="W706" i="1"/>
  <c r="U706" i="1" s="1"/>
  <c r="AB706" i="1" s="1"/>
  <c r="W707" i="1"/>
  <c r="U707" i="1" s="1"/>
  <c r="AB707" i="1" s="1"/>
  <c r="W708" i="1"/>
  <c r="U708" i="1" s="1"/>
  <c r="AB708" i="1" s="1"/>
  <c r="W709" i="1"/>
  <c r="U709" i="1" s="1"/>
  <c r="AB709" i="1" s="1"/>
  <c r="W710" i="1"/>
  <c r="U710" i="1" s="1"/>
  <c r="AB710" i="1" s="1"/>
  <c r="W711" i="1"/>
  <c r="U711" i="1" s="1"/>
  <c r="AB711" i="1" s="1"/>
  <c r="W712" i="1"/>
  <c r="U712" i="1" s="1"/>
  <c r="AB712" i="1" s="1"/>
  <c r="W713" i="1"/>
  <c r="U713" i="1" s="1"/>
  <c r="AB713" i="1" s="1"/>
  <c r="W714" i="1"/>
  <c r="U714" i="1" s="1"/>
  <c r="AB714" i="1" s="1"/>
  <c r="W715" i="1"/>
  <c r="U715" i="1" s="1"/>
  <c r="AB715" i="1" s="1"/>
  <c r="W716" i="1"/>
  <c r="U716" i="1" s="1"/>
  <c r="AB716" i="1" s="1"/>
  <c r="W717" i="1"/>
  <c r="U717" i="1" s="1"/>
  <c r="AB717" i="1" s="1"/>
  <c r="W718" i="1"/>
  <c r="U718" i="1" s="1"/>
  <c r="AB718" i="1" s="1"/>
  <c r="W719" i="1"/>
  <c r="U719" i="1" s="1"/>
  <c r="AB719" i="1" s="1"/>
  <c r="W720" i="1"/>
  <c r="U720" i="1" s="1"/>
  <c r="AB720" i="1" s="1"/>
  <c r="W721" i="1"/>
  <c r="U721" i="1" s="1"/>
  <c r="AB721" i="1" s="1"/>
  <c r="W722" i="1"/>
  <c r="U722" i="1" s="1"/>
  <c r="AB722" i="1" s="1"/>
  <c r="W723" i="1"/>
  <c r="U723" i="1" s="1"/>
  <c r="AB723" i="1" s="1"/>
  <c r="W724" i="1"/>
  <c r="U724" i="1" s="1"/>
  <c r="AB724" i="1" s="1"/>
  <c r="W725" i="1"/>
  <c r="U725" i="1" s="1"/>
  <c r="AB725" i="1" s="1"/>
  <c r="W726" i="1"/>
  <c r="U726" i="1" s="1"/>
  <c r="AB726" i="1" s="1"/>
  <c r="W727" i="1"/>
  <c r="U727" i="1" s="1"/>
  <c r="AB727" i="1" s="1"/>
  <c r="W728" i="1"/>
  <c r="U728" i="1" s="1"/>
  <c r="AB728" i="1" s="1"/>
  <c r="W729" i="1"/>
  <c r="U729" i="1" s="1"/>
  <c r="AB729" i="1" s="1"/>
  <c r="W730" i="1"/>
  <c r="U730" i="1" s="1"/>
  <c r="AB730" i="1" s="1"/>
  <c r="W731" i="1"/>
  <c r="U731" i="1" s="1"/>
  <c r="AB731" i="1" s="1"/>
  <c r="W732" i="1"/>
  <c r="U732" i="1" s="1"/>
  <c r="AB732" i="1" s="1"/>
  <c r="W733" i="1"/>
  <c r="U733" i="1" s="1"/>
  <c r="AB733" i="1" s="1"/>
  <c r="W734" i="1"/>
  <c r="U734" i="1" s="1"/>
  <c r="AB734" i="1" s="1"/>
  <c r="W735" i="1"/>
  <c r="U735" i="1" s="1"/>
  <c r="AB735" i="1" s="1"/>
  <c r="W736" i="1"/>
  <c r="U736" i="1" s="1"/>
  <c r="AB736" i="1" s="1"/>
  <c r="W737" i="1"/>
  <c r="U737" i="1" s="1"/>
  <c r="AB737" i="1" s="1"/>
  <c r="W738" i="1"/>
  <c r="U738" i="1" s="1"/>
  <c r="AB738" i="1" s="1"/>
  <c r="W739" i="1"/>
  <c r="U739" i="1" s="1"/>
  <c r="AB739" i="1" s="1"/>
  <c r="W740" i="1"/>
  <c r="U740" i="1" s="1"/>
  <c r="AB740" i="1" s="1"/>
  <c r="W741" i="1"/>
  <c r="U741" i="1" s="1"/>
  <c r="AB741" i="1" s="1"/>
  <c r="W742" i="1"/>
  <c r="U742" i="1" s="1"/>
  <c r="AB742" i="1" s="1"/>
  <c r="W743" i="1"/>
  <c r="U743" i="1" s="1"/>
  <c r="AB743" i="1" s="1"/>
  <c r="W744" i="1"/>
  <c r="U744" i="1" s="1"/>
  <c r="AB744" i="1" s="1"/>
  <c r="W745" i="1"/>
  <c r="U745" i="1" s="1"/>
  <c r="AB745" i="1" s="1"/>
  <c r="W746" i="1"/>
  <c r="U746" i="1" s="1"/>
  <c r="AB746" i="1" s="1"/>
  <c r="W747" i="1"/>
  <c r="U747" i="1" s="1"/>
  <c r="AB747" i="1" s="1"/>
  <c r="W748" i="1"/>
  <c r="U748" i="1" s="1"/>
  <c r="AB748" i="1" s="1"/>
  <c r="W749" i="1"/>
  <c r="U749" i="1" s="1"/>
  <c r="AB749" i="1" s="1"/>
  <c r="W750" i="1"/>
  <c r="U750" i="1" s="1"/>
  <c r="AB750" i="1" s="1"/>
  <c r="W751" i="1"/>
  <c r="U751" i="1" s="1"/>
  <c r="AB751" i="1" s="1"/>
  <c r="W752" i="1"/>
  <c r="U752" i="1" s="1"/>
  <c r="AB752" i="1" s="1"/>
  <c r="W753" i="1"/>
  <c r="U753" i="1" s="1"/>
  <c r="AB753" i="1" s="1"/>
  <c r="W754" i="1"/>
  <c r="U754" i="1" s="1"/>
  <c r="AB754" i="1" s="1"/>
  <c r="W755" i="1"/>
  <c r="U755" i="1" s="1"/>
  <c r="AB755" i="1" s="1"/>
  <c r="W756" i="1"/>
  <c r="U756" i="1" s="1"/>
  <c r="AB756" i="1" s="1"/>
  <c r="W757" i="1"/>
  <c r="U757" i="1" s="1"/>
  <c r="AB757" i="1" s="1"/>
  <c r="W758" i="1"/>
  <c r="U758" i="1" s="1"/>
  <c r="AB758" i="1" s="1"/>
  <c r="W759" i="1"/>
  <c r="U759" i="1" s="1"/>
  <c r="AB759" i="1" s="1"/>
  <c r="W760" i="1"/>
  <c r="U760" i="1" s="1"/>
  <c r="AB760" i="1" s="1"/>
  <c r="W761" i="1"/>
  <c r="U761" i="1" s="1"/>
  <c r="AB761" i="1" s="1"/>
  <c r="W762" i="1"/>
  <c r="U762" i="1" s="1"/>
  <c r="AB762" i="1" s="1"/>
  <c r="W763" i="1"/>
  <c r="U763" i="1" s="1"/>
  <c r="AB763" i="1" s="1"/>
  <c r="W764" i="1"/>
  <c r="U764" i="1" s="1"/>
  <c r="AB764" i="1" s="1"/>
  <c r="W765" i="1"/>
  <c r="U765" i="1" s="1"/>
  <c r="AB765" i="1" s="1"/>
  <c r="W766" i="1"/>
  <c r="U766" i="1" s="1"/>
  <c r="AB766" i="1" s="1"/>
  <c r="W767" i="1"/>
  <c r="U767" i="1" s="1"/>
  <c r="AB767" i="1" s="1"/>
  <c r="W768" i="1"/>
  <c r="U768" i="1" s="1"/>
  <c r="AB768" i="1" s="1"/>
  <c r="W769" i="1"/>
  <c r="U769" i="1" s="1"/>
  <c r="AB769" i="1" s="1"/>
  <c r="W770" i="1"/>
  <c r="U770" i="1" s="1"/>
  <c r="AB770" i="1" s="1"/>
  <c r="W771" i="1"/>
  <c r="U771" i="1" s="1"/>
  <c r="AB771" i="1" s="1"/>
  <c r="W772" i="1"/>
  <c r="U772" i="1" s="1"/>
  <c r="AB772" i="1" s="1"/>
  <c r="W773" i="1"/>
  <c r="U773" i="1" s="1"/>
  <c r="AB773" i="1" s="1"/>
  <c r="W774" i="1"/>
  <c r="U774" i="1" s="1"/>
  <c r="AB774" i="1" s="1"/>
  <c r="W775" i="1"/>
  <c r="U775" i="1" s="1"/>
  <c r="AB775" i="1" s="1"/>
  <c r="W776" i="1"/>
  <c r="U776" i="1" s="1"/>
  <c r="AB776" i="1" s="1"/>
  <c r="W777" i="1"/>
  <c r="U777" i="1" s="1"/>
  <c r="AB777" i="1" s="1"/>
  <c r="W778" i="1"/>
  <c r="U778" i="1" s="1"/>
  <c r="AB778" i="1" s="1"/>
  <c r="W779" i="1"/>
  <c r="U779" i="1" s="1"/>
  <c r="AB779" i="1" s="1"/>
  <c r="W780" i="1"/>
  <c r="U780" i="1" s="1"/>
  <c r="AB780" i="1" s="1"/>
  <c r="W781" i="1"/>
  <c r="U781" i="1" s="1"/>
  <c r="AB781" i="1" s="1"/>
  <c r="W782" i="1"/>
  <c r="U782" i="1" s="1"/>
  <c r="AB782" i="1" s="1"/>
  <c r="W783" i="1"/>
  <c r="U783" i="1" s="1"/>
  <c r="AB783" i="1" s="1"/>
  <c r="W784" i="1"/>
  <c r="U784" i="1" s="1"/>
  <c r="AB784" i="1" s="1"/>
  <c r="W785" i="1"/>
  <c r="U785" i="1" s="1"/>
  <c r="AB785" i="1" s="1"/>
  <c r="W786" i="1"/>
  <c r="U786" i="1" s="1"/>
  <c r="AB786" i="1" s="1"/>
  <c r="W787" i="1"/>
  <c r="U787" i="1" s="1"/>
  <c r="AB787" i="1" s="1"/>
  <c r="W788" i="1"/>
  <c r="U788" i="1" s="1"/>
  <c r="AB788" i="1" s="1"/>
  <c r="W789" i="1"/>
  <c r="U789" i="1" s="1"/>
  <c r="AB789" i="1" s="1"/>
  <c r="W790" i="1"/>
  <c r="U790" i="1" s="1"/>
  <c r="AB790" i="1" s="1"/>
  <c r="W791" i="1"/>
  <c r="U791" i="1" s="1"/>
  <c r="AB791" i="1" s="1"/>
  <c r="W792" i="1"/>
  <c r="U792" i="1" s="1"/>
  <c r="AB792" i="1" s="1"/>
  <c r="W793" i="1"/>
  <c r="U793" i="1" s="1"/>
  <c r="AB793" i="1" s="1"/>
  <c r="W794" i="1"/>
  <c r="U794" i="1" s="1"/>
  <c r="AB794" i="1" s="1"/>
  <c r="W795" i="1"/>
  <c r="U795" i="1" s="1"/>
  <c r="AB795" i="1" s="1"/>
  <c r="W796" i="1"/>
  <c r="U796" i="1" s="1"/>
  <c r="AB796" i="1" s="1"/>
  <c r="W797" i="1"/>
  <c r="U797" i="1" s="1"/>
  <c r="AB797" i="1" s="1"/>
  <c r="W798" i="1"/>
  <c r="U798" i="1" s="1"/>
  <c r="AB798" i="1" s="1"/>
  <c r="W799" i="1"/>
  <c r="U799" i="1" s="1"/>
  <c r="AB799" i="1" s="1"/>
  <c r="W800" i="1"/>
  <c r="U800" i="1" s="1"/>
  <c r="AB800" i="1" s="1"/>
  <c r="W801" i="1"/>
  <c r="U801" i="1" s="1"/>
  <c r="AB801" i="1" s="1"/>
  <c r="W802" i="1"/>
  <c r="U802" i="1" s="1"/>
  <c r="AB802" i="1" s="1"/>
  <c r="W803" i="1"/>
  <c r="U803" i="1" s="1"/>
  <c r="AB803" i="1" s="1"/>
  <c r="W804" i="1"/>
  <c r="U804" i="1" s="1"/>
  <c r="AB804" i="1" s="1"/>
  <c r="W3" i="1"/>
  <c r="U3" i="1" s="1"/>
  <c r="AB3" i="1" s="1"/>
  <c r="W4" i="1"/>
  <c r="U4" i="1" s="1"/>
  <c r="AB4" i="1" s="1"/>
  <c r="W5" i="1"/>
  <c r="U5" i="1" s="1"/>
  <c r="AB5" i="1" s="1"/>
  <c r="W6" i="1"/>
  <c r="U6" i="1" s="1"/>
  <c r="AB6" i="1" s="1"/>
  <c r="W7" i="1"/>
  <c r="U7" i="1" s="1"/>
  <c r="AB7" i="1" s="1"/>
  <c r="W8" i="1"/>
  <c r="U8" i="1" s="1"/>
  <c r="AB8" i="1" s="1"/>
  <c r="W9" i="1"/>
  <c r="U9" i="1" s="1"/>
  <c r="AB9" i="1" s="1"/>
  <c r="W10" i="1"/>
  <c r="U10" i="1" s="1"/>
  <c r="AB10" i="1" s="1"/>
  <c r="W11" i="1"/>
  <c r="U11" i="1" s="1"/>
  <c r="AB11" i="1" s="1"/>
  <c r="W12" i="1"/>
  <c r="U12" i="1" s="1"/>
  <c r="AB12" i="1" s="1"/>
  <c r="W13" i="1"/>
  <c r="U13" i="1" s="1"/>
  <c r="AB13" i="1" s="1"/>
  <c r="W14" i="1"/>
  <c r="U14" i="1" s="1"/>
  <c r="AB14" i="1" s="1"/>
  <c r="W15" i="1"/>
  <c r="U15" i="1" s="1"/>
  <c r="AB15" i="1" s="1"/>
  <c r="W16" i="1"/>
  <c r="U16" i="1" s="1"/>
  <c r="AB16" i="1" s="1"/>
  <c r="W17" i="1"/>
  <c r="U17" i="1" s="1"/>
  <c r="AB17" i="1" s="1"/>
  <c r="W18" i="1"/>
  <c r="U18" i="1" s="1"/>
  <c r="AB18" i="1" s="1"/>
  <c r="W19" i="1"/>
  <c r="U19" i="1" s="1"/>
  <c r="AB19" i="1" s="1"/>
  <c r="W20" i="1"/>
  <c r="U20" i="1" s="1"/>
  <c r="AB20" i="1" s="1"/>
  <c r="W21" i="1"/>
  <c r="U21" i="1" s="1"/>
  <c r="AB21" i="1" s="1"/>
  <c r="W22" i="1"/>
  <c r="U22" i="1" s="1"/>
  <c r="AB22" i="1" s="1"/>
  <c r="W23" i="1"/>
  <c r="U23" i="1" s="1"/>
  <c r="AB23" i="1" s="1"/>
  <c r="W24" i="1"/>
  <c r="U24" i="1" s="1"/>
  <c r="AB24" i="1" s="1"/>
  <c r="W25" i="1"/>
  <c r="U25" i="1" s="1"/>
  <c r="AB25" i="1" s="1"/>
  <c r="W26" i="1"/>
  <c r="U26" i="1" s="1"/>
  <c r="AB26" i="1" s="1"/>
  <c r="W27" i="1"/>
  <c r="U27" i="1" s="1"/>
  <c r="AB27" i="1" s="1"/>
  <c r="W28" i="1"/>
  <c r="U28" i="1" s="1"/>
  <c r="AB28" i="1" s="1"/>
  <c r="W29" i="1"/>
  <c r="U29" i="1" s="1"/>
  <c r="AB29" i="1" s="1"/>
  <c r="W30" i="1"/>
  <c r="U30" i="1" s="1"/>
  <c r="AB30" i="1" s="1"/>
  <c r="W31" i="1"/>
  <c r="U31" i="1" s="1"/>
  <c r="AB31" i="1" s="1"/>
  <c r="W32" i="1"/>
  <c r="U32" i="1" s="1"/>
  <c r="AB32" i="1" s="1"/>
  <c r="W33" i="1"/>
  <c r="U33" i="1" s="1"/>
  <c r="AB33" i="1" s="1"/>
  <c r="W34" i="1"/>
  <c r="U34" i="1" s="1"/>
  <c r="AB34" i="1" s="1"/>
  <c r="W35" i="1"/>
  <c r="U35" i="1" s="1"/>
  <c r="AB35" i="1" s="1"/>
  <c r="W36" i="1"/>
  <c r="U36" i="1" s="1"/>
  <c r="AB36" i="1" s="1"/>
  <c r="W37" i="1"/>
  <c r="U37" i="1" s="1"/>
  <c r="AB37" i="1" s="1"/>
  <c r="W38" i="1"/>
  <c r="U38" i="1" s="1"/>
  <c r="AB38" i="1" s="1"/>
  <c r="W39" i="1"/>
  <c r="U39" i="1" s="1"/>
  <c r="AB39" i="1" s="1"/>
  <c r="W40" i="1"/>
  <c r="U40" i="1" s="1"/>
  <c r="AB40" i="1" s="1"/>
  <c r="W41" i="1"/>
  <c r="U41" i="1" s="1"/>
  <c r="AB41" i="1" s="1"/>
  <c r="W42" i="1"/>
  <c r="U42" i="1" s="1"/>
  <c r="AB42" i="1" s="1"/>
  <c r="W43" i="1"/>
  <c r="U43" i="1" s="1"/>
  <c r="AB43" i="1" s="1"/>
  <c r="W44" i="1"/>
  <c r="U44" i="1" s="1"/>
  <c r="AB44" i="1" s="1"/>
  <c r="W45" i="1"/>
  <c r="U45" i="1" s="1"/>
  <c r="AB45" i="1" s="1"/>
  <c r="W46" i="1"/>
  <c r="U46" i="1" s="1"/>
  <c r="AB46" i="1" s="1"/>
  <c r="W47" i="1"/>
  <c r="U47" i="1" s="1"/>
  <c r="AB47" i="1" s="1"/>
  <c r="W48" i="1"/>
  <c r="U48" i="1" s="1"/>
  <c r="AB48" i="1" s="1"/>
  <c r="W49" i="1"/>
  <c r="U49" i="1" s="1"/>
  <c r="AB49" i="1" s="1"/>
  <c r="W50" i="1"/>
  <c r="U50" i="1" s="1"/>
  <c r="AB50" i="1" s="1"/>
  <c r="W51" i="1"/>
  <c r="U51" i="1" s="1"/>
  <c r="AB51" i="1" s="1"/>
  <c r="W52" i="1"/>
  <c r="U52" i="1" s="1"/>
  <c r="AB52" i="1" s="1"/>
  <c r="W53" i="1"/>
  <c r="U53" i="1" s="1"/>
  <c r="AB53" i="1" s="1"/>
  <c r="W54" i="1"/>
  <c r="U54" i="1" s="1"/>
  <c r="AB54" i="1" s="1"/>
  <c r="W55" i="1"/>
  <c r="U55" i="1" s="1"/>
  <c r="AB55" i="1" s="1"/>
  <c r="W56" i="1"/>
  <c r="U56" i="1" s="1"/>
  <c r="AB56" i="1" s="1"/>
  <c r="W57" i="1"/>
  <c r="U57" i="1" s="1"/>
  <c r="AB57" i="1" s="1"/>
  <c r="W58" i="1"/>
  <c r="U58" i="1" s="1"/>
  <c r="AB58" i="1" s="1"/>
  <c r="W59" i="1"/>
  <c r="U59" i="1" s="1"/>
  <c r="AB59" i="1" s="1"/>
  <c r="W60" i="1"/>
  <c r="U60" i="1" s="1"/>
  <c r="AB60" i="1" s="1"/>
  <c r="W61" i="1"/>
  <c r="U61" i="1" s="1"/>
  <c r="AB61" i="1" s="1"/>
  <c r="W62" i="1"/>
  <c r="U62" i="1" s="1"/>
  <c r="AB62" i="1" s="1"/>
  <c r="W63" i="1"/>
  <c r="U63" i="1" s="1"/>
  <c r="AB63" i="1" s="1"/>
  <c r="W64" i="1"/>
  <c r="U64" i="1" s="1"/>
  <c r="AB64" i="1" s="1"/>
  <c r="W65" i="1"/>
  <c r="U65" i="1" s="1"/>
  <c r="AB65" i="1" s="1"/>
  <c r="W66" i="1"/>
  <c r="U66" i="1" s="1"/>
  <c r="AB66" i="1" s="1"/>
  <c r="W67" i="1"/>
  <c r="U67" i="1" s="1"/>
  <c r="AB67" i="1" s="1"/>
  <c r="W68" i="1"/>
  <c r="U68" i="1" s="1"/>
  <c r="AB68" i="1" s="1"/>
  <c r="W69" i="1"/>
  <c r="U69" i="1" s="1"/>
  <c r="AB69" i="1" s="1"/>
  <c r="W70" i="1"/>
  <c r="U70" i="1" s="1"/>
  <c r="AB70" i="1" s="1"/>
  <c r="W71" i="1"/>
  <c r="U71" i="1" s="1"/>
  <c r="AB71" i="1" s="1"/>
  <c r="W72" i="1"/>
  <c r="U72" i="1" s="1"/>
  <c r="AB72" i="1" s="1"/>
  <c r="W73" i="1"/>
  <c r="U73" i="1" s="1"/>
  <c r="AB73" i="1" s="1"/>
  <c r="W74" i="1"/>
  <c r="U74" i="1" s="1"/>
  <c r="AB74" i="1" s="1"/>
  <c r="W75" i="1"/>
  <c r="U75" i="1" s="1"/>
  <c r="AB75" i="1" s="1"/>
  <c r="W76" i="1"/>
  <c r="U76" i="1" s="1"/>
  <c r="AB76" i="1" s="1"/>
  <c r="W77" i="1"/>
  <c r="U77" i="1" s="1"/>
  <c r="AB77" i="1" s="1"/>
  <c r="W78" i="1"/>
  <c r="U78" i="1" s="1"/>
  <c r="AB78" i="1" s="1"/>
  <c r="W79" i="1"/>
  <c r="U79" i="1" s="1"/>
  <c r="AB79" i="1" s="1"/>
  <c r="W80" i="1"/>
  <c r="U80" i="1" s="1"/>
  <c r="AB80" i="1" s="1"/>
  <c r="W81" i="1"/>
  <c r="U81" i="1" s="1"/>
  <c r="AB81" i="1" s="1"/>
  <c r="W82" i="1"/>
  <c r="U82" i="1" s="1"/>
  <c r="AB82" i="1" s="1"/>
  <c r="W83" i="1"/>
  <c r="U83" i="1" s="1"/>
  <c r="AB83" i="1" s="1"/>
  <c r="W84" i="1"/>
  <c r="U84" i="1" s="1"/>
  <c r="AB84" i="1" s="1"/>
  <c r="W85" i="1"/>
  <c r="U85" i="1" s="1"/>
  <c r="AB85" i="1" s="1"/>
  <c r="W86" i="1"/>
  <c r="U86" i="1" s="1"/>
  <c r="AB86" i="1" s="1"/>
  <c r="W87" i="1"/>
  <c r="U87" i="1" s="1"/>
  <c r="AB87" i="1" s="1"/>
  <c r="W88" i="1"/>
  <c r="U88" i="1" s="1"/>
  <c r="AB88" i="1" s="1"/>
  <c r="W89" i="1"/>
  <c r="U89" i="1" s="1"/>
  <c r="AB89" i="1" s="1"/>
  <c r="W90" i="1"/>
  <c r="U90" i="1" s="1"/>
  <c r="AB90" i="1" s="1"/>
  <c r="W91" i="1"/>
  <c r="U91" i="1" s="1"/>
  <c r="AB91" i="1" s="1"/>
  <c r="W92" i="1"/>
  <c r="U92" i="1" s="1"/>
  <c r="AB92" i="1" s="1"/>
  <c r="W93" i="1"/>
  <c r="U93" i="1" s="1"/>
  <c r="AB93" i="1" s="1"/>
  <c r="W94" i="1"/>
  <c r="U94" i="1" s="1"/>
  <c r="AB94" i="1" s="1"/>
  <c r="W95" i="1"/>
  <c r="U95" i="1" s="1"/>
  <c r="AB95" i="1" s="1"/>
  <c r="W96" i="1"/>
  <c r="U96" i="1" s="1"/>
  <c r="AB96" i="1" s="1"/>
  <c r="W97" i="1"/>
  <c r="U97" i="1" s="1"/>
  <c r="AB97" i="1" s="1"/>
  <c r="W98" i="1"/>
  <c r="U98" i="1" s="1"/>
  <c r="AB98" i="1" s="1"/>
  <c r="W99" i="1"/>
  <c r="U99" i="1" s="1"/>
  <c r="AB99" i="1" s="1"/>
  <c r="W100" i="1"/>
  <c r="U100" i="1" s="1"/>
  <c r="AB100" i="1" s="1"/>
  <c r="W101" i="1"/>
  <c r="U101" i="1" s="1"/>
  <c r="AB101" i="1" s="1"/>
  <c r="W102" i="1"/>
  <c r="U102" i="1" s="1"/>
  <c r="AB102" i="1" s="1"/>
  <c r="W103" i="1"/>
  <c r="U103" i="1" s="1"/>
  <c r="AB103" i="1" s="1"/>
  <c r="W104" i="1"/>
  <c r="U104" i="1" s="1"/>
  <c r="AB104" i="1" s="1"/>
  <c r="W105" i="1"/>
  <c r="U105" i="1" s="1"/>
  <c r="AB105" i="1" s="1"/>
  <c r="W106" i="1"/>
  <c r="U106" i="1" s="1"/>
  <c r="AB106" i="1" s="1"/>
  <c r="W107" i="1"/>
  <c r="U107" i="1" s="1"/>
  <c r="AB107" i="1" s="1"/>
  <c r="W108" i="1"/>
  <c r="U108" i="1" s="1"/>
  <c r="AB108" i="1" s="1"/>
  <c r="W109" i="1"/>
  <c r="U109" i="1" s="1"/>
  <c r="AB109" i="1" s="1"/>
  <c r="W110" i="1"/>
  <c r="U110" i="1" s="1"/>
  <c r="AB110" i="1" s="1"/>
  <c r="W111" i="1"/>
  <c r="U111" i="1" s="1"/>
  <c r="AB111" i="1" s="1"/>
  <c r="W112" i="1"/>
  <c r="U112" i="1" s="1"/>
  <c r="AB112" i="1" s="1"/>
  <c r="W113" i="1"/>
  <c r="U113" i="1" s="1"/>
  <c r="AB113" i="1" s="1"/>
  <c r="W114" i="1"/>
  <c r="U114" i="1" s="1"/>
  <c r="AB114" i="1" s="1"/>
  <c r="W115" i="1"/>
  <c r="U115" i="1" s="1"/>
  <c r="AB115" i="1" s="1"/>
  <c r="W116" i="1"/>
  <c r="U116" i="1" s="1"/>
  <c r="AB116" i="1" s="1"/>
  <c r="W117" i="1"/>
  <c r="U117" i="1" s="1"/>
  <c r="AB117" i="1" s="1"/>
  <c r="W118" i="1"/>
  <c r="U118" i="1" s="1"/>
  <c r="AB118" i="1" s="1"/>
  <c r="W119" i="1"/>
  <c r="U119" i="1" s="1"/>
  <c r="AB119" i="1" s="1"/>
  <c r="W120" i="1"/>
  <c r="U120" i="1" s="1"/>
  <c r="AB120" i="1" s="1"/>
  <c r="W121" i="1"/>
  <c r="U121" i="1" s="1"/>
  <c r="AB121" i="1" s="1"/>
  <c r="W122" i="1"/>
  <c r="U122" i="1" s="1"/>
  <c r="AB122" i="1" s="1"/>
  <c r="W123" i="1"/>
  <c r="U123" i="1" s="1"/>
  <c r="AB123" i="1" s="1"/>
  <c r="W124" i="1"/>
  <c r="U124" i="1" s="1"/>
  <c r="AB124" i="1" s="1"/>
  <c r="W125" i="1"/>
  <c r="U125" i="1" s="1"/>
  <c r="AB125" i="1" s="1"/>
  <c r="W126" i="1"/>
  <c r="U126" i="1" s="1"/>
  <c r="AB126" i="1" s="1"/>
  <c r="W127" i="1"/>
  <c r="U127" i="1" s="1"/>
  <c r="AB127" i="1" s="1"/>
  <c r="W128" i="1"/>
  <c r="U128" i="1" s="1"/>
  <c r="AB128" i="1" s="1"/>
  <c r="W129" i="1"/>
  <c r="U129" i="1" s="1"/>
  <c r="AB129" i="1" s="1"/>
  <c r="W130" i="1"/>
  <c r="U130" i="1" s="1"/>
  <c r="AB130" i="1" s="1"/>
  <c r="W131" i="1"/>
  <c r="U131" i="1" s="1"/>
  <c r="AB131" i="1" s="1"/>
  <c r="W132" i="1"/>
  <c r="U132" i="1" s="1"/>
  <c r="AB132" i="1" s="1"/>
  <c r="W133" i="1"/>
  <c r="U133" i="1" s="1"/>
  <c r="AB133" i="1" s="1"/>
  <c r="W134" i="1"/>
  <c r="U134" i="1" s="1"/>
  <c r="AB134" i="1" s="1"/>
  <c r="W135" i="1"/>
  <c r="U135" i="1" s="1"/>
  <c r="AB135" i="1" s="1"/>
  <c r="W136" i="1"/>
  <c r="U136" i="1" s="1"/>
  <c r="AB136" i="1" s="1"/>
  <c r="W137" i="1"/>
  <c r="U137" i="1" s="1"/>
  <c r="AB137" i="1" s="1"/>
  <c r="W138" i="1"/>
  <c r="U138" i="1" s="1"/>
  <c r="AB138" i="1" s="1"/>
  <c r="W139" i="1"/>
  <c r="U139" i="1" s="1"/>
  <c r="AB139" i="1" s="1"/>
  <c r="W140" i="1"/>
  <c r="U140" i="1" s="1"/>
  <c r="AB140" i="1" s="1"/>
  <c r="W141" i="1"/>
  <c r="U141" i="1" s="1"/>
  <c r="AB141" i="1" s="1"/>
  <c r="W142" i="1"/>
  <c r="U142" i="1" s="1"/>
  <c r="AB142" i="1" s="1"/>
  <c r="W143" i="1"/>
  <c r="U143" i="1" s="1"/>
  <c r="AB143" i="1" s="1"/>
  <c r="W144" i="1"/>
  <c r="U144" i="1" s="1"/>
  <c r="AB144" i="1" s="1"/>
  <c r="W2" i="1"/>
  <c r="U2" i="1" s="1"/>
  <c r="AB2" i="1" s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19" i="1"/>
  <c r="X20" i="1"/>
  <c r="X21" i="1"/>
  <c r="X22" i="1"/>
  <c r="X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" i="1"/>
  <c r="B280" i="1" l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" i="1"/>
  <c r="G8" i="1"/>
  <c r="G3" i="1" l="1"/>
  <c r="H3" i="1" s="1"/>
  <c r="Y3" i="1" s="1"/>
  <c r="G4" i="1"/>
  <c r="H4" i="1" s="1"/>
  <c r="Y4" i="1" s="1"/>
  <c r="G5" i="1"/>
  <c r="H5" i="1" s="1"/>
  <c r="Y5" i="1" s="1"/>
  <c r="G6" i="1"/>
  <c r="H6" i="1" s="1"/>
  <c r="Y6" i="1" s="1"/>
  <c r="G7" i="1"/>
  <c r="H7" i="1" s="1"/>
  <c r="Y7" i="1" s="1"/>
  <c r="H8" i="1"/>
  <c r="Y8" i="1" s="1"/>
  <c r="G9" i="1"/>
  <c r="H9" i="1" s="1"/>
  <c r="Y9" i="1" s="1"/>
  <c r="G10" i="1"/>
  <c r="H10" i="1" s="1"/>
  <c r="Y10" i="1" s="1"/>
  <c r="G11" i="1"/>
  <c r="H11" i="1" s="1"/>
  <c r="Y11" i="1" s="1"/>
  <c r="G12" i="1"/>
  <c r="H12" i="1" s="1"/>
  <c r="Y12" i="1" s="1"/>
  <c r="G13" i="1"/>
  <c r="H13" i="1" s="1"/>
  <c r="Y13" i="1" s="1"/>
  <c r="G14" i="1"/>
  <c r="H14" i="1" s="1"/>
  <c r="Y14" i="1" s="1"/>
  <c r="G15" i="1"/>
  <c r="H15" i="1" s="1"/>
  <c r="Y15" i="1" s="1"/>
  <c r="G16" i="1"/>
  <c r="H16" i="1" s="1"/>
  <c r="Y16" i="1" s="1"/>
  <c r="G17" i="1"/>
  <c r="H17" i="1" s="1"/>
  <c r="Y17" i="1" s="1"/>
  <c r="G18" i="1"/>
  <c r="H18" i="1" s="1"/>
  <c r="Y18" i="1" s="1"/>
  <c r="G19" i="1"/>
  <c r="H19" i="1" s="1"/>
  <c r="Y19" i="1" s="1"/>
  <c r="G20" i="1"/>
  <c r="H20" i="1" s="1"/>
  <c r="Y20" i="1" s="1"/>
  <c r="G21" i="1"/>
  <c r="H21" i="1" s="1"/>
  <c r="Y21" i="1" s="1"/>
  <c r="G22" i="1"/>
  <c r="H22" i="1" s="1"/>
  <c r="Y22" i="1" s="1"/>
  <c r="G23" i="1"/>
  <c r="H23" i="1" s="1"/>
  <c r="Y23" i="1" s="1"/>
  <c r="G24" i="1"/>
  <c r="H24" i="1" s="1"/>
  <c r="Y24" i="1" s="1"/>
  <c r="G25" i="1"/>
  <c r="H25" i="1" s="1"/>
  <c r="Y25" i="1" s="1"/>
  <c r="G26" i="1"/>
  <c r="H26" i="1" s="1"/>
  <c r="Y26" i="1" s="1"/>
  <c r="G27" i="1"/>
  <c r="H27" i="1" s="1"/>
  <c r="Y27" i="1" s="1"/>
  <c r="G28" i="1"/>
  <c r="H28" i="1" s="1"/>
  <c r="Y28" i="1" s="1"/>
  <c r="G29" i="1"/>
  <c r="H29" i="1" s="1"/>
  <c r="Y29" i="1" s="1"/>
  <c r="G30" i="1"/>
  <c r="H30" i="1" s="1"/>
  <c r="Y30" i="1" s="1"/>
  <c r="G31" i="1"/>
  <c r="H31" i="1" s="1"/>
  <c r="Y31" i="1" s="1"/>
  <c r="G32" i="1"/>
  <c r="H32" i="1" s="1"/>
  <c r="Y32" i="1" s="1"/>
  <c r="G33" i="1"/>
  <c r="H33" i="1" s="1"/>
  <c r="Y33" i="1" s="1"/>
  <c r="G34" i="1"/>
  <c r="H34" i="1" s="1"/>
  <c r="Y34" i="1" s="1"/>
  <c r="G35" i="1"/>
  <c r="H35" i="1" s="1"/>
  <c r="Y35" i="1" s="1"/>
  <c r="G36" i="1"/>
  <c r="H36" i="1" s="1"/>
  <c r="Y36" i="1" s="1"/>
  <c r="G37" i="1"/>
  <c r="H37" i="1" s="1"/>
  <c r="Y37" i="1" s="1"/>
  <c r="G38" i="1"/>
  <c r="H38" i="1" s="1"/>
  <c r="Y38" i="1" s="1"/>
  <c r="G39" i="1"/>
  <c r="H39" i="1" s="1"/>
  <c r="Y39" i="1" s="1"/>
  <c r="G40" i="1"/>
  <c r="H40" i="1" s="1"/>
  <c r="Y40" i="1" s="1"/>
  <c r="G41" i="1"/>
  <c r="H41" i="1" s="1"/>
  <c r="Y41" i="1" s="1"/>
  <c r="G42" i="1"/>
  <c r="H42" i="1" s="1"/>
  <c r="Y42" i="1" s="1"/>
  <c r="G43" i="1"/>
  <c r="H43" i="1" s="1"/>
  <c r="Y43" i="1" s="1"/>
  <c r="G44" i="1"/>
  <c r="H44" i="1" s="1"/>
  <c r="Y44" i="1" s="1"/>
  <c r="G45" i="1"/>
  <c r="H45" i="1" s="1"/>
  <c r="Y45" i="1" s="1"/>
  <c r="G46" i="1"/>
  <c r="H46" i="1" s="1"/>
  <c r="Y46" i="1" s="1"/>
  <c r="G47" i="1"/>
  <c r="H47" i="1" s="1"/>
  <c r="Y47" i="1" s="1"/>
  <c r="G48" i="1"/>
  <c r="H48" i="1" s="1"/>
  <c r="Y48" i="1" s="1"/>
  <c r="G49" i="1"/>
  <c r="H49" i="1" s="1"/>
  <c r="Y49" i="1" s="1"/>
  <c r="G50" i="1"/>
  <c r="H50" i="1" s="1"/>
  <c r="Y50" i="1" s="1"/>
  <c r="G51" i="1"/>
  <c r="H51" i="1" s="1"/>
  <c r="Y51" i="1" s="1"/>
  <c r="G52" i="1"/>
  <c r="H52" i="1" s="1"/>
  <c r="Y52" i="1" s="1"/>
  <c r="G53" i="1"/>
  <c r="H53" i="1" s="1"/>
  <c r="Y53" i="1" s="1"/>
  <c r="G54" i="1"/>
  <c r="H54" i="1" s="1"/>
  <c r="Y54" i="1" s="1"/>
  <c r="G55" i="1"/>
  <c r="H55" i="1" s="1"/>
  <c r="Y55" i="1" s="1"/>
  <c r="G56" i="1"/>
  <c r="H56" i="1" s="1"/>
  <c r="Y56" i="1" s="1"/>
  <c r="G57" i="1"/>
  <c r="H57" i="1" s="1"/>
  <c r="Y57" i="1" s="1"/>
  <c r="G58" i="1"/>
  <c r="H58" i="1" s="1"/>
  <c r="Y58" i="1" s="1"/>
  <c r="G59" i="1"/>
  <c r="H59" i="1" s="1"/>
  <c r="Y59" i="1" s="1"/>
  <c r="G60" i="1"/>
  <c r="H60" i="1" s="1"/>
  <c r="Y60" i="1" s="1"/>
  <c r="G61" i="1"/>
  <c r="H61" i="1" s="1"/>
  <c r="Y61" i="1" s="1"/>
  <c r="G62" i="1"/>
  <c r="H62" i="1" s="1"/>
  <c r="Y62" i="1" s="1"/>
  <c r="G63" i="1"/>
  <c r="H63" i="1" s="1"/>
  <c r="Y63" i="1" s="1"/>
  <c r="G64" i="1"/>
  <c r="H64" i="1" s="1"/>
  <c r="Y64" i="1" s="1"/>
  <c r="G65" i="1"/>
  <c r="H65" i="1" s="1"/>
  <c r="Y65" i="1" s="1"/>
  <c r="G66" i="1"/>
  <c r="H66" i="1" s="1"/>
  <c r="Y66" i="1" s="1"/>
  <c r="G67" i="1"/>
  <c r="H67" i="1" s="1"/>
  <c r="Y67" i="1" s="1"/>
  <c r="G68" i="1"/>
  <c r="H68" i="1" s="1"/>
  <c r="Y68" i="1" s="1"/>
  <c r="G69" i="1"/>
  <c r="H69" i="1" s="1"/>
  <c r="Y69" i="1" s="1"/>
  <c r="G70" i="1"/>
  <c r="H70" i="1" s="1"/>
  <c r="Y70" i="1" s="1"/>
  <c r="G71" i="1"/>
  <c r="H71" i="1" s="1"/>
  <c r="Y71" i="1" s="1"/>
  <c r="G72" i="1"/>
  <c r="H72" i="1" s="1"/>
  <c r="Y72" i="1" s="1"/>
  <c r="G73" i="1"/>
  <c r="H73" i="1" s="1"/>
  <c r="Y73" i="1" s="1"/>
  <c r="G74" i="1"/>
  <c r="H74" i="1" s="1"/>
  <c r="Y74" i="1" s="1"/>
  <c r="G75" i="1"/>
  <c r="H75" i="1" s="1"/>
  <c r="Y75" i="1" s="1"/>
  <c r="G76" i="1"/>
  <c r="H76" i="1" s="1"/>
  <c r="Y76" i="1" s="1"/>
  <c r="G77" i="1"/>
  <c r="H77" i="1" s="1"/>
  <c r="Y77" i="1" s="1"/>
  <c r="G78" i="1"/>
  <c r="H78" i="1" s="1"/>
  <c r="Y78" i="1" s="1"/>
  <c r="G79" i="1"/>
  <c r="H79" i="1" s="1"/>
  <c r="Y79" i="1" s="1"/>
  <c r="G80" i="1"/>
  <c r="H80" i="1" s="1"/>
  <c r="Y80" i="1" s="1"/>
  <c r="G81" i="1"/>
  <c r="H81" i="1" s="1"/>
  <c r="Y81" i="1" s="1"/>
  <c r="G82" i="1"/>
  <c r="H82" i="1" s="1"/>
  <c r="Y82" i="1" s="1"/>
  <c r="G83" i="1"/>
  <c r="H83" i="1" s="1"/>
  <c r="Y83" i="1" s="1"/>
  <c r="G84" i="1"/>
  <c r="H84" i="1" s="1"/>
  <c r="Y84" i="1" s="1"/>
  <c r="G85" i="1"/>
  <c r="H85" i="1" s="1"/>
  <c r="Y85" i="1" s="1"/>
  <c r="G86" i="1"/>
  <c r="H86" i="1" s="1"/>
  <c r="Y86" i="1" s="1"/>
  <c r="G87" i="1"/>
  <c r="H87" i="1" s="1"/>
  <c r="Y87" i="1" s="1"/>
  <c r="G88" i="1"/>
  <c r="H88" i="1" s="1"/>
  <c r="Y88" i="1" s="1"/>
  <c r="G89" i="1"/>
  <c r="H89" i="1" s="1"/>
  <c r="Y89" i="1" s="1"/>
  <c r="G90" i="1"/>
  <c r="H90" i="1" s="1"/>
  <c r="Y90" i="1" s="1"/>
  <c r="G91" i="1"/>
  <c r="H91" i="1" s="1"/>
  <c r="Y91" i="1" s="1"/>
  <c r="G92" i="1"/>
  <c r="H92" i="1" s="1"/>
  <c r="Y92" i="1" s="1"/>
  <c r="G93" i="1"/>
  <c r="H93" i="1" s="1"/>
  <c r="Y93" i="1" s="1"/>
  <c r="G94" i="1"/>
  <c r="H94" i="1" s="1"/>
  <c r="Y94" i="1" s="1"/>
  <c r="G95" i="1"/>
  <c r="H95" i="1" s="1"/>
  <c r="Y95" i="1" s="1"/>
  <c r="G96" i="1"/>
  <c r="H96" i="1" s="1"/>
  <c r="Y96" i="1" s="1"/>
  <c r="G97" i="1"/>
  <c r="H97" i="1" s="1"/>
  <c r="Y97" i="1" s="1"/>
  <c r="G98" i="1"/>
  <c r="H98" i="1" s="1"/>
  <c r="Y98" i="1" s="1"/>
  <c r="G99" i="1"/>
  <c r="H99" i="1" s="1"/>
  <c r="Y99" i="1" s="1"/>
  <c r="G100" i="1"/>
  <c r="H100" i="1" s="1"/>
  <c r="Y100" i="1" s="1"/>
  <c r="G101" i="1"/>
  <c r="H101" i="1" s="1"/>
  <c r="Y101" i="1" s="1"/>
  <c r="G102" i="1"/>
  <c r="H102" i="1" s="1"/>
  <c r="Y102" i="1" s="1"/>
  <c r="G103" i="1"/>
  <c r="H103" i="1" s="1"/>
  <c r="Y103" i="1" s="1"/>
  <c r="G104" i="1"/>
  <c r="H104" i="1" s="1"/>
  <c r="Y104" i="1" s="1"/>
  <c r="G105" i="1"/>
  <c r="H105" i="1" s="1"/>
  <c r="Y105" i="1" s="1"/>
  <c r="G106" i="1"/>
  <c r="H106" i="1" s="1"/>
  <c r="Y106" i="1" s="1"/>
  <c r="G107" i="1"/>
  <c r="H107" i="1" s="1"/>
  <c r="Y107" i="1" s="1"/>
  <c r="G108" i="1"/>
  <c r="H108" i="1" s="1"/>
  <c r="Y108" i="1" s="1"/>
  <c r="G109" i="1"/>
  <c r="H109" i="1" s="1"/>
  <c r="Y109" i="1" s="1"/>
  <c r="G110" i="1"/>
  <c r="H110" i="1" s="1"/>
  <c r="Y110" i="1" s="1"/>
  <c r="G111" i="1"/>
  <c r="H111" i="1" s="1"/>
  <c r="Y111" i="1" s="1"/>
  <c r="G112" i="1"/>
  <c r="H112" i="1" s="1"/>
  <c r="Y112" i="1" s="1"/>
  <c r="G113" i="1"/>
  <c r="H113" i="1" s="1"/>
  <c r="Y113" i="1" s="1"/>
  <c r="G114" i="1"/>
  <c r="H114" i="1" s="1"/>
  <c r="Y114" i="1" s="1"/>
  <c r="G115" i="1"/>
  <c r="H115" i="1" s="1"/>
  <c r="Y115" i="1" s="1"/>
  <c r="G116" i="1"/>
  <c r="H116" i="1" s="1"/>
  <c r="Y116" i="1" s="1"/>
  <c r="G117" i="1"/>
  <c r="H117" i="1" s="1"/>
  <c r="Y117" i="1" s="1"/>
  <c r="G118" i="1"/>
  <c r="H118" i="1" s="1"/>
  <c r="Y118" i="1" s="1"/>
  <c r="G119" i="1"/>
  <c r="H119" i="1" s="1"/>
  <c r="Y119" i="1" s="1"/>
  <c r="G120" i="1"/>
  <c r="H120" i="1" s="1"/>
  <c r="Y120" i="1" s="1"/>
  <c r="G121" i="1"/>
  <c r="H121" i="1" s="1"/>
  <c r="Y121" i="1" s="1"/>
  <c r="G122" i="1"/>
  <c r="H122" i="1" s="1"/>
  <c r="Y122" i="1" s="1"/>
  <c r="G123" i="1"/>
  <c r="H123" i="1" s="1"/>
  <c r="Y123" i="1" s="1"/>
  <c r="G124" i="1"/>
  <c r="H124" i="1" s="1"/>
  <c r="Y124" i="1" s="1"/>
  <c r="G125" i="1"/>
  <c r="H125" i="1" s="1"/>
  <c r="Y125" i="1" s="1"/>
  <c r="G126" i="1"/>
  <c r="H126" i="1" s="1"/>
  <c r="Y126" i="1" s="1"/>
  <c r="G127" i="1"/>
  <c r="H127" i="1" s="1"/>
  <c r="Y127" i="1" s="1"/>
  <c r="G128" i="1"/>
  <c r="H128" i="1" s="1"/>
  <c r="Y128" i="1" s="1"/>
  <c r="G129" i="1"/>
  <c r="H129" i="1" s="1"/>
  <c r="Y129" i="1" s="1"/>
  <c r="G130" i="1"/>
  <c r="H130" i="1" s="1"/>
  <c r="Y130" i="1" s="1"/>
  <c r="G131" i="1"/>
  <c r="H131" i="1" s="1"/>
  <c r="Y131" i="1" s="1"/>
  <c r="G132" i="1"/>
  <c r="H132" i="1" s="1"/>
  <c r="Y132" i="1" s="1"/>
  <c r="G133" i="1"/>
  <c r="H133" i="1" s="1"/>
  <c r="Y133" i="1" s="1"/>
  <c r="G134" i="1"/>
  <c r="H134" i="1" s="1"/>
  <c r="Y134" i="1" s="1"/>
  <c r="G135" i="1"/>
  <c r="H135" i="1" s="1"/>
  <c r="Y135" i="1" s="1"/>
  <c r="G136" i="1"/>
  <c r="H136" i="1" s="1"/>
  <c r="Y136" i="1" s="1"/>
  <c r="G137" i="1"/>
  <c r="H137" i="1" s="1"/>
  <c r="Y137" i="1" s="1"/>
  <c r="G138" i="1"/>
  <c r="H138" i="1" s="1"/>
  <c r="Y138" i="1" s="1"/>
  <c r="G139" i="1"/>
  <c r="H139" i="1" s="1"/>
  <c r="Y139" i="1" s="1"/>
  <c r="G140" i="1"/>
  <c r="H140" i="1" s="1"/>
  <c r="Y140" i="1" s="1"/>
  <c r="G141" i="1"/>
  <c r="H141" i="1" s="1"/>
  <c r="Y141" i="1" s="1"/>
  <c r="G142" i="1"/>
  <c r="H142" i="1" s="1"/>
  <c r="Y142" i="1" s="1"/>
  <c r="G143" i="1"/>
  <c r="H143" i="1" s="1"/>
  <c r="Y143" i="1" s="1"/>
  <c r="G144" i="1"/>
  <c r="H144" i="1" s="1"/>
  <c r="Y144" i="1" s="1"/>
  <c r="G145" i="1"/>
  <c r="H145" i="1" s="1"/>
  <c r="Y145" i="1" s="1"/>
  <c r="G146" i="1"/>
  <c r="H146" i="1" s="1"/>
  <c r="Y146" i="1" s="1"/>
  <c r="G147" i="1"/>
  <c r="H147" i="1" s="1"/>
  <c r="Y147" i="1" s="1"/>
  <c r="G148" i="1"/>
  <c r="H148" i="1" s="1"/>
  <c r="Y148" i="1" s="1"/>
  <c r="G149" i="1"/>
  <c r="H149" i="1" s="1"/>
  <c r="Y149" i="1" s="1"/>
  <c r="G150" i="1"/>
  <c r="H150" i="1" s="1"/>
  <c r="Y150" i="1" s="1"/>
  <c r="G151" i="1"/>
  <c r="H151" i="1" s="1"/>
  <c r="Y151" i="1" s="1"/>
  <c r="G152" i="1"/>
  <c r="H152" i="1" s="1"/>
  <c r="Y152" i="1" s="1"/>
  <c r="G153" i="1"/>
  <c r="H153" i="1" s="1"/>
  <c r="Y153" i="1" s="1"/>
  <c r="G154" i="1"/>
  <c r="H154" i="1" s="1"/>
  <c r="Y154" i="1" s="1"/>
  <c r="G155" i="1"/>
  <c r="H155" i="1" s="1"/>
  <c r="Y155" i="1" s="1"/>
  <c r="G156" i="1"/>
  <c r="H156" i="1" s="1"/>
  <c r="Y156" i="1" s="1"/>
  <c r="G157" i="1"/>
  <c r="H157" i="1" s="1"/>
  <c r="Y157" i="1" s="1"/>
  <c r="G158" i="1"/>
  <c r="H158" i="1" s="1"/>
  <c r="Y158" i="1" s="1"/>
  <c r="G159" i="1"/>
  <c r="H159" i="1" s="1"/>
  <c r="Y159" i="1" s="1"/>
  <c r="G160" i="1"/>
  <c r="H160" i="1" s="1"/>
  <c r="Y160" i="1" s="1"/>
  <c r="G161" i="1"/>
  <c r="H161" i="1" s="1"/>
  <c r="Y161" i="1" s="1"/>
  <c r="G162" i="1"/>
  <c r="H162" i="1" s="1"/>
  <c r="Y162" i="1" s="1"/>
  <c r="G163" i="1"/>
  <c r="H163" i="1" s="1"/>
  <c r="Y163" i="1" s="1"/>
  <c r="G164" i="1"/>
  <c r="H164" i="1" s="1"/>
  <c r="Y164" i="1" s="1"/>
  <c r="G165" i="1"/>
  <c r="H165" i="1" s="1"/>
  <c r="Y165" i="1" s="1"/>
  <c r="G166" i="1"/>
  <c r="H166" i="1" s="1"/>
  <c r="Y166" i="1" s="1"/>
  <c r="G167" i="1"/>
  <c r="H167" i="1" s="1"/>
  <c r="Y167" i="1" s="1"/>
  <c r="G168" i="1"/>
  <c r="H168" i="1" s="1"/>
  <c r="Y168" i="1" s="1"/>
  <c r="G169" i="1"/>
  <c r="H169" i="1" s="1"/>
  <c r="Y169" i="1" s="1"/>
  <c r="G170" i="1"/>
  <c r="H170" i="1" s="1"/>
  <c r="Y170" i="1" s="1"/>
  <c r="G171" i="1"/>
  <c r="H171" i="1" s="1"/>
  <c r="Y171" i="1" s="1"/>
  <c r="G172" i="1"/>
  <c r="H172" i="1" s="1"/>
  <c r="Y172" i="1" s="1"/>
  <c r="G173" i="1"/>
  <c r="H173" i="1" s="1"/>
  <c r="Y173" i="1" s="1"/>
  <c r="G174" i="1"/>
  <c r="H174" i="1" s="1"/>
  <c r="Y174" i="1" s="1"/>
  <c r="G175" i="1"/>
  <c r="H175" i="1" s="1"/>
  <c r="Y175" i="1" s="1"/>
  <c r="G176" i="1"/>
  <c r="H176" i="1" s="1"/>
  <c r="Y176" i="1" s="1"/>
  <c r="G177" i="1"/>
  <c r="H177" i="1" s="1"/>
  <c r="Y177" i="1" s="1"/>
  <c r="G178" i="1"/>
  <c r="H178" i="1" s="1"/>
  <c r="Y178" i="1" s="1"/>
  <c r="G179" i="1"/>
  <c r="H179" i="1" s="1"/>
  <c r="Y179" i="1" s="1"/>
  <c r="G180" i="1"/>
  <c r="H180" i="1" s="1"/>
  <c r="Y180" i="1" s="1"/>
  <c r="G181" i="1"/>
  <c r="H181" i="1" s="1"/>
  <c r="Y181" i="1" s="1"/>
  <c r="G182" i="1"/>
  <c r="H182" i="1" s="1"/>
  <c r="Y182" i="1" s="1"/>
  <c r="G183" i="1"/>
  <c r="H183" i="1" s="1"/>
  <c r="Y183" i="1" s="1"/>
  <c r="G184" i="1"/>
  <c r="H184" i="1" s="1"/>
  <c r="Y184" i="1" s="1"/>
  <c r="G185" i="1"/>
  <c r="H185" i="1" s="1"/>
  <c r="Y185" i="1" s="1"/>
  <c r="G186" i="1"/>
  <c r="H186" i="1" s="1"/>
  <c r="Y186" i="1" s="1"/>
  <c r="G187" i="1"/>
  <c r="H187" i="1" s="1"/>
  <c r="Y187" i="1" s="1"/>
  <c r="G188" i="1"/>
  <c r="H188" i="1" s="1"/>
  <c r="Y188" i="1" s="1"/>
  <c r="G189" i="1"/>
  <c r="H189" i="1" s="1"/>
  <c r="Y189" i="1" s="1"/>
  <c r="G190" i="1"/>
  <c r="H190" i="1" s="1"/>
  <c r="Y190" i="1" s="1"/>
  <c r="G191" i="1"/>
  <c r="H191" i="1" s="1"/>
  <c r="Y191" i="1" s="1"/>
  <c r="G192" i="1"/>
  <c r="H192" i="1" s="1"/>
  <c r="Y192" i="1" s="1"/>
  <c r="G193" i="1"/>
  <c r="H193" i="1" s="1"/>
  <c r="Y193" i="1" s="1"/>
  <c r="G194" i="1"/>
  <c r="H194" i="1" s="1"/>
  <c r="Y194" i="1" s="1"/>
  <c r="G195" i="1"/>
  <c r="H195" i="1" s="1"/>
  <c r="Y195" i="1" s="1"/>
  <c r="G196" i="1"/>
  <c r="H196" i="1" s="1"/>
  <c r="Y196" i="1" s="1"/>
  <c r="G197" i="1"/>
  <c r="H197" i="1" s="1"/>
  <c r="Y197" i="1" s="1"/>
  <c r="G198" i="1"/>
  <c r="H198" i="1" s="1"/>
  <c r="Y198" i="1" s="1"/>
  <c r="G199" i="1"/>
  <c r="H199" i="1" s="1"/>
  <c r="Y199" i="1" s="1"/>
  <c r="G200" i="1"/>
  <c r="H200" i="1" s="1"/>
  <c r="Y200" i="1" s="1"/>
  <c r="G201" i="1"/>
  <c r="H201" i="1" s="1"/>
  <c r="Y201" i="1" s="1"/>
  <c r="G202" i="1"/>
  <c r="H202" i="1" s="1"/>
  <c r="Y202" i="1" s="1"/>
  <c r="G203" i="1"/>
  <c r="H203" i="1" s="1"/>
  <c r="Y203" i="1" s="1"/>
  <c r="G204" i="1"/>
  <c r="H204" i="1" s="1"/>
  <c r="Y204" i="1" s="1"/>
  <c r="G205" i="1"/>
  <c r="H205" i="1" s="1"/>
  <c r="Y205" i="1" s="1"/>
  <c r="G206" i="1"/>
  <c r="H206" i="1" s="1"/>
  <c r="Y206" i="1" s="1"/>
  <c r="G207" i="1"/>
  <c r="H207" i="1" s="1"/>
  <c r="Y207" i="1" s="1"/>
  <c r="G208" i="1"/>
  <c r="H208" i="1" s="1"/>
  <c r="Y208" i="1" s="1"/>
  <c r="G209" i="1"/>
  <c r="H209" i="1" s="1"/>
  <c r="Y209" i="1" s="1"/>
  <c r="G210" i="1"/>
  <c r="H210" i="1" s="1"/>
  <c r="Y210" i="1" s="1"/>
  <c r="G211" i="1"/>
  <c r="H211" i="1" s="1"/>
  <c r="Y211" i="1" s="1"/>
  <c r="G212" i="1"/>
  <c r="H212" i="1" s="1"/>
  <c r="Y212" i="1" s="1"/>
  <c r="G213" i="1"/>
  <c r="H213" i="1" s="1"/>
  <c r="Y213" i="1" s="1"/>
  <c r="G214" i="1"/>
  <c r="H214" i="1" s="1"/>
  <c r="Y214" i="1" s="1"/>
  <c r="G215" i="1"/>
  <c r="H215" i="1" s="1"/>
  <c r="Y215" i="1" s="1"/>
  <c r="G216" i="1"/>
  <c r="H216" i="1" s="1"/>
  <c r="Y216" i="1" s="1"/>
  <c r="G217" i="1"/>
  <c r="H217" i="1" s="1"/>
  <c r="Y217" i="1" s="1"/>
  <c r="G218" i="1"/>
  <c r="H218" i="1" s="1"/>
  <c r="Y218" i="1" s="1"/>
  <c r="G219" i="1"/>
  <c r="H219" i="1" s="1"/>
  <c r="Y219" i="1" s="1"/>
  <c r="G220" i="1"/>
  <c r="H220" i="1" s="1"/>
  <c r="Y220" i="1" s="1"/>
  <c r="G221" i="1"/>
  <c r="H221" i="1" s="1"/>
  <c r="Y221" i="1" s="1"/>
  <c r="G222" i="1"/>
  <c r="H222" i="1" s="1"/>
  <c r="Y222" i="1" s="1"/>
  <c r="G223" i="1"/>
  <c r="H223" i="1" s="1"/>
  <c r="Y223" i="1" s="1"/>
  <c r="G224" i="1"/>
  <c r="H224" i="1" s="1"/>
  <c r="Y224" i="1" s="1"/>
  <c r="G225" i="1"/>
  <c r="H225" i="1" s="1"/>
  <c r="Y225" i="1" s="1"/>
  <c r="G226" i="1"/>
  <c r="H226" i="1" s="1"/>
  <c r="Y226" i="1" s="1"/>
  <c r="G227" i="1"/>
  <c r="H227" i="1" s="1"/>
  <c r="Y227" i="1" s="1"/>
  <c r="G228" i="1"/>
  <c r="H228" i="1" s="1"/>
  <c r="Y228" i="1" s="1"/>
  <c r="G229" i="1"/>
  <c r="H229" i="1" s="1"/>
  <c r="Y229" i="1" s="1"/>
  <c r="G230" i="1"/>
  <c r="H230" i="1" s="1"/>
  <c r="Y230" i="1" s="1"/>
  <c r="G231" i="1"/>
  <c r="H231" i="1" s="1"/>
  <c r="Y231" i="1" s="1"/>
  <c r="G232" i="1"/>
  <c r="H232" i="1" s="1"/>
  <c r="Y232" i="1" s="1"/>
  <c r="G233" i="1"/>
  <c r="H233" i="1" s="1"/>
  <c r="Y233" i="1" s="1"/>
  <c r="G234" i="1"/>
  <c r="H234" i="1" s="1"/>
  <c r="Y234" i="1" s="1"/>
  <c r="G235" i="1"/>
  <c r="H235" i="1" s="1"/>
  <c r="Y235" i="1" s="1"/>
  <c r="G236" i="1"/>
  <c r="H236" i="1" s="1"/>
  <c r="Y236" i="1" s="1"/>
  <c r="G237" i="1"/>
  <c r="H237" i="1" s="1"/>
  <c r="Y237" i="1" s="1"/>
  <c r="G238" i="1"/>
  <c r="H238" i="1" s="1"/>
  <c r="Y238" i="1" s="1"/>
  <c r="G239" i="1"/>
  <c r="H239" i="1" s="1"/>
  <c r="Y239" i="1" s="1"/>
  <c r="G240" i="1"/>
  <c r="H240" i="1" s="1"/>
  <c r="Y240" i="1" s="1"/>
  <c r="G241" i="1"/>
  <c r="H241" i="1" s="1"/>
  <c r="Y241" i="1" s="1"/>
  <c r="G242" i="1"/>
  <c r="H242" i="1" s="1"/>
  <c r="Y242" i="1" s="1"/>
  <c r="G243" i="1"/>
  <c r="H243" i="1" s="1"/>
  <c r="Y243" i="1" s="1"/>
  <c r="G244" i="1"/>
  <c r="H244" i="1" s="1"/>
  <c r="Y244" i="1" s="1"/>
  <c r="G245" i="1"/>
  <c r="H245" i="1" s="1"/>
  <c r="Y245" i="1" s="1"/>
  <c r="G246" i="1"/>
  <c r="H246" i="1" s="1"/>
  <c r="Y246" i="1" s="1"/>
  <c r="G247" i="1"/>
  <c r="H247" i="1" s="1"/>
  <c r="Y247" i="1" s="1"/>
  <c r="G248" i="1"/>
  <c r="H248" i="1" s="1"/>
  <c r="Y248" i="1" s="1"/>
  <c r="G249" i="1"/>
  <c r="H249" i="1" s="1"/>
  <c r="Y249" i="1" s="1"/>
  <c r="G250" i="1"/>
  <c r="H250" i="1" s="1"/>
  <c r="Y250" i="1" s="1"/>
  <c r="G251" i="1"/>
  <c r="H251" i="1" s="1"/>
  <c r="Y251" i="1" s="1"/>
  <c r="G252" i="1"/>
  <c r="H252" i="1" s="1"/>
  <c r="Y252" i="1" s="1"/>
  <c r="G253" i="1"/>
  <c r="H253" i="1" s="1"/>
  <c r="Y253" i="1" s="1"/>
  <c r="G254" i="1"/>
  <c r="H254" i="1" s="1"/>
  <c r="Y254" i="1" s="1"/>
  <c r="G255" i="1"/>
  <c r="H255" i="1" s="1"/>
  <c r="Y255" i="1" s="1"/>
  <c r="G256" i="1"/>
  <c r="H256" i="1" s="1"/>
  <c r="Y256" i="1" s="1"/>
  <c r="G257" i="1"/>
  <c r="H257" i="1" s="1"/>
  <c r="Y257" i="1" s="1"/>
  <c r="G258" i="1"/>
  <c r="H258" i="1" s="1"/>
  <c r="Y258" i="1" s="1"/>
  <c r="G259" i="1"/>
  <c r="H259" i="1" s="1"/>
  <c r="Y259" i="1" s="1"/>
  <c r="G260" i="1"/>
  <c r="H260" i="1" s="1"/>
  <c r="Y260" i="1" s="1"/>
  <c r="G261" i="1"/>
  <c r="H261" i="1" s="1"/>
  <c r="Y261" i="1" s="1"/>
  <c r="G262" i="1"/>
  <c r="H262" i="1" s="1"/>
  <c r="Y262" i="1" s="1"/>
  <c r="G263" i="1"/>
  <c r="H263" i="1" s="1"/>
  <c r="Y263" i="1" s="1"/>
  <c r="G264" i="1"/>
  <c r="H264" i="1" s="1"/>
  <c r="Y264" i="1" s="1"/>
  <c r="G265" i="1"/>
  <c r="H265" i="1" s="1"/>
  <c r="Y265" i="1" s="1"/>
  <c r="G266" i="1"/>
  <c r="H266" i="1" s="1"/>
  <c r="Y266" i="1" s="1"/>
  <c r="G267" i="1"/>
  <c r="H267" i="1" s="1"/>
  <c r="Y267" i="1" s="1"/>
  <c r="G268" i="1"/>
  <c r="H268" i="1" s="1"/>
  <c r="Y268" i="1" s="1"/>
  <c r="G269" i="1"/>
  <c r="H269" i="1" s="1"/>
  <c r="Y269" i="1" s="1"/>
  <c r="G270" i="1"/>
  <c r="H270" i="1" s="1"/>
  <c r="Y270" i="1" s="1"/>
  <c r="G271" i="1"/>
  <c r="H271" i="1" s="1"/>
  <c r="Y271" i="1" s="1"/>
  <c r="G272" i="1"/>
  <c r="H272" i="1" s="1"/>
  <c r="Y272" i="1" s="1"/>
  <c r="G273" i="1"/>
  <c r="H273" i="1" s="1"/>
  <c r="Y273" i="1" s="1"/>
  <c r="G274" i="1"/>
  <c r="H274" i="1" s="1"/>
  <c r="Y274" i="1" s="1"/>
  <c r="G275" i="1"/>
  <c r="H275" i="1" s="1"/>
  <c r="Y275" i="1" s="1"/>
  <c r="G276" i="1"/>
  <c r="H276" i="1" s="1"/>
  <c r="Y276" i="1" s="1"/>
  <c r="G277" i="1"/>
  <c r="H277" i="1" s="1"/>
  <c r="Y277" i="1" s="1"/>
  <c r="G278" i="1"/>
  <c r="H278" i="1" s="1"/>
  <c r="Y278" i="1" s="1"/>
  <c r="G279" i="1"/>
  <c r="H279" i="1" s="1"/>
  <c r="Y279" i="1" s="1"/>
  <c r="G280" i="1"/>
  <c r="H280" i="1" s="1"/>
  <c r="Y280" i="1" s="1"/>
  <c r="G281" i="1"/>
  <c r="H281" i="1" s="1"/>
  <c r="Y281" i="1" s="1"/>
  <c r="G282" i="1"/>
  <c r="H282" i="1" s="1"/>
  <c r="Y282" i="1" s="1"/>
  <c r="G283" i="1"/>
  <c r="H283" i="1" s="1"/>
  <c r="Y283" i="1" s="1"/>
  <c r="G284" i="1"/>
  <c r="H284" i="1" s="1"/>
  <c r="Y284" i="1" s="1"/>
  <c r="G285" i="1"/>
  <c r="H285" i="1" s="1"/>
  <c r="Y285" i="1" s="1"/>
  <c r="G286" i="1"/>
  <c r="H286" i="1" s="1"/>
  <c r="Y286" i="1" s="1"/>
  <c r="G287" i="1"/>
  <c r="H287" i="1" s="1"/>
  <c r="Y287" i="1" s="1"/>
  <c r="G288" i="1"/>
  <c r="H288" i="1" s="1"/>
  <c r="Y288" i="1" s="1"/>
  <c r="G289" i="1"/>
  <c r="H289" i="1" s="1"/>
  <c r="Y289" i="1" s="1"/>
  <c r="G290" i="1"/>
  <c r="H290" i="1" s="1"/>
  <c r="Y290" i="1" s="1"/>
  <c r="G291" i="1"/>
  <c r="H291" i="1" s="1"/>
  <c r="Y291" i="1" s="1"/>
  <c r="G292" i="1"/>
  <c r="H292" i="1" s="1"/>
  <c r="Y292" i="1" s="1"/>
  <c r="G293" i="1"/>
  <c r="H293" i="1" s="1"/>
  <c r="Y293" i="1" s="1"/>
  <c r="G294" i="1"/>
  <c r="H294" i="1" s="1"/>
  <c r="Y294" i="1" s="1"/>
  <c r="G295" i="1"/>
  <c r="H295" i="1" s="1"/>
  <c r="Y295" i="1" s="1"/>
  <c r="G296" i="1"/>
  <c r="H296" i="1" s="1"/>
  <c r="Y296" i="1" s="1"/>
  <c r="G297" i="1"/>
  <c r="H297" i="1" s="1"/>
  <c r="Y297" i="1" s="1"/>
  <c r="G298" i="1"/>
  <c r="H298" i="1" s="1"/>
  <c r="Y298" i="1" s="1"/>
  <c r="G299" i="1"/>
  <c r="H299" i="1" s="1"/>
  <c r="Y299" i="1" s="1"/>
  <c r="G300" i="1"/>
  <c r="H300" i="1" s="1"/>
  <c r="Y300" i="1" s="1"/>
  <c r="G301" i="1"/>
  <c r="H301" i="1" s="1"/>
  <c r="Y301" i="1" s="1"/>
  <c r="G302" i="1"/>
  <c r="H302" i="1" s="1"/>
  <c r="Y302" i="1" s="1"/>
  <c r="G303" i="1"/>
  <c r="H303" i="1" s="1"/>
  <c r="Y303" i="1" s="1"/>
  <c r="G304" i="1"/>
  <c r="H304" i="1" s="1"/>
  <c r="Y304" i="1" s="1"/>
  <c r="G305" i="1"/>
  <c r="H305" i="1" s="1"/>
  <c r="Y305" i="1" s="1"/>
  <c r="G306" i="1"/>
  <c r="H306" i="1" s="1"/>
  <c r="Y306" i="1" s="1"/>
  <c r="G307" i="1"/>
  <c r="H307" i="1" s="1"/>
  <c r="Y307" i="1" s="1"/>
  <c r="G308" i="1"/>
  <c r="H308" i="1" s="1"/>
  <c r="Y308" i="1" s="1"/>
  <c r="G309" i="1"/>
  <c r="H309" i="1" s="1"/>
  <c r="Y309" i="1" s="1"/>
  <c r="G310" i="1"/>
  <c r="H310" i="1" s="1"/>
  <c r="Y310" i="1" s="1"/>
  <c r="G311" i="1"/>
  <c r="H311" i="1" s="1"/>
  <c r="Y311" i="1" s="1"/>
  <c r="G312" i="1"/>
  <c r="H312" i="1" s="1"/>
  <c r="Y312" i="1" s="1"/>
  <c r="G313" i="1"/>
  <c r="H313" i="1" s="1"/>
  <c r="Y313" i="1" s="1"/>
  <c r="G314" i="1"/>
  <c r="H314" i="1" s="1"/>
  <c r="Y314" i="1" s="1"/>
  <c r="G315" i="1"/>
  <c r="H315" i="1" s="1"/>
  <c r="Y315" i="1" s="1"/>
  <c r="G316" i="1"/>
  <c r="H316" i="1" s="1"/>
  <c r="Y316" i="1" s="1"/>
  <c r="G317" i="1"/>
  <c r="H317" i="1" s="1"/>
  <c r="Y317" i="1" s="1"/>
  <c r="G318" i="1"/>
  <c r="H318" i="1" s="1"/>
  <c r="Y318" i="1" s="1"/>
  <c r="G319" i="1"/>
  <c r="H319" i="1" s="1"/>
  <c r="Y319" i="1" s="1"/>
  <c r="G320" i="1"/>
  <c r="H320" i="1" s="1"/>
  <c r="Y320" i="1" s="1"/>
  <c r="G321" i="1"/>
  <c r="H321" i="1" s="1"/>
  <c r="Y321" i="1" s="1"/>
  <c r="G322" i="1"/>
  <c r="H322" i="1" s="1"/>
  <c r="Y322" i="1" s="1"/>
  <c r="G323" i="1"/>
  <c r="H323" i="1" s="1"/>
  <c r="Y323" i="1" s="1"/>
  <c r="G324" i="1"/>
  <c r="H324" i="1" s="1"/>
  <c r="Y324" i="1" s="1"/>
  <c r="G325" i="1"/>
  <c r="H325" i="1" s="1"/>
  <c r="Y325" i="1" s="1"/>
  <c r="G326" i="1"/>
  <c r="H326" i="1" s="1"/>
  <c r="Y326" i="1" s="1"/>
  <c r="G327" i="1"/>
  <c r="H327" i="1" s="1"/>
  <c r="Y327" i="1" s="1"/>
  <c r="G328" i="1"/>
  <c r="H328" i="1" s="1"/>
  <c r="Y328" i="1" s="1"/>
  <c r="G329" i="1"/>
  <c r="H329" i="1" s="1"/>
  <c r="Y329" i="1" s="1"/>
  <c r="G330" i="1"/>
  <c r="H330" i="1" s="1"/>
  <c r="Y330" i="1" s="1"/>
  <c r="G331" i="1"/>
  <c r="H331" i="1" s="1"/>
  <c r="Y331" i="1" s="1"/>
  <c r="G332" i="1"/>
  <c r="H332" i="1" s="1"/>
  <c r="Y332" i="1" s="1"/>
  <c r="G333" i="1"/>
  <c r="H333" i="1" s="1"/>
  <c r="Y333" i="1" s="1"/>
  <c r="G334" i="1"/>
  <c r="H334" i="1" s="1"/>
  <c r="Y334" i="1" s="1"/>
  <c r="G335" i="1"/>
  <c r="H335" i="1" s="1"/>
  <c r="Y335" i="1" s="1"/>
  <c r="G336" i="1"/>
  <c r="H336" i="1" s="1"/>
  <c r="Y336" i="1" s="1"/>
  <c r="G337" i="1"/>
  <c r="H337" i="1" s="1"/>
  <c r="Y337" i="1" s="1"/>
  <c r="G338" i="1"/>
  <c r="H338" i="1" s="1"/>
  <c r="Y338" i="1" s="1"/>
  <c r="G339" i="1"/>
  <c r="H339" i="1" s="1"/>
  <c r="Y339" i="1" s="1"/>
  <c r="G340" i="1"/>
  <c r="H340" i="1" s="1"/>
  <c r="Y340" i="1" s="1"/>
  <c r="G341" i="1"/>
  <c r="H341" i="1" s="1"/>
  <c r="Y341" i="1" s="1"/>
  <c r="G342" i="1"/>
  <c r="H342" i="1" s="1"/>
  <c r="Y342" i="1" s="1"/>
  <c r="G343" i="1"/>
  <c r="H343" i="1" s="1"/>
  <c r="Y343" i="1" s="1"/>
  <c r="G344" i="1"/>
  <c r="H344" i="1" s="1"/>
  <c r="Y344" i="1" s="1"/>
  <c r="G345" i="1"/>
  <c r="H345" i="1" s="1"/>
  <c r="Y345" i="1" s="1"/>
  <c r="G346" i="1"/>
  <c r="H346" i="1" s="1"/>
  <c r="Y346" i="1" s="1"/>
  <c r="G347" i="1"/>
  <c r="H347" i="1" s="1"/>
  <c r="Y347" i="1" s="1"/>
  <c r="G348" i="1"/>
  <c r="H348" i="1" s="1"/>
  <c r="Y348" i="1" s="1"/>
  <c r="G349" i="1"/>
  <c r="H349" i="1" s="1"/>
  <c r="Y349" i="1" s="1"/>
  <c r="G350" i="1"/>
  <c r="H350" i="1" s="1"/>
  <c r="Y350" i="1" s="1"/>
  <c r="G351" i="1"/>
  <c r="H351" i="1" s="1"/>
  <c r="Y351" i="1" s="1"/>
  <c r="G352" i="1"/>
  <c r="H352" i="1" s="1"/>
  <c r="Y352" i="1" s="1"/>
  <c r="G353" i="1"/>
  <c r="H353" i="1" s="1"/>
  <c r="Y353" i="1" s="1"/>
  <c r="G354" i="1"/>
  <c r="H354" i="1" s="1"/>
  <c r="Y354" i="1" s="1"/>
  <c r="G355" i="1"/>
  <c r="H355" i="1" s="1"/>
  <c r="Y355" i="1" s="1"/>
  <c r="G356" i="1"/>
  <c r="H356" i="1" s="1"/>
  <c r="Y356" i="1" s="1"/>
  <c r="G357" i="1"/>
  <c r="H357" i="1" s="1"/>
  <c r="Y357" i="1" s="1"/>
  <c r="G358" i="1"/>
  <c r="H358" i="1" s="1"/>
  <c r="Y358" i="1" s="1"/>
  <c r="G359" i="1"/>
  <c r="H359" i="1" s="1"/>
  <c r="Y359" i="1" s="1"/>
  <c r="G360" i="1"/>
  <c r="H360" i="1" s="1"/>
  <c r="Y360" i="1" s="1"/>
  <c r="G361" i="1"/>
  <c r="H361" i="1" s="1"/>
  <c r="Y361" i="1" s="1"/>
  <c r="G362" i="1"/>
  <c r="H362" i="1" s="1"/>
  <c r="Y362" i="1" s="1"/>
  <c r="G363" i="1"/>
  <c r="H363" i="1" s="1"/>
  <c r="Y363" i="1" s="1"/>
  <c r="G364" i="1"/>
  <c r="H364" i="1" s="1"/>
  <c r="Y364" i="1" s="1"/>
  <c r="G365" i="1"/>
  <c r="H365" i="1" s="1"/>
  <c r="Y365" i="1" s="1"/>
  <c r="G366" i="1"/>
  <c r="H366" i="1" s="1"/>
  <c r="Y366" i="1" s="1"/>
  <c r="G367" i="1"/>
  <c r="H367" i="1" s="1"/>
  <c r="Y367" i="1" s="1"/>
  <c r="G368" i="1"/>
  <c r="H368" i="1" s="1"/>
  <c r="Y368" i="1" s="1"/>
  <c r="G369" i="1"/>
  <c r="H369" i="1" s="1"/>
  <c r="Y369" i="1" s="1"/>
  <c r="G370" i="1"/>
  <c r="H370" i="1" s="1"/>
  <c r="Y370" i="1" s="1"/>
  <c r="G371" i="1"/>
  <c r="H371" i="1" s="1"/>
  <c r="Y371" i="1" s="1"/>
  <c r="G372" i="1"/>
  <c r="H372" i="1" s="1"/>
  <c r="Y372" i="1" s="1"/>
  <c r="G373" i="1"/>
  <c r="H373" i="1" s="1"/>
  <c r="Y373" i="1" s="1"/>
  <c r="G374" i="1"/>
  <c r="H374" i="1" s="1"/>
  <c r="Y374" i="1" s="1"/>
  <c r="G375" i="1"/>
  <c r="H375" i="1" s="1"/>
  <c r="Y375" i="1" s="1"/>
  <c r="G376" i="1"/>
  <c r="H376" i="1" s="1"/>
  <c r="Y376" i="1" s="1"/>
  <c r="G377" i="1"/>
  <c r="H377" i="1" s="1"/>
  <c r="Y377" i="1" s="1"/>
  <c r="G378" i="1"/>
  <c r="H378" i="1" s="1"/>
  <c r="Y378" i="1" s="1"/>
  <c r="G379" i="1"/>
  <c r="H379" i="1" s="1"/>
  <c r="Y379" i="1" s="1"/>
  <c r="G380" i="1"/>
  <c r="H380" i="1" s="1"/>
  <c r="Y380" i="1" s="1"/>
  <c r="G381" i="1"/>
  <c r="H381" i="1" s="1"/>
  <c r="Y381" i="1" s="1"/>
  <c r="G382" i="1"/>
  <c r="H382" i="1" s="1"/>
  <c r="Y382" i="1" s="1"/>
  <c r="G383" i="1"/>
  <c r="H383" i="1" s="1"/>
  <c r="Y383" i="1" s="1"/>
  <c r="G384" i="1"/>
  <c r="H384" i="1" s="1"/>
  <c r="Y384" i="1" s="1"/>
  <c r="G385" i="1"/>
  <c r="H385" i="1" s="1"/>
  <c r="Y385" i="1" s="1"/>
  <c r="G386" i="1"/>
  <c r="H386" i="1" s="1"/>
  <c r="Y386" i="1" s="1"/>
  <c r="G387" i="1"/>
  <c r="H387" i="1" s="1"/>
  <c r="Y387" i="1" s="1"/>
  <c r="G388" i="1"/>
  <c r="H388" i="1" s="1"/>
  <c r="Y388" i="1" s="1"/>
  <c r="G389" i="1"/>
  <c r="H389" i="1" s="1"/>
  <c r="Y389" i="1" s="1"/>
  <c r="G390" i="1"/>
  <c r="H390" i="1" s="1"/>
  <c r="Y390" i="1" s="1"/>
  <c r="G391" i="1"/>
  <c r="H391" i="1" s="1"/>
  <c r="Y391" i="1" s="1"/>
  <c r="G392" i="1"/>
  <c r="H392" i="1" s="1"/>
  <c r="Y392" i="1" s="1"/>
  <c r="G393" i="1"/>
  <c r="H393" i="1" s="1"/>
  <c r="Y393" i="1" s="1"/>
  <c r="G394" i="1"/>
  <c r="H394" i="1" s="1"/>
  <c r="Y394" i="1" s="1"/>
  <c r="G395" i="1"/>
  <c r="H395" i="1" s="1"/>
  <c r="Y395" i="1" s="1"/>
  <c r="G396" i="1"/>
  <c r="H396" i="1" s="1"/>
  <c r="Y396" i="1" s="1"/>
  <c r="G397" i="1"/>
  <c r="H397" i="1" s="1"/>
  <c r="Y397" i="1" s="1"/>
  <c r="G398" i="1"/>
  <c r="H398" i="1" s="1"/>
  <c r="Y398" i="1" s="1"/>
  <c r="G399" i="1"/>
  <c r="H399" i="1" s="1"/>
  <c r="Y399" i="1" s="1"/>
  <c r="G400" i="1"/>
  <c r="H400" i="1" s="1"/>
  <c r="Y400" i="1" s="1"/>
  <c r="G401" i="1"/>
  <c r="H401" i="1" s="1"/>
  <c r="Y401" i="1" s="1"/>
  <c r="G402" i="1"/>
  <c r="H402" i="1" s="1"/>
  <c r="Y402" i="1" s="1"/>
  <c r="G403" i="1"/>
  <c r="H403" i="1" s="1"/>
  <c r="Y403" i="1" s="1"/>
  <c r="G404" i="1"/>
  <c r="H404" i="1" s="1"/>
  <c r="Y404" i="1" s="1"/>
  <c r="G405" i="1"/>
  <c r="H405" i="1" s="1"/>
  <c r="Y405" i="1" s="1"/>
  <c r="G406" i="1"/>
  <c r="H406" i="1" s="1"/>
  <c r="Y406" i="1" s="1"/>
  <c r="G407" i="1"/>
  <c r="H407" i="1" s="1"/>
  <c r="Y407" i="1" s="1"/>
  <c r="G408" i="1"/>
  <c r="H408" i="1" s="1"/>
  <c r="Y408" i="1" s="1"/>
  <c r="G409" i="1"/>
  <c r="H409" i="1" s="1"/>
  <c r="Y409" i="1" s="1"/>
  <c r="G410" i="1"/>
  <c r="H410" i="1" s="1"/>
  <c r="Y410" i="1" s="1"/>
  <c r="G411" i="1"/>
  <c r="H411" i="1" s="1"/>
  <c r="Y411" i="1" s="1"/>
  <c r="G412" i="1"/>
  <c r="H412" i="1" s="1"/>
  <c r="Y412" i="1" s="1"/>
  <c r="G413" i="1"/>
  <c r="H413" i="1" s="1"/>
  <c r="Y413" i="1" s="1"/>
  <c r="G414" i="1"/>
  <c r="H414" i="1" s="1"/>
  <c r="Y414" i="1" s="1"/>
  <c r="G415" i="1"/>
  <c r="H415" i="1" s="1"/>
  <c r="Y415" i="1" s="1"/>
  <c r="G416" i="1"/>
  <c r="H416" i="1" s="1"/>
  <c r="Y416" i="1" s="1"/>
  <c r="G417" i="1"/>
  <c r="H417" i="1" s="1"/>
  <c r="Y417" i="1" s="1"/>
  <c r="G418" i="1"/>
  <c r="H418" i="1" s="1"/>
  <c r="Y418" i="1" s="1"/>
  <c r="G419" i="1"/>
  <c r="H419" i="1" s="1"/>
  <c r="Y419" i="1" s="1"/>
  <c r="G420" i="1"/>
  <c r="H420" i="1" s="1"/>
  <c r="Y420" i="1" s="1"/>
  <c r="G421" i="1"/>
  <c r="H421" i="1" s="1"/>
  <c r="Y421" i="1" s="1"/>
  <c r="G422" i="1"/>
  <c r="H422" i="1" s="1"/>
  <c r="Y422" i="1" s="1"/>
  <c r="G423" i="1"/>
  <c r="H423" i="1" s="1"/>
  <c r="Y423" i="1" s="1"/>
  <c r="G424" i="1"/>
  <c r="H424" i="1" s="1"/>
  <c r="Y424" i="1" s="1"/>
  <c r="G425" i="1"/>
  <c r="H425" i="1" s="1"/>
  <c r="Y425" i="1" s="1"/>
  <c r="G426" i="1"/>
  <c r="H426" i="1" s="1"/>
  <c r="Y426" i="1" s="1"/>
  <c r="G427" i="1"/>
  <c r="H427" i="1" s="1"/>
  <c r="Y427" i="1" s="1"/>
  <c r="G428" i="1"/>
  <c r="H428" i="1" s="1"/>
  <c r="Y428" i="1" s="1"/>
  <c r="G429" i="1"/>
  <c r="H429" i="1" s="1"/>
  <c r="Y429" i="1" s="1"/>
  <c r="G430" i="1"/>
  <c r="H430" i="1" s="1"/>
  <c r="Y430" i="1" s="1"/>
  <c r="G431" i="1"/>
  <c r="H431" i="1" s="1"/>
  <c r="Y431" i="1" s="1"/>
  <c r="G432" i="1"/>
  <c r="H432" i="1" s="1"/>
  <c r="Y432" i="1" s="1"/>
  <c r="G433" i="1"/>
  <c r="H433" i="1" s="1"/>
  <c r="Y433" i="1" s="1"/>
  <c r="G434" i="1"/>
  <c r="H434" i="1" s="1"/>
  <c r="Y434" i="1" s="1"/>
  <c r="G435" i="1"/>
  <c r="H435" i="1" s="1"/>
  <c r="Y435" i="1" s="1"/>
  <c r="G436" i="1"/>
  <c r="H436" i="1" s="1"/>
  <c r="Y436" i="1" s="1"/>
  <c r="G437" i="1"/>
  <c r="H437" i="1" s="1"/>
  <c r="Y437" i="1" s="1"/>
  <c r="G438" i="1"/>
  <c r="H438" i="1" s="1"/>
  <c r="Y438" i="1" s="1"/>
  <c r="G439" i="1"/>
  <c r="H439" i="1" s="1"/>
  <c r="Y439" i="1" s="1"/>
  <c r="G440" i="1"/>
  <c r="H440" i="1" s="1"/>
  <c r="Y440" i="1" s="1"/>
  <c r="G441" i="1"/>
  <c r="H441" i="1" s="1"/>
  <c r="Y441" i="1" s="1"/>
  <c r="G442" i="1"/>
  <c r="H442" i="1" s="1"/>
  <c r="Y442" i="1" s="1"/>
  <c r="G443" i="1"/>
  <c r="H443" i="1" s="1"/>
  <c r="Y443" i="1" s="1"/>
  <c r="G444" i="1"/>
  <c r="H444" i="1" s="1"/>
  <c r="Y444" i="1" s="1"/>
  <c r="G445" i="1"/>
  <c r="H445" i="1" s="1"/>
  <c r="Y445" i="1" s="1"/>
  <c r="G446" i="1"/>
  <c r="H446" i="1" s="1"/>
  <c r="Y446" i="1" s="1"/>
  <c r="G447" i="1"/>
  <c r="H447" i="1" s="1"/>
  <c r="Y447" i="1" s="1"/>
  <c r="G448" i="1"/>
  <c r="H448" i="1" s="1"/>
  <c r="Y448" i="1" s="1"/>
  <c r="G449" i="1"/>
  <c r="H449" i="1" s="1"/>
  <c r="Y449" i="1" s="1"/>
  <c r="G450" i="1"/>
  <c r="H450" i="1" s="1"/>
  <c r="Y450" i="1" s="1"/>
  <c r="G451" i="1"/>
  <c r="H451" i="1" s="1"/>
  <c r="Y451" i="1" s="1"/>
  <c r="G452" i="1"/>
  <c r="H452" i="1" s="1"/>
  <c r="Y452" i="1" s="1"/>
  <c r="G453" i="1"/>
  <c r="H453" i="1" s="1"/>
  <c r="Y453" i="1" s="1"/>
  <c r="G454" i="1"/>
  <c r="H454" i="1" s="1"/>
  <c r="Y454" i="1" s="1"/>
  <c r="G455" i="1"/>
  <c r="H455" i="1" s="1"/>
  <c r="Y455" i="1" s="1"/>
  <c r="G456" i="1"/>
  <c r="H456" i="1" s="1"/>
  <c r="Y456" i="1" s="1"/>
  <c r="G457" i="1"/>
  <c r="H457" i="1" s="1"/>
  <c r="Y457" i="1" s="1"/>
  <c r="G458" i="1"/>
  <c r="H458" i="1" s="1"/>
  <c r="Y458" i="1" s="1"/>
  <c r="G459" i="1"/>
  <c r="H459" i="1" s="1"/>
  <c r="Y459" i="1" s="1"/>
  <c r="G460" i="1"/>
  <c r="H460" i="1" s="1"/>
  <c r="Y460" i="1" s="1"/>
  <c r="G461" i="1"/>
  <c r="H461" i="1" s="1"/>
  <c r="Y461" i="1" s="1"/>
  <c r="G462" i="1"/>
  <c r="H462" i="1" s="1"/>
  <c r="Y462" i="1" s="1"/>
  <c r="G463" i="1"/>
  <c r="H463" i="1" s="1"/>
  <c r="Y463" i="1" s="1"/>
  <c r="G464" i="1"/>
  <c r="H464" i="1" s="1"/>
  <c r="Y464" i="1" s="1"/>
  <c r="G465" i="1"/>
  <c r="H465" i="1" s="1"/>
  <c r="Y465" i="1" s="1"/>
  <c r="G466" i="1"/>
  <c r="H466" i="1" s="1"/>
  <c r="Y466" i="1" s="1"/>
  <c r="G467" i="1"/>
  <c r="H467" i="1" s="1"/>
  <c r="Y467" i="1" s="1"/>
  <c r="G468" i="1"/>
  <c r="H468" i="1" s="1"/>
  <c r="Y468" i="1" s="1"/>
  <c r="G469" i="1"/>
  <c r="H469" i="1" s="1"/>
  <c r="Y469" i="1" s="1"/>
  <c r="G470" i="1"/>
  <c r="H470" i="1" s="1"/>
  <c r="Y470" i="1" s="1"/>
  <c r="G471" i="1"/>
  <c r="H471" i="1" s="1"/>
  <c r="Y471" i="1" s="1"/>
  <c r="G472" i="1"/>
  <c r="H472" i="1" s="1"/>
  <c r="Y472" i="1" s="1"/>
  <c r="G473" i="1"/>
  <c r="H473" i="1" s="1"/>
  <c r="Y473" i="1" s="1"/>
  <c r="G474" i="1"/>
  <c r="H474" i="1" s="1"/>
  <c r="Y474" i="1" s="1"/>
  <c r="G475" i="1"/>
  <c r="H475" i="1" s="1"/>
  <c r="Y475" i="1" s="1"/>
  <c r="G476" i="1"/>
  <c r="H476" i="1" s="1"/>
  <c r="Y476" i="1" s="1"/>
  <c r="G477" i="1"/>
  <c r="H477" i="1" s="1"/>
  <c r="Y477" i="1" s="1"/>
  <c r="G478" i="1"/>
  <c r="H478" i="1" s="1"/>
  <c r="Y478" i="1" s="1"/>
  <c r="G479" i="1"/>
  <c r="H479" i="1" s="1"/>
  <c r="Y479" i="1" s="1"/>
  <c r="G480" i="1"/>
  <c r="H480" i="1" s="1"/>
  <c r="Y480" i="1" s="1"/>
  <c r="G481" i="1"/>
  <c r="H481" i="1" s="1"/>
  <c r="Y481" i="1" s="1"/>
  <c r="G482" i="1"/>
  <c r="H482" i="1" s="1"/>
  <c r="Y482" i="1" s="1"/>
  <c r="G483" i="1"/>
  <c r="H483" i="1" s="1"/>
  <c r="Y483" i="1" s="1"/>
  <c r="G484" i="1"/>
  <c r="H484" i="1" s="1"/>
  <c r="Y484" i="1" s="1"/>
  <c r="G485" i="1"/>
  <c r="H485" i="1" s="1"/>
  <c r="Y485" i="1" s="1"/>
  <c r="G486" i="1"/>
  <c r="H486" i="1" s="1"/>
  <c r="Y486" i="1" s="1"/>
  <c r="G487" i="1"/>
  <c r="H487" i="1" s="1"/>
  <c r="Y487" i="1" s="1"/>
  <c r="G488" i="1"/>
  <c r="H488" i="1" s="1"/>
  <c r="Y488" i="1" s="1"/>
  <c r="G489" i="1"/>
  <c r="H489" i="1" s="1"/>
  <c r="Y489" i="1" s="1"/>
  <c r="G490" i="1"/>
  <c r="H490" i="1" s="1"/>
  <c r="Y490" i="1" s="1"/>
  <c r="G491" i="1"/>
  <c r="H491" i="1" s="1"/>
  <c r="Y491" i="1" s="1"/>
  <c r="G492" i="1"/>
  <c r="H492" i="1" s="1"/>
  <c r="Y492" i="1" s="1"/>
  <c r="G493" i="1"/>
  <c r="H493" i="1" s="1"/>
  <c r="Y493" i="1" s="1"/>
  <c r="G494" i="1"/>
  <c r="H494" i="1" s="1"/>
  <c r="Y494" i="1" s="1"/>
  <c r="G495" i="1"/>
  <c r="H495" i="1" s="1"/>
  <c r="Y495" i="1" s="1"/>
  <c r="G496" i="1"/>
  <c r="H496" i="1" s="1"/>
  <c r="Y496" i="1" s="1"/>
  <c r="G497" i="1"/>
  <c r="H497" i="1" s="1"/>
  <c r="Y497" i="1" s="1"/>
  <c r="G498" i="1"/>
  <c r="H498" i="1" s="1"/>
  <c r="Y498" i="1" s="1"/>
  <c r="G499" i="1"/>
  <c r="H499" i="1" s="1"/>
  <c r="Y499" i="1" s="1"/>
  <c r="G500" i="1"/>
  <c r="H500" i="1" s="1"/>
  <c r="Y500" i="1" s="1"/>
  <c r="G501" i="1"/>
  <c r="H501" i="1" s="1"/>
  <c r="Y501" i="1" s="1"/>
  <c r="G502" i="1"/>
  <c r="H502" i="1" s="1"/>
  <c r="Y502" i="1" s="1"/>
  <c r="G503" i="1"/>
  <c r="H503" i="1" s="1"/>
  <c r="Y503" i="1" s="1"/>
  <c r="G504" i="1"/>
  <c r="H504" i="1" s="1"/>
  <c r="Y504" i="1" s="1"/>
  <c r="G505" i="1"/>
  <c r="H505" i="1" s="1"/>
  <c r="Y505" i="1" s="1"/>
  <c r="G506" i="1"/>
  <c r="H506" i="1" s="1"/>
  <c r="Y506" i="1" s="1"/>
  <c r="G507" i="1"/>
  <c r="H507" i="1" s="1"/>
  <c r="Y507" i="1" s="1"/>
  <c r="G508" i="1"/>
  <c r="H508" i="1" s="1"/>
  <c r="Y508" i="1" s="1"/>
  <c r="G509" i="1"/>
  <c r="H509" i="1" s="1"/>
  <c r="Y509" i="1" s="1"/>
  <c r="G510" i="1"/>
  <c r="H510" i="1" s="1"/>
  <c r="Y510" i="1" s="1"/>
  <c r="G511" i="1"/>
  <c r="H511" i="1" s="1"/>
  <c r="Y511" i="1" s="1"/>
  <c r="G512" i="1"/>
  <c r="H512" i="1" s="1"/>
  <c r="Y512" i="1" s="1"/>
  <c r="G513" i="1"/>
  <c r="H513" i="1" s="1"/>
  <c r="Y513" i="1" s="1"/>
  <c r="G514" i="1"/>
  <c r="H514" i="1" s="1"/>
  <c r="Y514" i="1" s="1"/>
  <c r="G515" i="1"/>
  <c r="H515" i="1" s="1"/>
  <c r="Y515" i="1" s="1"/>
  <c r="G516" i="1"/>
  <c r="H516" i="1" s="1"/>
  <c r="Y516" i="1" s="1"/>
  <c r="G517" i="1"/>
  <c r="H517" i="1" s="1"/>
  <c r="Y517" i="1" s="1"/>
  <c r="G518" i="1"/>
  <c r="H518" i="1" s="1"/>
  <c r="Y518" i="1" s="1"/>
  <c r="G519" i="1"/>
  <c r="H519" i="1" s="1"/>
  <c r="Y519" i="1" s="1"/>
  <c r="G520" i="1"/>
  <c r="H520" i="1" s="1"/>
  <c r="Y520" i="1" s="1"/>
  <c r="G521" i="1"/>
  <c r="H521" i="1" s="1"/>
  <c r="Y521" i="1" s="1"/>
  <c r="G522" i="1"/>
  <c r="H522" i="1" s="1"/>
  <c r="Y522" i="1" s="1"/>
  <c r="G523" i="1"/>
  <c r="H523" i="1" s="1"/>
  <c r="Y523" i="1" s="1"/>
  <c r="G524" i="1"/>
  <c r="H524" i="1" s="1"/>
  <c r="Y524" i="1" s="1"/>
  <c r="G525" i="1"/>
  <c r="H525" i="1" s="1"/>
  <c r="Y525" i="1" s="1"/>
  <c r="G526" i="1"/>
  <c r="H526" i="1" s="1"/>
  <c r="Y526" i="1" s="1"/>
  <c r="G527" i="1"/>
  <c r="H527" i="1" s="1"/>
  <c r="Y527" i="1" s="1"/>
  <c r="G528" i="1"/>
  <c r="H528" i="1" s="1"/>
  <c r="Y528" i="1" s="1"/>
  <c r="G529" i="1"/>
  <c r="H529" i="1" s="1"/>
  <c r="Y529" i="1" s="1"/>
  <c r="G530" i="1"/>
  <c r="H530" i="1" s="1"/>
  <c r="Y530" i="1" s="1"/>
  <c r="G531" i="1"/>
  <c r="H531" i="1" s="1"/>
  <c r="Y531" i="1" s="1"/>
  <c r="G532" i="1"/>
  <c r="H532" i="1" s="1"/>
  <c r="Y532" i="1" s="1"/>
  <c r="G533" i="1"/>
  <c r="H533" i="1" s="1"/>
  <c r="Y533" i="1" s="1"/>
  <c r="G534" i="1"/>
  <c r="H534" i="1" s="1"/>
  <c r="Y534" i="1" s="1"/>
  <c r="G535" i="1"/>
  <c r="H535" i="1" s="1"/>
  <c r="Y535" i="1" s="1"/>
  <c r="G536" i="1"/>
  <c r="H536" i="1" s="1"/>
  <c r="Y536" i="1" s="1"/>
  <c r="G537" i="1"/>
  <c r="H537" i="1" s="1"/>
  <c r="Y537" i="1" s="1"/>
  <c r="G538" i="1"/>
  <c r="H538" i="1" s="1"/>
  <c r="Y538" i="1" s="1"/>
  <c r="G539" i="1"/>
  <c r="H539" i="1" s="1"/>
  <c r="Y539" i="1" s="1"/>
  <c r="G540" i="1"/>
  <c r="H540" i="1" s="1"/>
  <c r="Y540" i="1" s="1"/>
  <c r="G541" i="1"/>
  <c r="H541" i="1" s="1"/>
  <c r="Y541" i="1" s="1"/>
  <c r="G542" i="1"/>
  <c r="H542" i="1" s="1"/>
  <c r="Y542" i="1" s="1"/>
  <c r="G543" i="1"/>
  <c r="H543" i="1" s="1"/>
  <c r="Y543" i="1" s="1"/>
  <c r="G544" i="1"/>
  <c r="H544" i="1" s="1"/>
  <c r="Y544" i="1" s="1"/>
  <c r="G545" i="1"/>
  <c r="H545" i="1" s="1"/>
  <c r="Y545" i="1" s="1"/>
  <c r="G546" i="1"/>
  <c r="H546" i="1" s="1"/>
  <c r="Y546" i="1" s="1"/>
  <c r="G547" i="1"/>
  <c r="H547" i="1" s="1"/>
  <c r="Y547" i="1" s="1"/>
  <c r="G548" i="1"/>
  <c r="H548" i="1" s="1"/>
  <c r="Y548" i="1" s="1"/>
  <c r="G549" i="1"/>
  <c r="H549" i="1" s="1"/>
  <c r="Y549" i="1" s="1"/>
  <c r="G550" i="1"/>
  <c r="H550" i="1" s="1"/>
  <c r="Y550" i="1" s="1"/>
  <c r="G551" i="1"/>
  <c r="H551" i="1" s="1"/>
  <c r="Y551" i="1" s="1"/>
  <c r="G552" i="1"/>
  <c r="H552" i="1" s="1"/>
  <c r="Y552" i="1" s="1"/>
  <c r="G553" i="1"/>
  <c r="H553" i="1" s="1"/>
  <c r="Y553" i="1" s="1"/>
  <c r="G554" i="1"/>
  <c r="H554" i="1" s="1"/>
  <c r="Y554" i="1" s="1"/>
  <c r="G555" i="1"/>
  <c r="H555" i="1" s="1"/>
  <c r="Y555" i="1" s="1"/>
  <c r="G556" i="1"/>
  <c r="H556" i="1" s="1"/>
  <c r="Y556" i="1" s="1"/>
  <c r="G557" i="1"/>
  <c r="H557" i="1" s="1"/>
  <c r="Y557" i="1" s="1"/>
  <c r="G558" i="1"/>
  <c r="H558" i="1" s="1"/>
  <c r="Y558" i="1" s="1"/>
  <c r="G559" i="1"/>
  <c r="H559" i="1" s="1"/>
  <c r="Y559" i="1" s="1"/>
  <c r="G560" i="1"/>
  <c r="H560" i="1" s="1"/>
  <c r="Y560" i="1" s="1"/>
  <c r="G561" i="1"/>
  <c r="H561" i="1" s="1"/>
  <c r="Y561" i="1" s="1"/>
  <c r="G562" i="1"/>
  <c r="H562" i="1" s="1"/>
  <c r="Y562" i="1" s="1"/>
  <c r="G563" i="1"/>
  <c r="H563" i="1" s="1"/>
  <c r="Y563" i="1" s="1"/>
  <c r="G564" i="1"/>
  <c r="H564" i="1" s="1"/>
  <c r="Y564" i="1" s="1"/>
  <c r="G565" i="1"/>
  <c r="H565" i="1" s="1"/>
  <c r="Y565" i="1" s="1"/>
  <c r="G566" i="1"/>
  <c r="H566" i="1" s="1"/>
  <c r="Y566" i="1" s="1"/>
  <c r="G567" i="1"/>
  <c r="H567" i="1" s="1"/>
  <c r="Y567" i="1" s="1"/>
  <c r="G568" i="1"/>
  <c r="H568" i="1" s="1"/>
  <c r="Y568" i="1" s="1"/>
  <c r="G569" i="1"/>
  <c r="H569" i="1" s="1"/>
  <c r="Y569" i="1" s="1"/>
  <c r="G570" i="1"/>
  <c r="H570" i="1" s="1"/>
  <c r="Y570" i="1" s="1"/>
  <c r="G571" i="1"/>
  <c r="H571" i="1" s="1"/>
  <c r="Y571" i="1" s="1"/>
  <c r="G572" i="1"/>
  <c r="H572" i="1" s="1"/>
  <c r="Y572" i="1" s="1"/>
  <c r="G573" i="1"/>
  <c r="H573" i="1" s="1"/>
  <c r="Y573" i="1" s="1"/>
  <c r="G574" i="1"/>
  <c r="H574" i="1" s="1"/>
  <c r="Y574" i="1" s="1"/>
  <c r="G575" i="1"/>
  <c r="H575" i="1" s="1"/>
  <c r="Y575" i="1" s="1"/>
  <c r="G576" i="1"/>
  <c r="H576" i="1" s="1"/>
  <c r="Y576" i="1" s="1"/>
  <c r="G577" i="1"/>
  <c r="H577" i="1" s="1"/>
  <c r="Y577" i="1" s="1"/>
  <c r="G578" i="1"/>
  <c r="H578" i="1" s="1"/>
  <c r="Y578" i="1" s="1"/>
  <c r="G579" i="1"/>
  <c r="H579" i="1" s="1"/>
  <c r="Y579" i="1" s="1"/>
  <c r="G580" i="1"/>
  <c r="H580" i="1" s="1"/>
  <c r="Y580" i="1" s="1"/>
  <c r="G581" i="1"/>
  <c r="H581" i="1" s="1"/>
  <c r="Y581" i="1" s="1"/>
  <c r="G582" i="1"/>
  <c r="H582" i="1" s="1"/>
  <c r="Y582" i="1" s="1"/>
  <c r="G583" i="1"/>
  <c r="H583" i="1" s="1"/>
  <c r="Y583" i="1" s="1"/>
  <c r="G584" i="1"/>
  <c r="H584" i="1" s="1"/>
  <c r="Y584" i="1" s="1"/>
  <c r="G585" i="1"/>
  <c r="H585" i="1" s="1"/>
  <c r="Y585" i="1" s="1"/>
  <c r="G586" i="1"/>
  <c r="H586" i="1" s="1"/>
  <c r="Y586" i="1" s="1"/>
  <c r="G587" i="1"/>
  <c r="H587" i="1" s="1"/>
  <c r="Y587" i="1" s="1"/>
  <c r="G588" i="1"/>
  <c r="H588" i="1" s="1"/>
  <c r="Y588" i="1" s="1"/>
  <c r="G589" i="1"/>
  <c r="H589" i="1" s="1"/>
  <c r="Y589" i="1" s="1"/>
  <c r="G590" i="1"/>
  <c r="H590" i="1" s="1"/>
  <c r="Y590" i="1" s="1"/>
  <c r="G591" i="1"/>
  <c r="H591" i="1" s="1"/>
  <c r="Y591" i="1" s="1"/>
  <c r="G592" i="1"/>
  <c r="H592" i="1" s="1"/>
  <c r="Y592" i="1" s="1"/>
  <c r="G593" i="1"/>
  <c r="H593" i="1" s="1"/>
  <c r="Y593" i="1" s="1"/>
  <c r="G594" i="1"/>
  <c r="H594" i="1" s="1"/>
  <c r="Y594" i="1" s="1"/>
  <c r="G595" i="1"/>
  <c r="H595" i="1" s="1"/>
  <c r="Y595" i="1" s="1"/>
  <c r="G596" i="1"/>
  <c r="H596" i="1" s="1"/>
  <c r="Y596" i="1" s="1"/>
  <c r="G597" i="1"/>
  <c r="H597" i="1" s="1"/>
  <c r="Y597" i="1" s="1"/>
  <c r="G598" i="1"/>
  <c r="H598" i="1" s="1"/>
  <c r="Y598" i="1" s="1"/>
  <c r="G599" i="1"/>
  <c r="H599" i="1" s="1"/>
  <c r="Y599" i="1" s="1"/>
  <c r="G600" i="1"/>
  <c r="H600" i="1" s="1"/>
  <c r="Y600" i="1" s="1"/>
  <c r="G601" i="1"/>
  <c r="H601" i="1" s="1"/>
  <c r="Y601" i="1" s="1"/>
  <c r="G602" i="1"/>
  <c r="H602" i="1" s="1"/>
  <c r="Y602" i="1" s="1"/>
  <c r="G603" i="1"/>
  <c r="H603" i="1" s="1"/>
  <c r="Y603" i="1" s="1"/>
  <c r="G604" i="1"/>
  <c r="H604" i="1" s="1"/>
  <c r="Y604" i="1" s="1"/>
  <c r="G605" i="1"/>
  <c r="H605" i="1" s="1"/>
  <c r="Y605" i="1" s="1"/>
  <c r="G606" i="1"/>
  <c r="H606" i="1" s="1"/>
  <c r="Y606" i="1" s="1"/>
  <c r="G607" i="1"/>
  <c r="H607" i="1" s="1"/>
  <c r="Y607" i="1" s="1"/>
  <c r="G608" i="1"/>
  <c r="H608" i="1" s="1"/>
  <c r="Y608" i="1" s="1"/>
  <c r="G609" i="1"/>
  <c r="H609" i="1" s="1"/>
  <c r="Y609" i="1" s="1"/>
  <c r="G610" i="1"/>
  <c r="H610" i="1" s="1"/>
  <c r="Y610" i="1" s="1"/>
  <c r="G611" i="1"/>
  <c r="H611" i="1" s="1"/>
  <c r="Y611" i="1" s="1"/>
  <c r="G612" i="1"/>
  <c r="H612" i="1" s="1"/>
  <c r="Y612" i="1" s="1"/>
  <c r="G613" i="1"/>
  <c r="H613" i="1" s="1"/>
  <c r="Y613" i="1" s="1"/>
  <c r="G614" i="1"/>
  <c r="H614" i="1" s="1"/>
  <c r="Y614" i="1" s="1"/>
  <c r="G615" i="1"/>
  <c r="H615" i="1" s="1"/>
  <c r="Y615" i="1" s="1"/>
  <c r="G616" i="1"/>
  <c r="H616" i="1" s="1"/>
  <c r="Y616" i="1" s="1"/>
  <c r="G617" i="1"/>
  <c r="H617" i="1" s="1"/>
  <c r="Y617" i="1" s="1"/>
  <c r="G618" i="1"/>
  <c r="H618" i="1" s="1"/>
  <c r="Y618" i="1" s="1"/>
  <c r="G619" i="1"/>
  <c r="H619" i="1" s="1"/>
  <c r="Y619" i="1" s="1"/>
  <c r="G620" i="1"/>
  <c r="H620" i="1" s="1"/>
  <c r="Y620" i="1" s="1"/>
  <c r="G621" i="1"/>
  <c r="H621" i="1" s="1"/>
  <c r="Y621" i="1" s="1"/>
  <c r="G622" i="1"/>
  <c r="H622" i="1" s="1"/>
  <c r="Y622" i="1" s="1"/>
  <c r="G623" i="1"/>
  <c r="H623" i="1" s="1"/>
  <c r="Y623" i="1" s="1"/>
  <c r="G624" i="1"/>
  <c r="H624" i="1" s="1"/>
  <c r="Y624" i="1" s="1"/>
  <c r="G625" i="1"/>
  <c r="H625" i="1" s="1"/>
  <c r="Y625" i="1" s="1"/>
  <c r="G626" i="1"/>
  <c r="H626" i="1" s="1"/>
  <c r="Y626" i="1" s="1"/>
  <c r="G627" i="1"/>
  <c r="H627" i="1" s="1"/>
  <c r="Y627" i="1" s="1"/>
  <c r="G628" i="1"/>
  <c r="H628" i="1" s="1"/>
  <c r="Y628" i="1" s="1"/>
  <c r="G629" i="1"/>
  <c r="H629" i="1" s="1"/>
  <c r="Y629" i="1" s="1"/>
  <c r="G630" i="1"/>
  <c r="H630" i="1" s="1"/>
  <c r="Y630" i="1" s="1"/>
  <c r="G631" i="1"/>
  <c r="H631" i="1" s="1"/>
  <c r="Y631" i="1" s="1"/>
  <c r="G632" i="1"/>
  <c r="H632" i="1" s="1"/>
  <c r="Y632" i="1" s="1"/>
  <c r="G633" i="1"/>
  <c r="H633" i="1" s="1"/>
  <c r="Y633" i="1" s="1"/>
  <c r="G634" i="1"/>
  <c r="H634" i="1" s="1"/>
  <c r="Y634" i="1" s="1"/>
  <c r="G635" i="1"/>
  <c r="H635" i="1" s="1"/>
  <c r="Y635" i="1" s="1"/>
  <c r="G636" i="1"/>
  <c r="H636" i="1" s="1"/>
  <c r="Y636" i="1" s="1"/>
  <c r="G637" i="1"/>
  <c r="H637" i="1" s="1"/>
  <c r="Y637" i="1" s="1"/>
  <c r="G638" i="1"/>
  <c r="H638" i="1" s="1"/>
  <c r="Y638" i="1" s="1"/>
  <c r="G639" i="1"/>
  <c r="H639" i="1" s="1"/>
  <c r="Y639" i="1" s="1"/>
  <c r="G640" i="1"/>
  <c r="H640" i="1" s="1"/>
  <c r="Y640" i="1" s="1"/>
  <c r="G641" i="1"/>
  <c r="H641" i="1" s="1"/>
  <c r="Y641" i="1" s="1"/>
  <c r="G642" i="1"/>
  <c r="H642" i="1" s="1"/>
  <c r="Y642" i="1" s="1"/>
  <c r="G643" i="1"/>
  <c r="H643" i="1" s="1"/>
  <c r="Y643" i="1" s="1"/>
  <c r="G644" i="1"/>
  <c r="H644" i="1" s="1"/>
  <c r="Y644" i="1" s="1"/>
  <c r="G645" i="1"/>
  <c r="H645" i="1" s="1"/>
  <c r="Y645" i="1" s="1"/>
  <c r="G646" i="1"/>
  <c r="H646" i="1" s="1"/>
  <c r="Y646" i="1" s="1"/>
  <c r="G647" i="1"/>
  <c r="H647" i="1" s="1"/>
  <c r="Y647" i="1" s="1"/>
  <c r="G648" i="1"/>
  <c r="H648" i="1" s="1"/>
  <c r="Y648" i="1" s="1"/>
  <c r="G649" i="1"/>
  <c r="H649" i="1" s="1"/>
  <c r="Y649" i="1" s="1"/>
  <c r="G650" i="1"/>
  <c r="H650" i="1" s="1"/>
  <c r="Y650" i="1" s="1"/>
  <c r="G651" i="1"/>
  <c r="H651" i="1" s="1"/>
  <c r="Y651" i="1" s="1"/>
  <c r="G652" i="1"/>
  <c r="H652" i="1" s="1"/>
  <c r="Y652" i="1" s="1"/>
  <c r="G653" i="1"/>
  <c r="H653" i="1" s="1"/>
  <c r="Y653" i="1" s="1"/>
  <c r="G654" i="1"/>
  <c r="H654" i="1" s="1"/>
  <c r="Y654" i="1" s="1"/>
  <c r="G655" i="1"/>
  <c r="H655" i="1" s="1"/>
  <c r="Y655" i="1" s="1"/>
  <c r="G656" i="1"/>
  <c r="H656" i="1" s="1"/>
  <c r="Y656" i="1" s="1"/>
  <c r="G657" i="1"/>
  <c r="H657" i="1" s="1"/>
  <c r="Y657" i="1" s="1"/>
  <c r="G658" i="1"/>
  <c r="H658" i="1" s="1"/>
  <c r="Y658" i="1" s="1"/>
  <c r="G659" i="1"/>
  <c r="H659" i="1" s="1"/>
  <c r="Y659" i="1" s="1"/>
  <c r="G660" i="1"/>
  <c r="H660" i="1" s="1"/>
  <c r="Y660" i="1" s="1"/>
  <c r="G661" i="1"/>
  <c r="H661" i="1" s="1"/>
  <c r="Y661" i="1" s="1"/>
  <c r="G662" i="1"/>
  <c r="H662" i="1" s="1"/>
  <c r="Y662" i="1" s="1"/>
  <c r="G663" i="1"/>
  <c r="H663" i="1" s="1"/>
  <c r="Y663" i="1" s="1"/>
  <c r="G664" i="1"/>
  <c r="H664" i="1" s="1"/>
  <c r="Y664" i="1" s="1"/>
  <c r="G665" i="1"/>
  <c r="H665" i="1" s="1"/>
  <c r="Y665" i="1" s="1"/>
  <c r="G666" i="1"/>
  <c r="H666" i="1" s="1"/>
  <c r="Y666" i="1" s="1"/>
  <c r="G667" i="1"/>
  <c r="H667" i="1" s="1"/>
  <c r="Y667" i="1" s="1"/>
  <c r="G668" i="1"/>
  <c r="H668" i="1" s="1"/>
  <c r="Y668" i="1" s="1"/>
  <c r="G669" i="1"/>
  <c r="H669" i="1" s="1"/>
  <c r="Y669" i="1" s="1"/>
  <c r="G670" i="1"/>
  <c r="H670" i="1" s="1"/>
  <c r="Y670" i="1" s="1"/>
  <c r="G671" i="1"/>
  <c r="H671" i="1" s="1"/>
  <c r="Y671" i="1" s="1"/>
  <c r="G672" i="1"/>
  <c r="H672" i="1" s="1"/>
  <c r="Y672" i="1" s="1"/>
  <c r="G673" i="1"/>
  <c r="H673" i="1" s="1"/>
  <c r="Y673" i="1" s="1"/>
  <c r="G674" i="1"/>
  <c r="H674" i="1" s="1"/>
  <c r="Y674" i="1" s="1"/>
  <c r="G675" i="1"/>
  <c r="H675" i="1" s="1"/>
  <c r="Y675" i="1" s="1"/>
  <c r="G676" i="1"/>
  <c r="H676" i="1" s="1"/>
  <c r="Y676" i="1" s="1"/>
  <c r="G677" i="1"/>
  <c r="H677" i="1" s="1"/>
  <c r="Y677" i="1" s="1"/>
  <c r="G678" i="1"/>
  <c r="H678" i="1" s="1"/>
  <c r="Y678" i="1" s="1"/>
  <c r="G679" i="1"/>
  <c r="H679" i="1" s="1"/>
  <c r="Y679" i="1" s="1"/>
  <c r="G680" i="1"/>
  <c r="H680" i="1" s="1"/>
  <c r="Y680" i="1" s="1"/>
  <c r="G681" i="1"/>
  <c r="H681" i="1" s="1"/>
  <c r="Y681" i="1" s="1"/>
  <c r="G682" i="1"/>
  <c r="H682" i="1" s="1"/>
  <c r="Y682" i="1" s="1"/>
  <c r="G683" i="1"/>
  <c r="H683" i="1" s="1"/>
  <c r="Y683" i="1" s="1"/>
  <c r="G684" i="1"/>
  <c r="H684" i="1" s="1"/>
  <c r="Y684" i="1" s="1"/>
  <c r="G685" i="1"/>
  <c r="H685" i="1" s="1"/>
  <c r="Y685" i="1" s="1"/>
  <c r="G686" i="1"/>
  <c r="H686" i="1" s="1"/>
  <c r="Y686" i="1" s="1"/>
  <c r="G687" i="1"/>
  <c r="H687" i="1" s="1"/>
  <c r="Y687" i="1" s="1"/>
  <c r="G688" i="1"/>
  <c r="H688" i="1" s="1"/>
  <c r="Y688" i="1" s="1"/>
  <c r="G689" i="1"/>
  <c r="H689" i="1" s="1"/>
  <c r="Y689" i="1" s="1"/>
  <c r="G690" i="1"/>
  <c r="H690" i="1" s="1"/>
  <c r="Y690" i="1" s="1"/>
  <c r="G691" i="1"/>
  <c r="H691" i="1" s="1"/>
  <c r="Y691" i="1" s="1"/>
  <c r="G692" i="1"/>
  <c r="H692" i="1" s="1"/>
  <c r="Y692" i="1" s="1"/>
  <c r="G693" i="1"/>
  <c r="H693" i="1" s="1"/>
  <c r="Y693" i="1" s="1"/>
  <c r="G694" i="1"/>
  <c r="H694" i="1" s="1"/>
  <c r="Y694" i="1" s="1"/>
  <c r="G695" i="1"/>
  <c r="H695" i="1" s="1"/>
  <c r="Y695" i="1" s="1"/>
  <c r="G696" i="1"/>
  <c r="H696" i="1" s="1"/>
  <c r="Y696" i="1" s="1"/>
  <c r="G697" i="1"/>
  <c r="H697" i="1" s="1"/>
  <c r="Y697" i="1" s="1"/>
  <c r="G698" i="1"/>
  <c r="H698" i="1" s="1"/>
  <c r="Y698" i="1" s="1"/>
  <c r="G699" i="1"/>
  <c r="H699" i="1" s="1"/>
  <c r="Y699" i="1" s="1"/>
  <c r="G700" i="1"/>
  <c r="H700" i="1" s="1"/>
  <c r="Y700" i="1" s="1"/>
  <c r="G701" i="1"/>
  <c r="H701" i="1" s="1"/>
  <c r="Y701" i="1" s="1"/>
  <c r="G702" i="1"/>
  <c r="H702" i="1" s="1"/>
  <c r="Y702" i="1" s="1"/>
  <c r="G703" i="1"/>
  <c r="H703" i="1" s="1"/>
  <c r="Y703" i="1" s="1"/>
  <c r="G704" i="1"/>
  <c r="H704" i="1" s="1"/>
  <c r="Y704" i="1" s="1"/>
  <c r="G705" i="1"/>
  <c r="H705" i="1" s="1"/>
  <c r="Y705" i="1" s="1"/>
  <c r="G706" i="1"/>
  <c r="H706" i="1" s="1"/>
  <c r="Y706" i="1" s="1"/>
  <c r="G707" i="1"/>
  <c r="H707" i="1" s="1"/>
  <c r="Y707" i="1" s="1"/>
  <c r="G708" i="1"/>
  <c r="H708" i="1" s="1"/>
  <c r="Y708" i="1" s="1"/>
  <c r="G709" i="1"/>
  <c r="H709" i="1" s="1"/>
  <c r="Y709" i="1" s="1"/>
  <c r="G710" i="1"/>
  <c r="H710" i="1" s="1"/>
  <c r="Y710" i="1" s="1"/>
  <c r="G711" i="1"/>
  <c r="H711" i="1" s="1"/>
  <c r="Y711" i="1" s="1"/>
  <c r="G712" i="1"/>
  <c r="H712" i="1" s="1"/>
  <c r="Y712" i="1" s="1"/>
  <c r="G713" i="1"/>
  <c r="H713" i="1" s="1"/>
  <c r="Y713" i="1" s="1"/>
  <c r="G714" i="1"/>
  <c r="H714" i="1" s="1"/>
  <c r="Y714" i="1" s="1"/>
  <c r="G715" i="1"/>
  <c r="H715" i="1" s="1"/>
  <c r="Y715" i="1" s="1"/>
  <c r="G716" i="1"/>
  <c r="H716" i="1" s="1"/>
  <c r="Y716" i="1" s="1"/>
  <c r="G717" i="1"/>
  <c r="H717" i="1" s="1"/>
  <c r="Y717" i="1" s="1"/>
  <c r="G718" i="1"/>
  <c r="H718" i="1" s="1"/>
  <c r="Y718" i="1" s="1"/>
  <c r="G719" i="1"/>
  <c r="H719" i="1" s="1"/>
  <c r="Y719" i="1" s="1"/>
  <c r="G720" i="1"/>
  <c r="H720" i="1" s="1"/>
  <c r="Y720" i="1" s="1"/>
  <c r="G721" i="1"/>
  <c r="H721" i="1" s="1"/>
  <c r="Y721" i="1" s="1"/>
  <c r="G722" i="1"/>
  <c r="H722" i="1" s="1"/>
  <c r="Y722" i="1" s="1"/>
  <c r="G723" i="1"/>
  <c r="H723" i="1" s="1"/>
  <c r="Y723" i="1" s="1"/>
  <c r="G724" i="1"/>
  <c r="H724" i="1" s="1"/>
  <c r="Y724" i="1" s="1"/>
  <c r="G725" i="1"/>
  <c r="H725" i="1" s="1"/>
  <c r="Y725" i="1" s="1"/>
  <c r="G726" i="1"/>
  <c r="H726" i="1" s="1"/>
  <c r="Y726" i="1" s="1"/>
  <c r="G727" i="1"/>
  <c r="H727" i="1" s="1"/>
  <c r="Y727" i="1" s="1"/>
  <c r="G728" i="1"/>
  <c r="H728" i="1" s="1"/>
  <c r="Y728" i="1" s="1"/>
  <c r="G729" i="1"/>
  <c r="H729" i="1" s="1"/>
  <c r="Y729" i="1" s="1"/>
  <c r="G730" i="1"/>
  <c r="H730" i="1" s="1"/>
  <c r="Y730" i="1" s="1"/>
  <c r="G731" i="1"/>
  <c r="H731" i="1" s="1"/>
  <c r="Y731" i="1" s="1"/>
  <c r="G732" i="1"/>
  <c r="H732" i="1" s="1"/>
  <c r="Y732" i="1" s="1"/>
  <c r="G733" i="1"/>
  <c r="H733" i="1" s="1"/>
  <c r="Y733" i="1" s="1"/>
  <c r="G734" i="1"/>
  <c r="H734" i="1" s="1"/>
  <c r="Y734" i="1" s="1"/>
  <c r="G735" i="1"/>
  <c r="H735" i="1" s="1"/>
  <c r="Y735" i="1" s="1"/>
  <c r="G736" i="1"/>
  <c r="H736" i="1" s="1"/>
  <c r="Y736" i="1" s="1"/>
  <c r="G737" i="1"/>
  <c r="H737" i="1" s="1"/>
  <c r="Y737" i="1" s="1"/>
  <c r="G738" i="1"/>
  <c r="H738" i="1" s="1"/>
  <c r="Y738" i="1" s="1"/>
  <c r="G739" i="1"/>
  <c r="H739" i="1" s="1"/>
  <c r="Y739" i="1" s="1"/>
  <c r="G740" i="1"/>
  <c r="H740" i="1" s="1"/>
  <c r="Y740" i="1" s="1"/>
  <c r="G741" i="1"/>
  <c r="H741" i="1" s="1"/>
  <c r="Y741" i="1" s="1"/>
  <c r="G742" i="1"/>
  <c r="H742" i="1" s="1"/>
  <c r="Y742" i="1" s="1"/>
  <c r="G743" i="1"/>
  <c r="H743" i="1" s="1"/>
  <c r="Y743" i="1" s="1"/>
  <c r="G744" i="1"/>
  <c r="H744" i="1" s="1"/>
  <c r="Y744" i="1" s="1"/>
  <c r="G745" i="1"/>
  <c r="H745" i="1" s="1"/>
  <c r="Y745" i="1" s="1"/>
  <c r="G746" i="1"/>
  <c r="H746" i="1" s="1"/>
  <c r="Y746" i="1" s="1"/>
  <c r="G747" i="1"/>
  <c r="H747" i="1" s="1"/>
  <c r="Y747" i="1" s="1"/>
  <c r="G748" i="1"/>
  <c r="H748" i="1" s="1"/>
  <c r="Y748" i="1" s="1"/>
  <c r="G749" i="1"/>
  <c r="H749" i="1" s="1"/>
  <c r="Y749" i="1" s="1"/>
  <c r="G750" i="1"/>
  <c r="H750" i="1" s="1"/>
  <c r="Y750" i="1" s="1"/>
  <c r="G751" i="1"/>
  <c r="H751" i="1" s="1"/>
  <c r="Y751" i="1" s="1"/>
  <c r="G752" i="1"/>
  <c r="H752" i="1" s="1"/>
  <c r="Y752" i="1" s="1"/>
  <c r="G753" i="1"/>
  <c r="H753" i="1" s="1"/>
  <c r="Y753" i="1" s="1"/>
  <c r="G754" i="1"/>
  <c r="H754" i="1" s="1"/>
  <c r="Y754" i="1" s="1"/>
  <c r="G755" i="1"/>
  <c r="H755" i="1" s="1"/>
  <c r="Y755" i="1" s="1"/>
  <c r="G756" i="1"/>
  <c r="H756" i="1" s="1"/>
  <c r="Y756" i="1" s="1"/>
  <c r="G757" i="1"/>
  <c r="H757" i="1" s="1"/>
  <c r="Y757" i="1" s="1"/>
  <c r="G758" i="1"/>
  <c r="H758" i="1" s="1"/>
  <c r="Y758" i="1" s="1"/>
  <c r="G759" i="1"/>
  <c r="H759" i="1" s="1"/>
  <c r="Y759" i="1" s="1"/>
  <c r="G760" i="1"/>
  <c r="H760" i="1" s="1"/>
  <c r="Y760" i="1" s="1"/>
  <c r="G761" i="1"/>
  <c r="H761" i="1" s="1"/>
  <c r="Y761" i="1" s="1"/>
  <c r="G762" i="1"/>
  <c r="H762" i="1" s="1"/>
  <c r="Y762" i="1" s="1"/>
  <c r="G763" i="1"/>
  <c r="H763" i="1" s="1"/>
  <c r="Y763" i="1" s="1"/>
  <c r="G764" i="1"/>
  <c r="H764" i="1" s="1"/>
  <c r="Y764" i="1" s="1"/>
  <c r="G765" i="1"/>
  <c r="H765" i="1" s="1"/>
  <c r="Y765" i="1" s="1"/>
  <c r="G766" i="1"/>
  <c r="H766" i="1" s="1"/>
  <c r="Y766" i="1" s="1"/>
  <c r="G767" i="1"/>
  <c r="H767" i="1" s="1"/>
  <c r="Y767" i="1" s="1"/>
  <c r="G768" i="1"/>
  <c r="H768" i="1" s="1"/>
  <c r="Y768" i="1" s="1"/>
  <c r="G769" i="1"/>
  <c r="H769" i="1" s="1"/>
  <c r="Y769" i="1" s="1"/>
  <c r="G770" i="1"/>
  <c r="H770" i="1" s="1"/>
  <c r="Y770" i="1" s="1"/>
  <c r="G771" i="1"/>
  <c r="H771" i="1" s="1"/>
  <c r="Y771" i="1" s="1"/>
  <c r="G772" i="1"/>
  <c r="H772" i="1" s="1"/>
  <c r="Y772" i="1" s="1"/>
  <c r="G773" i="1"/>
  <c r="H773" i="1" s="1"/>
  <c r="Y773" i="1" s="1"/>
  <c r="G774" i="1"/>
  <c r="H774" i="1" s="1"/>
  <c r="Y774" i="1" s="1"/>
  <c r="G775" i="1"/>
  <c r="H775" i="1" s="1"/>
  <c r="Y775" i="1" s="1"/>
  <c r="G776" i="1"/>
  <c r="H776" i="1" s="1"/>
  <c r="Y776" i="1" s="1"/>
  <c r="G777" i="1"/>
  <c r="H777" i="1" s="1"/>
  <c r="Y777" i="1" s="1"/>
  <c r="G778" i="1"/>
  <c r="H778" i="1" s="1"/>
  <c r="Y778" i="1" s="1"/>
  <c r="G779" i="1"/>
  <c r="H779" i="1" s="1"/>
  <c r="Y779" i="1" s="1"/>
  <c r="G780" i="1"/>
  <c r="H780" i="1" s="1"/>
  <c r="Y780" i="1" s="1"/>
  <c r="G781" i="1"/>
  <c r="H781" i="1" s="1"/>
  <c r="Y781" i="1" s="1"/>
  <c r="G782" i="1"/>
  <c r="H782" i="1" s="1"/>
  <c r="Y782" i="1" s="1"/>
  <c r="G783" i="1"/>
  <c r="H783" i="1" s="1"/>
  <c r="Y783" i="1" s="1"/>
  <c r="G784" i="1"/>
  <c r="H784" i="1" s="1"/>
  <c r="Y784" i="1" s="1"/>
  <c r="G785" i="1"/>
  <c r="H785" i="1" s="1"/>
  <c r="Y785" i="1" s="1"/>
  <c r="G786" i="1"/>
  <c r="H786" i="1" s="1"/>
  <c r="Y786" i="1" s="1"/>
  <c r="G787" i="1"/>
  <c r="H787" i="1" s="1"/>
  <c r="Y787" i="1" s="1"/>
  <c r="G788" i="1"/>
  <c r="H788" i="1" s="1"/>
  <c r="Y788" i="1" s="1"/>
  <c r="G789" i="1"/>
  <c r="H789" i="1" s="1"/>
  <c r="Y789" i="1" s="1"/>
  <c r="G790" i="1"/>
  <c r="H790" i="1" s="1"/>
  <c r="Y790" i="1" s="1"/>
  <c r="G791" i="1"/>
  <c r="H791" i="1" s="1"/>
  <c r="Y791" i="1" s="1"/>
  <c r="G792" i="1"/>
  <c r="H792" i="1" s="1"/>
  <c r="Y792" i="1" s="1"/>
  <c r="G793" i="1"/>
  <c r="H793" i="1" s="1"/>
  <c r="Y793" i="1" s="1"/>
  <c r="G794" i="1"/>
  <c r="H794" i="1" s="1"/>
  <c r="Y794" i="1" s="1"/>
  <c r="G795" i="1"/>
  <c r="H795" i="1" s="1"/>
  <c r="Y795" i="1" s="1"/>
  <c r="G796" i="1"/>
  <c r="H796" i="1" s="1"/>
  <c r="Y796" i="1" s="1"/>
  <c r="G797" i="1"/>
  <c r="H797" i="1" s="1"/>
  <c r="Y797" i="1" s="1"/>
  <c r="G798" i="1"/>
  <c r="H798" i="1" s="1"/>
  <c r="Y798" i="1" s="1"/>
  <c r="G799" i="1"/>
  <c r="H799" i="1" s="1"/>
  <c r="Y799" i="1" s="1"/>
  <c r="G800" i="1"/>
  <c r="H800" i="1" s="1"/>
  <c r="Y800" i="1" s="1"/>
  <c r="G801" i="1"/>
  <c r="H801" i="1" s="1"/>
  <c r="Y801" i="1" s="1"/>
  <c r="G802" i="1"/>
  <c r="H802" i="1" s="1"/>
  <c r="Y802" i="1" s="1"/>
  <c r="G803" i="1"/>
  <c r="H803" i="1" s="1"/>
  <c r="Y803" i="1" s="1"/>
  <c r="G804" i="1"/>
  <c r="H804" i="1" s="1"/>
  <c r="Y804" i="1" s="1"/>
  <c r="G805" i="1"/>
  <c r="H805" i="1" s="1"/>
  <c r="Y805" i="1" s="1"/>
  <c r="G806" i="1"/>
  <c r="H806" i="1" s="1"/>
  <c r="Y806" i="1" s="1"/>
  <c r="G807" i="1"/>
  <c r="H807" i="1" s="1"/>
  <c r="Y807" i="1" s="1"/>
  <c r="G808" i="1"/>
  <c r="H808" i="1" s="1"/>
  <c r="Y808" i="1" s="1"/>
  <c r="G809" i="1"/>
  <c r="H809" i="1" s="1"/>
  <c r="Y809" i="1" s="1"/>
  <c r="G810" i="1"/>
  <c r="H810" i="1" s="1"/>
  <c r="Y810" i="1" s="1"/>
  <c r="G811" i="1"/>
  <c r="H811" i="1" s="1"/>
  <c r="Y811" i="1" s="1"/>
  <c r="G812" i="1"/>
  <c r="H812" i="1" s="1"/>
  <c r="Y812" i="1" s="1"/>
  <c r="G813" i="1"/>
  <c r="H813" i="1" s="1"/>
  <c r="Y813" i="1" s="1"/>
  <c r="G814" i="1"/>
  <c r="H814" i="1" s="1"/>
  <c r="Y814" i="1" s="1"/>
  <c r="G815" i="1"/>
  <c r="H815" i="1" s="1"/>
  <c r="Y815" i="1" s="1"/>
  <c r="G816" i="1"/>
  <c r="H816" i="1" s="1"/>
  <c r="Y816" i="1" s="1"/>
  <c r="G817" i="1"/>
  <c r="H817" i="1" s="1"/>
  <c r="Y817" i="1" s="1"/>
  <c r="G818" i="1"/>
  <c r="H818" i="1" s="1"/>
  <c r="Y818" i="1" s="1"/>
  <c r="G819" i="1"/>
  <c r="H819" i="1" s="1"/>
  <c r="Y819" i="1" s="1"/>
  <c r="G820" i="1"/>
  <c r="H820" i="1" s="1"/>
  <c r="Y820" i="1" s="1"/>
  <c r="G821" i="1"/>
  <c r="H821" i="1" s="1"/>
  <c r="Y821" i="1" s="1"/>
  <c r="G822" i="1"/>
  <c r="H822" i="1" s="1"/>
  <c r="Y822" i="1" s="1"/>
  <c r="G823" i="1"/>
  <c r="H823" i="1" s="1"/>
  <c r="Y823" i="1" s="1"/>
  <c r="G824" i="1"/>
  <c r="H824" i="1" s="1"/>
  <c r="Y824" i="1" s="1"/>
  <c r="G825" i="1"/>
  <c r="H825" i="1" s="1"/>
  <c r="Y825" i="1" s="1"/>
  <c r="G826" i="1"/>
  <c r="H826" i="1" s="1"/>
  <c r="Y826" i="1" s="1"/>
  <c r="G827" i="1"/>
  <c r="H827" i="1" s="1"/>
  <c r="Y827" i="1" s="1"/>
  <c r="G828" i="1"/>
  <c r="H828" i="1" s="1"/>
  <c r="Y828" i="1" s="1"/>
  <c r="G829" i="1"/>
  <c r="H829" i="1" s="1"/>
  <c r="Y829" i="1" s="1"/>
  <c r="G830" i="1"/>
  <c r="H830" i="1" s="1"/>
  <c r="Y830" i="1" s="1"/>
  <c r="G831" i="1"/>
  <c r="H831" i="1" s="1"/>
  <c r="Y831" i="1" s="1"/>
  <c r="G832" i="1"/>
  <c r="H832" i="1" s="1"/>
  <c r="Y832" i="1" s="1"/>
  <c r="G833" i="1"/>
  <c r="H833" i="1" s="1"/>
  <c r="Y833" i="1" s="1"/>
  <c r="G834" i="1"/>
  <c r="H834" i="1" s="1"/>
  <c r="Y834" i="1" s="1"/>
  <c r="G835" i="1"/>
  <c r="H835" i="1" s="1"/>
  <c r="Y835" i="1" s="1"/>
  <c r="G836" i="1"/>
  <c r="H836" i="1" s="1"/>
  <c r="Y836" i="1" s="1"/>
  <c r="G837" i="1"/>
  <c r="H837" i="1" s="1"/>
  <c r="Y837" i="1" s="1"/>
  <c r="G838" i="1"/>
  <c r="H838" i="1" s="1"/>
  <c r="Y838" i="1" s="1"/>
  <c r="G839" i="1"/>
  <c r="H839" i="1" s="1"/>
  <c r="Y839" i="1" s="1"/>
  <c r="G840" i="1"/>
  <c r="H840" i="1" s="1"/>
  <c r="Y840" i="1" s="1"/>
  <c r="G841" i="1"/>
  <c r="H841" i="1" s="1"/>
  <c r="Y841" i="1" s="1"/>
  <c r="G842" i="1"/>
  <c r="H842" i="1" s="1"/>
  <c r="Y842" i="1" s="1"/>
  <c r="G843" i="1"/>
  <c r="H843" i="1" s="1"/>
  <c r="Y843" i="1" s="1"/>
  <c r="G844" i="1"/>
  <c r="H844" i="1" s="1"/>
  <c r="Y844" i="1" s="1"/>
  <c r="G845" i="1"/>
  <c r="H845" i="1" s="1"/>
  <c r="Y845" i="1" s="1"/>
  <c r="G846" i="1"/>
  <c r="H846" i="1" s="1"/>
  <c r="Y846" i="1" s="1"/>
  <c r="G847" i="1"/>
  <c r="H847" i="1" s="1"/>
  <c r="Y847" i="1" s="1"/>
  <c r="G848" i="1"/>
  <c r="H848" i="1" s="1"/>
  <c r="Y848" i="1" s="1"/>
  <c r="G849" i="1"/>
  <c r="H849" i="1" s="1"/>
  <c r="Y849" i="1" s="1"/>
  <c r="G850" i="1"/>
  <c r="H850" i="1" s="1"/>
  <c r="Y850" i="1" s="1"/>
  <c r="G851" i="1"/>
  <c r="H851" i="1" s="1"/>
  <c r="Y851" i="1" s="1"/>
  <c r="G852" i="1"/>
  <c r="H852" i="1" s="1"/>
  <c r="Y852" i="1" s="1"/>
  <c r="G853" i="1"/>
  <c r="H853" i="1" s="1"/>
  <c r="Y853" i="1" s="1"/>
  <c r="G854" i="1"/>
  <c r="H854" i="1" s="1"/>
  <c r="Y854" i="1" s="1"/>
  <c r="G855" i="1"/>
  <c r="H855" i="1" s="1"/>
  <c r="Y855" i="1" s="1"/>
  <c r="G856" i="1"/>
  <c r="H856" i="1" s="1"/>
  <c r="Y856" i="1" s="1"/>
  <c r="G857" i="1"/>
  <c r="H857" i="1" s="1"/>
  <c r="Y857" i="1" s="1"/>
  <c r="G858" i="1"/>
  <c r="H858" i="1" s="1"/>
  <c r="Y858" i="1" s="1"/>
  <c r="G859" i="1"/>
  <c r="H859" i="1" s="1"/>
  <c r="Y859" i="1" s="1"/>
  <c r="G860" i="1"/>
  <c r="H860" i="1" s="1"/>
  <c r="Y860" i="1" s="1"/>
  <c r="G861" i="1"/>
  <c r="H861" i="1" s="1"/>
  <c r="Y861" i="1" s="1"/>
  <c r="G862" i="1"/>
  <c r="H862" i="1" s="1"/>
  <c r="Y862" i="1" s="1"/>
  <c r="G863" i="1"/>
  <c r="H863" i="1" s="1"/>
  <c r="Y863" i="1" s="1"/>
  <c r="G864" i="1"/>
  <c r="H864" i="1" s="1"/>
  <c r="Y864" i="1" s="1"/>
  <c r="G865" i="1"/>
  <c r="H865" i="1" s="1"/>
  <c r="Y865" i="1" s="1"/>
  <c r="G866" i="1"/>
  <c r="H866" i="1" s="1"/>
  <c r="Y866" i="1" s="1"/>
  <c r="G867" i="1"/>
  <c r="H867" i="1" s="1"/>
  <c r="Y867" i="1" s="1"/>
  <c r="G868" i="1"/>
  <c r="H868" i="1" s="1"/>
  <c r="Y868" i="1" s="1"/>
  <c r="G869" i="1"/>
  <c r="H869" i="1" s="1"/>
  <c r="Y869" i="1" s="1"/>
  <c r="G870" i="1"/>
  <c r="H870" i="1" s="1"/>
  <c r="Y870" i="1" s="1"/>
  <c r="G871" i="1"/>
  <c r="H871" i="1" s="1"/>
  <c r="Y871" i="1" s="1"/>
  <c r="G872" i="1"/>
  <c r="H872" i="1" s="1"/>
  <c r="Y872" i="1" s="1"/>
  <c r="G873" i="1"/>
  <c r="H873" i="1" s="1"/>
  <c r="Y873" i="1" s="1"/>
  <c r="G874" i="1"/>
  <c r="H874" i="1" s="1"/>
  <c r="Y874" i="1" s="1"/>
  <c r="G875" i="1"/>
  <c r="H875" i="1" s="1"/>
  <c r="Y875" i="1" s="1"/>
  <c r="G876" i="1"/>
  <c r="H876" i="1" s="1"/>
  <c r="Y876" i="1" s="1"/>
  <c r="G877" i="1"/>
  <c r="H877" i="1" s="1"/>
  <c r="Y877" i="1" s="1"/>
  <c r="G878" i="1"/>
  <c r="H878" i="1" s="1"/>
  <c r="Y878" i="1" s="1"/>
  <c r="G879" i="1"/>
  <c r="H879" i="1" s="1"/>
  <c r="Y879" i="1" s="1"/>
  <c r="G880" i="1"/>
  <c r="H880" i="1" s="1"/>
  <c r="Y880" i="1" s="1"/>
  <c r="G881" i="1"/>
  <c r="H881" i="1" s="1"/>
  <c r="Y881" i="1" s="1"/>
  <c r="G882" i="1"/>
  <c r="H882" i="1" s="1"/>
  <c r="Y882" i="1" s="1"/>
  <c r="G883" i="1"/>
  <c r="H883" i="1" s="1"/>
  <c r="Y883" i="1" s="1"/>
  <c r="G884" i="1"/>
  <c r="H884" i="1" s="1"/>
  <c r="Y884" i="1" s="1"/>
  <c r="G885" i="1"/>
  <c r="H885" i="1" s="1"/>
  <c r="Y885" i="1" s="1"/>
  <c r="G886" i="1"/>
  <c r="H886" i="1" s="1"/>
  <c r="Y886" i="1" s="1"/>
  <c r="G887" i="1"/>
  <c r="H887" i="1" s="1"/>
  <c r="Y887" i="1" s="1"/>
  <c r="G888" i="1"/>
  <c r="H888" i="1" s="1"/>
  <c r="Y888" i="1" s="1"/>
  <c r="G889" i="1"/>
  <c r="H889" i="1" s="1"/>
  <c r="Y889" i="1" s="1"/>
  <c r="G890" i="1"/>
  <c r="H890" i="1" s="1"/>
  <c r="Y890" i="1" s="1"/>
  <c r="G891" i="1"/>
  <c r="H891" i="1" s="1"/>
  <c r="Y891" i="1" s="1"/>
  <c r="G892" i="1"/>
  <c r="H892" i="1" s="1"/>
  <c r="Y892" i="1" s="1"/>
  <c r="G893" i="1"/>
  <c r="H893" i="1" s="1"/>
  <c r="Y893" i="1" s="1"/>
  <c r="G894" i="1"/>
  <c r="H894" i="1" s="1"/>
  <c r="Y894" i="1" s="1"/>
  <c r="G895" i="1"/>
  <c r="H895" i="1" s="1"/>
  <c r="Y895" i="1" s="1"/>
  <c r="G896" i="1"/>
  <c r="H896" i="1" s="1"/>
  <c r="Y896" i="1" s="1"/>
  <c r="G897" i="1"/>
  <c r="H897" i="1" s="1"/>
  <c r="Y897" i="1" s="1"/>
  <c r="G898" i="1"/>
  <c r="H898" i="1" s="1"/>
  <c r="Y898" i="1" s="1"/>
  <c r="G899" i="1"/>
  <c r="H899" i="1" s="1"/>
  <c r="Y899" i="1" s="1"/>
  <c r="G900" i="1"/>
  <c r="H900" i="1" s="1"/>
  <c r="Y900" i="1" s="1"/>
  <c r="G901" i="1"/>
  <c r="H901" i="1" s="1"/>
  <c r="Y901" i="1" s="1"/>
  <c r="G902" i="1"/>
  <c r="H902" i="1" s="1"/>
  <c r="Y902" i="1" s="1"/>
  <c r="G903" i="1"/>
  <c r="H903" i="1" s="1"/>
  <c r="Y903" i="1" s="1"/>
  <c r="G904" i="1"/>
  <c r="H904" i="1" s="1"/>
  <c r="Y904" i="1" s="1"/>
  <c r="G905" i="1"/>
  <c r="H905" i="1" s="1"/>
  <c r="Y905" i="1" s="1"/>
  <c r="G906" i="1"/>
  <c r="H906" i="1" s="1"/>
  <c r="Y906" i="1" s="1"/>
  <c r="G907" i="1"/>
  <c r="H907" i="1" s="1"/>
  <c r="Y907" i="1" s="1"/>
  <c r="G908" i="1"/>
  <c r="H908" i="1" s="1"/>
  <c r="Y908" i="1" s="1"/>
  <c r="G909" i="1"/>
  <c r="H909" i="1" s="1"/>
  <c r="Y909" i="1" s="1"/>
  <c r="G910" i="1"/>
  <c r="H910" i="1" s="1"/>
  <c r="Y910" i="1" s="1"/>
  <c r="G911" i="1"/>
  <c r="H911" i="1" s="1"/>
  <c r="Y911" i="1" s="1"/>
  <c r="G912" i="1"/>
  <c r="H912" i="1" s="1"/>
  <c r="Y912" i="1" s="1"/>
  <c r="G913" i="1"/>
  <c r="H913" i="1" s="1"/>
  <c r="Y913" i="1" s="1"/>
  <c r="G914" i="1"/>
  <c r="H914" i="1" s="1"/>
  <c r="Y914" i="1" s="1"/>
  <c r="G2" i="1"/>
  <c r="H2" i="1" s="1"/>
  <c r="Y2" i="1" s="1"/>
</calcChain>
</file>

<file path=xl/sharedStrings.xml><?xml version="1.0" encoding="utf-8"?>
<sst xmlns="http://schemas.openxmlformats.org/spreadsheetml/2006/main" count="11210" uniqueCount="2823">
  <si>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</si>
  <si>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</si>
  <si>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</si>
  <si>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</si>
  <si>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</si>
  <si>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</si>
  <si>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</si>
  <si>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</si>
  <si>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</si>
  <si>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</si>
  <si>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</si>
  <si>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</si>
  <si>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</si>
  <si>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</si>
  <si>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</si>
  <si>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</si>
  <si>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</si>
  <si>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</si>
  <si>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</si>
  <si>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</si>
  <si>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</si>
  <si>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</si>
  <si>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</si>
  <si>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</si>
  <si>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</si>
  <si>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</si>
  <si>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</si>
  <si>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</si>
  <si>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</si>
  <si>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</si>
  <si>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</si>
  <si>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</si>
  <si>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</si>
  <si>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</si>
  <si>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</si>
  <si>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</si>
  <si>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</si>
  <si>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</si>
  <si>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</si>
  <si>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</si>
  <si>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</si>
  <si>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</si>
  <si>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</si>
  <si>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</si>
  <si>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</si>
  <si>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</si>
  <si>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</si>
  <si>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</si>
  <si>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</si>
  <si>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</si>
  <si>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</si>
  <si>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</si>
  <si>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</si>
  <si>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</si>
  <si>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</si>
  <si>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</si>
  <si>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</si>
  <si>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</si>
  <si>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</si>
  <si>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</si>
  <si>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</si>
  <si>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</si>
  <si>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</si>
  <si>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</si>
  <si>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</si>
  <si>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</si>
  <si>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</si>
  <si>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</si>
  <si>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</si>
  <si>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</si>
  <si>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</si>
  <si>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</si>
  <si>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</si>
  <si>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</si>
  <si>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</si>
  <si>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</si>
  <si>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</si>
  <si>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</si>
  <si>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</si>
  <si>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</si>
  <si>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</si>
  <si>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</si>
  <si>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</si>
  <si>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</si>
  <si>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</si>
  <si>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</si>
  <si>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</si>
  <si>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</si>
  <si>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</si>
  <si>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</si>
  <si>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</si>
  <si>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</si>
  <si>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</si>
  <si>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</si>
  <si>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</si>
  <si>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</si>
  <si>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</si>
  <si>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</si>
  <si>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</si>
  <si>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</si>
  <si>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</si>
  <si>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</si>
  <si>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</si>
  <si>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</si>
  <si>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</si>
  <si>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</si>
  <si>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</si>
  <si>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</si>
  <si>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</si>
  <si>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</si>
  <si>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</si>
  <si>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</si>
  <si>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</si>
  <si>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</si>
  <si>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</si>
  <si>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</si>
  <si>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</si>
  <si>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</si>
  <si>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</si>
  <si>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</si>
  <si>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</si>
  <si>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</si>
  <si>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</si>
  <si>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</si>
  <si>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</si>
  <si>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</si>
  <si>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</si>
  <si>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</si>
  <si>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</si>
  <si>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</si>
  <si>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</si>
  <si>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</si>
  <si>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</si>
  <si>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</si>
  <si>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</si>
  <si>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</si>
  <si>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</si>
  <si>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</si>
  <si>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</si>
  <si>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</si>
  <si>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</si>
  <si>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</si>
  <si>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</si>
  <si>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</si>
  <si>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</si>
  <si>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</si>
  <si>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</si>
  <si>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</si>
  <si>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</si>
  <si>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</si>
  <si>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</si>
  <si>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</si>
  <si>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</si>
  <si>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</si>
  <si>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</si>
  <si>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</si>
  <si>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</si>
  <si>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</si>
  <si>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</si>
  <si>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</si>
  <si>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</si>
  <si>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</si>
  <si>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</si>
  <si>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</si>
  <si>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</si>
  <si>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</si>
  <si>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</si>
  <si>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</si>
  <si>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</si>
  <si>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</si>
  <si>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</si>
  <si>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</si>
  <si>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</si>
  <si>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</si>
  <si>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</si>
  <si>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</si>
  <si>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</si>
  <si>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</si>
  <si>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</si>
  <si>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</si>
  <si>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</si>
  <si>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</si>
  <si>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</si>
  <si>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</si>
  <si>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</si>
  <si>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</si>
  <si>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</si>
  <si>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</si>
  <si>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</si>
  <si>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</si>
  <si>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</si>
  <si>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</si>
  <si>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</si>
  <si>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</si>
  <si>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</si>
  <si>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</si>
  <si>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</si>
  <si>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</si>
  <si>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</si>
  <si>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</si>
  <si>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</si>
  <si>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</si>
  <si>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</si>
  <si>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</si>
  <si>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</si>
  <si>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</si>
  <si>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</si>
  <si>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</si>
  <si>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</si>
  <si>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</si>
  <si>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</si>
  <si>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</si>
  <si>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</si>
  <si>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</si>
  <si>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</si>
  <si>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</si>
  <si>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</si>
  <si>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</si>
  <si>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</si>
  <si>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</si>
  <si>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</si>
  <si>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</si>
  <si>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</si>
  <si>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</si>
  <si>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</si>
  <si>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</si>
  <si>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</si>
  <si>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</si>
  <si>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</si>
  <si>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</si>
  <si>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</si>
  <si>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</si>
  <si>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</si>
  <si>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</si>
  <si>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</si>
  <si>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</si>
  <si>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</si>
  <si>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</si>
  <si>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</si>
  <si>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</si>
  <si>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</si>
  <si>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</si>
  <si>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</si>
  <si>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</si>
  <si>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</si>
  <si>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</si>
  <si>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</si>
  <si>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</si>
  <si>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</si>
  <si>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</si>
  <si>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</si>
  <si>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</si>
  <si>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</si>
  <si>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</si>
  <si>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</si>
  <si>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</si>
  <si>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</si>
  <si>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</si>
  <si>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</si>
  <si>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</si>
  <si>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</si>
  <si>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</si>
  <si>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</si>
  <si>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</si>
  <si>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</si>
  <si>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</si>
  <si>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</si>
  <si>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</si>
  <si>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</si>
  <si>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</si>
  <si>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</si>
  <si>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</si>
  <si>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</si>
  <si>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</si>
  <si>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</si>
  <si>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</si>
  <si>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</si>
  <si>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</si>
  <si>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</si>
  <si>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</si>
  <si>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</si>
  <si>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</si>
  <si>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</si>
  <si>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</si>
  <si>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</si>
  <si>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</si>
  <si>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</si>
  <si>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</si>
  <si>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</si>
  <si>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</si>
  <si>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</si>
  <si>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</si>
  <si>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</si>
  <si>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</si>
  <si>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</si>
  <si>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</si>
  <si>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</si>
  <si>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</si>
  <si>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</si>
  <si>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</si>
  <si>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</si>
  <si>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</si>
  <si>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</si>
  <si>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</si>
  <si>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</si>
  <si>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</si>
  <si>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</si>
  <si>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</si>
  <si>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</si>
  <si>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</si>
  <si>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</si>
  <si>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</si>
  <si>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</si>
  <si>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</si>
  <si>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</si>
  <si>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</si>
  <si>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</si>
  <si>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</si>
  <si>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</si>
  <si>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</si>
  <si>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</si>
  <si>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</si>
  <si>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</si>
  <si>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</si>
  <si>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</si>
  <si>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</si>
  <si>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</si>
  <si>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</si>
  <si>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</si>
  <si>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</si>
  <si>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</si>
  <si>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</si>
  <si>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</si>
  <si>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</si>
  <si>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</si>
  <si>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</si>
  <si>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</si>
  <si>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</si>
  <si>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</si>
  <si>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</si>
  <si>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</si>
  <si>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</si>
  <si>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</si>
  <si>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</si>
  <si>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</si>
  <si>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</si>
  <si>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</si>
  <si>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</si>
  <si>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</si>
  <si>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</si>
  <si>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</si>
  <si>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</si>
  <si>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</si>
  <si>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</si>
  <si>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</si>
  <si>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</si>
  <si>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</si>
  <si>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</si>
  <si>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</si>
  <si>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</si>
  <si>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</si>
  <si>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</si>
  <si>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</si>
  <si>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</si>
  <si>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</si>
  <si>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</si>
  <si>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</si>
  <si>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</si>
  <si>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</si>
  <si>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</si>
  <si>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</si>
  <si>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</si>
  <si>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</si>
  <si>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</si>
  <si>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</si>
  <si>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</si>
  <si>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</si>
  <si>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</si>
  <si>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</si>
  <si>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</si>
  <si>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</si>
  <si>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</si>
  <si>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</si>
  <si>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</si>
  <si>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</si>
  <si>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</si>
  <si>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</si>
  <si>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</si>
  <si>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</si>
  <si>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</si>
  <si>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</si>
  <si>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</si>
  <si>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</si>
  <si>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</si>
  <si>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</si>
  <si>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</si>
  <si>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</si>
  <si>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</si>
  <si>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</si>
  <si>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</si>
  <si>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</si>
  <si>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</si>
  <si>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</si>
  <si>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</si>
  <si>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</si>
  <si>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</si>
  <si>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</si>
  <si>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</si>
  <si>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</si>
  <si>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</si>
  <si>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</si>
  <si>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</si>
  <si>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</si>
  <si>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</si>
  <si>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</si>
  <si>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</si>
  <si>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</si>
  <si>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</si>
  <si>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</si>
  <si>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</si>
  <si>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</si>
  <si>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</si>
  <si>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</si>
  <si>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</si>
  <si>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</si>
  <si>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</si>
  <si>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</si>
  <si>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</si>
  <si>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</si>
  <si>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</si>
  <si>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</si>
  <si>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</si>
  <si>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</si>
  <si>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</si>
  <si>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</si>
  <si>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</si>
  <si>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</si>
  <si>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</si>
  <si>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</si>
  <si>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</si>
  <si>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</si>
  <si>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</si>
  <si>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</si>
  <si>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</si>
  <si>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</si>
  <si>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</si>
  <si>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</si>
  <si>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</si>
  <si>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</si>
  <si>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</si>
  <si>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</si>
  <si>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</si>
  <si>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</si>
  <si>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</si>
  <si>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</si>
  <si>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</si>
  <si>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</si>
  <si>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</si>
  <si>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</si>
  <si>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</si>
  <si>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</si>
  <si>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</si>
  <si>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</si>
  <si>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</si>
  <si>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</si>
  <si>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</si>
  <si>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</si>
  <si>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</si>
  <si>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</si>
  <si>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</si>
  <si>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</si>
  <si>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</si>
  <si>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</si>
  <si>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</si>
  <si>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</si>
  <si>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</si>
  <si>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</si>
  <si>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</si>
  <si>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</si>
  <si>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</si>
  <si>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</si>
  <si>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</si>
  <si>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</si>
  <si>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</si>
  <si>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</si>
  <si>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</si>
  <si>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</si>
  <si>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</si>
  <si>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</si>
  <si>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</si>
  <si>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</si>
  <si>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</si>
  <si>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</si>
  <si>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</si>
  <si>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</si>
  <si>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</si>
  <si>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</si>
  <si>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</si>
  <si>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</si>
  <si>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</si>
  <si>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</si>
  <si>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</si>
  <si>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</si>
  <si>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</si>
  <si>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</si>
  <si>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</si>
  <si>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</si>
  <si>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</si>
  <si>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</si>
  <si>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</si>
  <si>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</si>
  <si>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</si>
  <si>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</si>
  <si>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</si>
  <si>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</si>
  <si>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</si>
  <si>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</si>
  <si>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</si>
  <si>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</si>
  <si>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</si>
  <si>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</si>
  <si>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</si>
  <si>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</si>
  <si>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</si>
  <si>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</si>
  <si>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</si>
  <si>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</si>
  <si>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</si>
  <si>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</si>
  <si>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</si>
  <si>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</si>
  <si>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</si>
  <si>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</si>
  <si>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</si>
  <si>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</si>
  <si>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</si>
  <si>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</si>
  <si>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</si>
  <si>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</si>
  <si>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</si>
  <si>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</si>
  <si>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</si>
  <si>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</si>
  <si>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</si>
  <si>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</si>
  <si>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</si>
  <si>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</si>
  <si>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</si>
  <si>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</si>
  <si>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</si>
  <si>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</si>
  <si>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</si>
  <si>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</si>
  <si>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</si>
  <si>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</si>
  <si>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</si>
  <si>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</si>
  <si>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</si>
  <si>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</si>
  <si>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</si>
  <si>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</si>
  <si>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</si>
  <si>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</si>
  <si>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</si>
  <si>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</si>
  <si>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</si>
  <si>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</si>
  <si>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</si>
  <si>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</si>
  <si>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</si>
  <si>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</si>
  <si>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</si>
  <si>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</si>
  <si>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</si>
  <si>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</si>
  <si>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</si>
  <si>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</si>
  <si>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</si>
  <si>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</si>
  <si>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</si>
  <si>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</si>
  <si>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</si>
  <si>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</si>
  <si>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</si>
  <si>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</si>
  <si>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</si>
  <si>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</si>
  <si>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</si>
  <si>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</si>
  <si>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</si>
  <si>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</si>
  <si>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</si>
  <si>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</si>
  <si>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</si>
  <si>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</si>
  <si>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</si>
  <si>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</si>
  <si>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</si>
  <si>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</si>
  <si>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</si>
  <si>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</si>
  <si>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</si>
  <si>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</si>
  <si>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</si>
  <si>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</si>
  <si>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</si>
  <si>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</si>
  <si>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</si>
  <si>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</si>
  <si>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</si>
  <si>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</si>
  <si>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</si>
  <si>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</si>
  <si>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</si>
  <si>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</si>
  <si>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</si>
  <si>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</si>
  <si>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</si>
  <si>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</si>
  <si>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</si>
  <si>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</si>
  <si>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</si>
  <si>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</si>
  <si>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</si>
  <si>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</si>
  <si>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</si>
  <si>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</si>
  <si>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</si>
  <si>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</si>
  <si>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</si>
  <si>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</si>
  <si>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</si>
  <si>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</si>
  <si>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</si>
  <si>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</si>
  <si>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</si>
  <si>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</si>
  <si>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</si>
  <si>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</si>
  <si>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</si>
  <si>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</si>
  <si>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</si>
  <si>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</si>
  <si>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</si>
  <si>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</si>
  <si>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</si>
  <si>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</si>
  <si>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</si>
  <si>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</si>
  <si>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</si>
  <si>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</si>
  <si>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</si>
  <si>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</si>
  <si>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</si>
  <si>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</si>
  <si>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</si>
  <si>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</si>
  <si>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</si>
  <si>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</si>
  <si>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</si>
  <si>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</si>
  <si>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</si>
  <si>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</si>
  <si>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</si>
  <si>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</si>
  <si>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</si>
  <si>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</si>
  <si>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</si>
  <si>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</si>
  <si>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</si>
  <si>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</si>
  <si>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</si>
  <si>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</si>
  <si>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</si>
  <si>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</si>
  <si>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</si>
  <si>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</si>
  <si>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</si>
  <si>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</si>
  <si>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</si>
  <si>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</si>
  <si>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</si>
  <si>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</si>
  <si>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</si>
  <si>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</si>
  <si>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</si>
  <si>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</si>
  <si>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</si>
  <si>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</si>
  <si>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</si>
  <si>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</si>
  <si>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</si>
  <si>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</si>
  <si>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</si>
  <si>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</si>
  <si>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</si>
  <si>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</si>
  <si>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</si>
  <si>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</si>
  <si>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</si>
  <si>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</si>
  <si>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</si>
  <si>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</si>
  <si>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</si>
  <si>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</si>
  <si>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</si>
  <si>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</si>
  <si>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</si>
  <si>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</si>
  <si>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</si>
  <si>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</si>
  <si>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</si>
  <si>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</si>
  <si>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</si>
  <si>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</si>
  <si>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</si>
  <si>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</si>
  <si>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</si>
  <si>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</si>
  <si>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</si>
  <si>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</si>
  <si>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</si>
  <si>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</si>
  <si>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</si>
  <si>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</si>
  <si>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</si>
  <si>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</si>
  <si>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</si>
  <si>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</si>
  <si>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</si>
  <si>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</si>
  <si>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</si>
  <si>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</si>
  <si>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</si>
  <si>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</si>
  <si>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</si>
  <si>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</si>
  <si>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</si>
  <si>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</si>
  <si>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</si>
  <si>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</si>
  <si>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</si>
  <si>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</si>
  <si>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</si>
  <si>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</si>
  <si>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</si>
  <si>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</si>
  <si>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</si>
  <si>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</si>
  <si>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</si>
  <si>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</si>
  <si>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</si>
  <si>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</si>
  <si>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</si>
  <si>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</si>
  <si>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</si>
  <si>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</si>
  <si>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</si>
  <si>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</si>
  <si>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</si>
  <si>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</si>
  <si>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</si>
  <si>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</si>
  <si>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</si>
  <si>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</si>
  <si>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</si>
  <si>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</si>
  <si>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</si>
  <si>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</si>
  <si>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</si>
  <si>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</si>
  <si>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</si>
  <si>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</si>
  <si>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</si>
  <si>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</si>
  <si>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</si>
  <si>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</si>
  <si>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</si>
  <si>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</si>
  <si>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</si>
  <si>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</si>
  <si>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</si>
  <si>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</si>
  <si>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</si>
  <si>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</si>
  <si>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</si>
  <si>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</si>
  <si>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</si>
  <si>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</si>
  <si>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</si>
  <si>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</si>
  <si>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</si>
  <si>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</si>
  <si>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</si>
  <si>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</si>
  <si>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</si>
  <si>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</si>
  <si>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</si>
  <si>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</si>
  <si>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</si>
  <si>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</si>
  <si>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</si>
  <si>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</si>
  <si>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</si>
  <si>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</si>
  <si>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</si>
  <si>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</si>
  <si>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</si>
  <si>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</si>
  <si>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</si>
  <si>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</si>
  <si>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</si>
  <si>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</si>
  <si>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</si>
  <si>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</si>
  <si>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</si>
  <si>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</si>
  <si>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</si>
  <si>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</si>
  <si>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</si>
  <si>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</si>
  <si>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</si>
  <si>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</si>
  <si>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</si>
  <si>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</si>
  <si>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</si>
  <si>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</si>
  <si>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</si>
  <si>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</si>
  <si>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</si>
  <si>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</si>
  <si>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</si>
  <si>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</si>
  <si>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</si>
  <si>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</si>
  <si>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</si>
  <si>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</si>
  <si>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</si>
  <si>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</si>
  <si>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</si>
  <si>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</si>
  <si>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</si>
  <si>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</si>
  <si>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</si>
  <si>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</si>
  <si>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</si>
  <si>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</si>
  <si>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</si>
  <si>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</si>
  <si>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</si>
  <si>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</si>
  <si>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</si>
  <si>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</si>
  <si>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</si>
  <si>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</si>
  <si>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</si>
  <si>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</si>
  <si>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</si>
  <si>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</si>
  <si>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</si>
  <si>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</si>
  <si>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</si>
  <si>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</si>
  <si>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</si>
  <si>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</si>
  <si>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</si>
  <si>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</si>
  <si>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</si>
  <si>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</si>
  <si>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</si>
  <si>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</si>
  <si>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</si>
  <si>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</si>
  <si>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</si>
  <si>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</si>
  <si>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</si>
  <si>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</si>
  <si>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</si>
  <si>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</si>
  <si>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</si>
  <si>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</si>
  <si>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</si>
  <si>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</si>
  <si>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</si>
  <si>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</si>
  <si>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</si>
  <si>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</si>
  <si>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</si>
  <si>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</si>
  <si>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</si>
  <si>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</si>
  <si>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</si>
  <si>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</si>
  <si>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</si>
  <si>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</si>
  <si>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</si>
  <si>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</si>
  <si>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</si>
  <si>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</si>
  <si>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</si>
  <si>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</si>
  <si>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</si>
  <si>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</si>
  <si>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</si>
  <si>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</si>
  <si>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</si>
  <si>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</si>
  <si>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</si>
  <si>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</si>
  <si>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</si>
  <si>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</si>
  <si>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</si>
  <si>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</si>
  <si>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</si>
  <si>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</si>
  <si>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</si>
  <si>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</si>
  <si>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</si>
  <si>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</si>
  <si>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</si>
  <si>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</si>
  <si>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</si>
  <si>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</si>
  <si>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</si>
  <si>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</si>
  <si>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</si>
  <si>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</si>
  <si>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</si>
  <si>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</si>
  <si>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</si>
  <si>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</si>
  <si>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</si>
  <si>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</si>
  <si>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</si>
  <si>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</si>
  <si>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</si>
  <si>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</si>
  <si>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</si>
  <si>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</si>
  <si>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</si>
  <si>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</si>
  <si>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</si>
  <si>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</si>
  <si>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</si>
  <si>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</si>
  <si>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</si>
  <si>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</si>
  <si>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</si>
  <si>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</si>
  <si>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</si>
  <si>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</si>
  <si>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</si>
  <si>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</si>
  <si>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</si>
  <si>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</si>
  <si>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</si>
  <si>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</si>
  <si>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</si>
  <si>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</si>
  <si>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</si>
  <si>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</si>
  <si>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</si>
  <si>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</si>
  <si>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</si>
  <si>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</si>
  <si>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</si>
  <si>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</si>
  <si>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</si>
  <si>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</si>
  <si>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</si>
  <si>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</si>
  <si>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</si>
  <si>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</si>
  <si>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</si>
  <si>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</si>
  <si>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</si>
  <si>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</si>
  <si>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</si>
  <si>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</si>
  <si>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</si>
  <si>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</si>
  <si>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</si>
  <si>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</si>
  <si>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</si>
  <si>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</si>
  <si>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</si>
  <si>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</si>
  <si>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</si>
  <si>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</si>
  <si>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</si>
  <si>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</si>
  <si>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</si>
  <si>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</si>
  <si>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</si>
  <si>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</si>
  <si>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</si>
  <si>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</si>
  <si>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</si>
  <si>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</si>
  <si>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</si>
  <si>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</si>
  <si>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</si>
  <si>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</si>
  <si>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</si>
  <si>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</si>
  <si>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</si>
  <si>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</si>
  <si>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</si>
  <si>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</si>
  <si>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</si>
  <si>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</si>
  <si>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</si>
  <si>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</si>
  <si>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</si>
  <si>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</si>
  <si>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</si>
  <si>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</si>
  <si>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</si>
  <si>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</si>
  <si>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</si>
  <si>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</si>
  <si>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</si>
  <si>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</si>
  <si>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</si>
  <si>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</si>
  <si>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</si>
  <si>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</si>
  <si>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</si>
  <si>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</si>
  <si>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</si>
  <si>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</si>
  <si>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</si>
  <si>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</si>
  <si>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</si>
  <si>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</si>
  <si>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</si>
  <si>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</si>
  <si>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</si>
  <si>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</si>
  <si>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</si>
  <si>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</si>
  <si>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</si>
  <si>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</si>
  <si>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</si>
  <si>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</si>
  <si>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</si>
  <si>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</si>
  <si>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</si>
  <si>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</si>
  <si>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</si>
  <si>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</si>
  <si>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</si>
  <si>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</si>
  <si>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</si>
  <si>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</si>
  <si>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</si>
  <si>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</si>
  <si>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</si>
  <si>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</si>
  <si>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</si>
  <si>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</si>
  <si>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</si>
  <si>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</si>
  <si>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</si>
  <si>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</si>
  <si>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</si>
  <si>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</si>
  <si>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</si>
  <si>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</si>
  <si>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</si>
  <si>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</si>
  <si>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</si>
  <si>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</si>
  <si>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</si>
  <si>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</si>
  <si>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</si>
  <si>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</si>
  <si>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</si>
  <si>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</si>
  <si>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</si>
  <si>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</si>
  <si>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</si>
  <si>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</si>
  <si>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</si>
  <si>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</si>
  <si>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</si>
  <si>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</si>
  <si>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</si>
  <si>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</si>
  <si>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</si>
  <si>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</si>
  <si>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</si>
  <si>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</si>
  <si>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</si>
  <si>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</si>
  <si>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</si>
  <si>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</si>
  <si>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</si>
  <si>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</si>
  <si>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</si>
  <si>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</si>
  <si>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</si>
  <si>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</si>
  <si>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</si>
  <si>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</si>
  <si>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</si>
  <si>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</si>
  <si>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</si>
  <si>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</si>
  <si>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</si>
  <si>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</si>
  <si>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</si>
  <si>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</si>
  <si>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</si>
  <si>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</si>
  <si>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</si>
  <si>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</si>
  <si>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</si>
  <si>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</si>
  <si>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</si>
  <si>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</si>
  <si>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</si>
  <si>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</si>
  <si>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</si>
  <si>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</si>
  <si>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</si>
  <si>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</si>
  <si>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</si>
  <si>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</si>
  <si>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</si>
  <si>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</si>
  <si>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</si>
  <si>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</si>
  <si>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</si>
  <si>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</si>
  <si>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</si>
  <si>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</si>
  <si>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</si>
  <si>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</si>
  <si>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</si>
  <si>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</si>
  <si>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</si>
  <si>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</si>
  <si>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</si>
  <si>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</si>
  <si>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</si>
  <si>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</si>
  <si>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</si>
  <si>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</si>
  <si>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</si>
  <si>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</si>
  <si>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</si>
  <si>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</si>
  <si>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</si>
  <si>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</si>
  <si>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</si>
  <si>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</si>
  <si>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</si>
  <si>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</si>
  <si>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</si>
  <si>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</si>
  <si>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</si>
  <si>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</si>
  <si>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</si>
  <si>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</si>
  <si>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</si>
  <si>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</si>
  <si>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</si>
  <si>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</si>
  <si>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</si>
  <si>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</si>
  <si>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</si>
  <si>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</si>
  <si>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</si>
  <si>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</si>
  <si>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</si>
  <si>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</si>
  <si>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</si>
  <si>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</si>
  <si>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</si>
  <si>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</si>
  <si>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</si>
  <si>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</si>
  <si>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</si>
  <si>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</si>
  <si>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</si>
  <si>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</si>
  <si>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</si>
  <si>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</si>
  <si>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</si>
  <si>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</si>
  <si>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</si>
  <si>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</si>
  <si>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</si>
  <si>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</si>
  <si>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</si>
  <si>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</si>
  <si>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</si>
  <si>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</si>
  <si>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</si>
  <si>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</si>
  <si>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</si>
  <si>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</si>
  <si>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</si>
  <si>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</si>
  <si>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</si>
  <si>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</si>
  <si>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</si>
  <si>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</si>
  <si>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</si>
  <si>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</si>
  <si>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</si>
  <si>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</si>
  <si>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</si>
  <si>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</si>
  <si>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</si>
  <si>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</si>
  <si>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</si>
  <si>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</si>
  <si>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</si>
  <si>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</si>
  <si>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</si>
  <si>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</si>
  <si>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</si>
  <si>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</si>
  <si>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</si>
  <si>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</si>
  <si>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</si>
  <si>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</si>
  <si>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</si>
  <si>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</si>
  <si>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</si>
  <si>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</si>
  <si>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</si>
  <si>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</si>
  <si>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</si>
  <si>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</si>
  <si>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</si>
  <si>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</si>
  <si>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</si>
  <si>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</si>
  <si>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</si>
  <si>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</si>
  <si>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</si>
  <si>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</si>
  <si>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</si>
  <si>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</si>
  <si>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</si>
  <si>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</si>
  <si>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</si>
  <si>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</si>
  <si>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</si>
  <si>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</si>
  <si>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</si>
  <si>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</si>
  <si>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</si>
  <si>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</si>
  <si>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</si>
  <si>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</si>
  <si>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</si>
  <si>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</si>
  <si>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</si>
  <si>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</si>
  <si>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</si>
  <si>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</si>
  <si>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</si>
  <si>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</si>
  <si>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</si>
  <si>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</si>
  <si>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</si>
  <si>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</si>
  <si>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</si>
  <si>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</si>
  <si>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</si>
  <si>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</si>
  <si>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</si>
  <si>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</si>
  <si>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</si>
  <si>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</si>
  <si>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</si>
  <si>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</si>
  <si>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</si>
  <si>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</si>
  <si>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</si>
  <si>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</si>
  <si>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</si>
  <si>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</si>
  <si>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</si>
  <si>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</si>
  <si>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</si>
  <si>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</si>
  <si>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</si>
  <si>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</si>
  <si>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</si>
  <si>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</si>
  <si>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</si>
  <si>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</si>
  <si>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</si>
  <si>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</si>
  <si>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</si>
  <si>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</si>
  <si>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</si>
  <si>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</si>
  <si>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</si>
  <si>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</si>
  <si>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</si>
  <si>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</si>
  <si>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</si>
  <si>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</si>
  <si>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</si>
  <si>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</si>
  <si>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</si>
  <si>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</si>
  <si>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</si>
  <si>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</si>
  <si>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</si>
  <si>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</si>
  <si>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</si>
  <si>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</si>
  <si>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</si>
  <si>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</si>
  <si>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</si>
  <si>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</si>
  <si>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</si>
  <si>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</si>
  <si>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</si>
  <si>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</si>
  <si>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</si>
  <si>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</si>
  <si>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</si>
  <si>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</si>
  <si>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</si>
  <si>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</si>
  <si>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</si>
  <si>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</si>
  <si>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</si>
  <si>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</si>
  <si>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</si>
  <si>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</si>
  <si>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</si>
  <si>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</si>
  <si>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</si>
  <si>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</si>
  <si>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</si>
  <si>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</si>
  <si>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</si>
  <si>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</si>
  <si>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</si>
  <si>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</si>
  <si>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</si>
  <si>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</si>
  <si>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</si>
  <si>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</si>
  <si>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</si>
  <si>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</si>
  <si>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</si>
  <si>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</si>
  <si>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</si>
  <si>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</si>
  <si>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</si>
  <si>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</si>
  <si>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</si>
  <si>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</si>
  <si>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</si>
  <si>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</si>
  <si>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</si>
  <si>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</si>
  <si>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</si>
  <si>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</si>
  <si>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</si>
  <si>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</si>
  <si>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</si>
  <si>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</si>
  <si>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</si>
  <si>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</si>
  <si>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</si>
  <si>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</si>
  <si>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</si>
  <si>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</si>
  <si>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</si>
  <si>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</si>
  <si>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</si>
  <si>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</si>
  <si>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</si>
  <si>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</si>
  <si>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</si>
  <si>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</si>
  <si>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</si>
  <si>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</si>
  <si>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</si>
  <si>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</si>
  <si>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</si>
  <si>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</si>
  <si>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</si>
  <si>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</si>
  <si>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</si>
  <si>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</si>
  <si>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</si>
  <si>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</si>
  <si>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</si>
  <si>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</si>
  <si>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</si>
  <si>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</si>
  <si>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</si>
  <si>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</si>
  <si>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</si>
  <si>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</si>
  <si>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</si>
  <si>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</si>
  <si>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</si>
  <si>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</si>
  <si>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</si>
  <si>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</si>
  <si>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</si>
  <si>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</si>
  <si>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</si>
  <si>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</si>
  <si>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</si>
  <si>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</si>
  <si>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</si>
  <si>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</si>
  <si>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</si>
  <si>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</si>
  <si>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</si>
  <si>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</si>
  <si>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</si>
  <si>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</si>
  <si>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</si>
  <si>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</si>
  <si>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</si>
  <si>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</si>
  <si>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</si>
  <si>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</si>
  <si>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</si>
  <si>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</si>
  <si>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</si>
  <si>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</si>
  <si>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</si>
  <si>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</si>
  <si>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</si>
  <si>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</si>
  <si>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</si>
  <si>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</si>
  <si>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</si>
  <si>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</si>
  <si>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</si>
  <si>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</si>
  <si>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</si>
  <si>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</si>
  <si>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</si>
  <si>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</si>
  <si>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</si>
  <si>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</si>
  <si>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</si>
  <si>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</si>
  <si>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</si>
  <si>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</si>
  <si>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</si>
  <si>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</si>
  <si>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</si>
  <si>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</si>
  <si>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</si>
  <si>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</si>
  <si>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</si>
  <si>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</si>
  <si>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</si>
  <si>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</si>
  <si>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</si>
  <si>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</si>
  <si>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</si>
  <si>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</si>
  <si>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</si>
  <si>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</si>
  <si>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</si>
  <si>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</si>
  <si>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</si>
  <si>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</si>
  <si>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</si>
  <si>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</si>
  <si>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</si>
  <si>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</si>
  <si>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</si>
  <si>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</si>
  <si>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</si>
  <si>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</si>
  <si>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</si>
  <si>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</si>
  <si>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</si>
  <si>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</si>
  <si>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</si>
  <si>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</si>
  <si>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</si>
  <si>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</si>
  <si>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</si>
  <si>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</si>
  <si>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</si>
  <si>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</si>
  <si>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</si>
  <si>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</si>
  <si>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</si>
  <si>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</si>
  <si>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</si>
  <si>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</si>
  <si>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</si>
  <si>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</si>
  <si>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</si>
  <si>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</si>
  <si>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</si>
  <si>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</si>
  <si>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</si>
  <si>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</si>
  <si>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</si>
  <si>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</si>
  <si>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</si>
  <si>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</si>
  <si>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</si>
  <si>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</si>
  <si>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</si>
  <si>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</si>
  <si>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</si>
  <si>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</si>
  <si>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</si>
  <si>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</si>
  <si>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</si>
  <si>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</si>
  <si>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</si>
  <si>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</si>
  <si>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</si>
  <si>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</si>
  <si>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</si>
  <si>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</si>
  <si>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</si>
  <si>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</si>
  <si>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</si>
  <si>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</si>
  <si>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</si>
  <si>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</si>
  <si>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</si>
  <si>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</si>
  <si>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</si>
  <si>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</si>
  <si>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</si>
  <si>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</si>
  <si>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</si>
  <si>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</si>
  <si>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</si>
  <si>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</si>
  <si>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</si>
  <si>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</si>
  <si>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</si>
  <si>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</si>
  <si>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</si>
  <si>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</si>
  <si>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</si>
  <si>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</si>
  <si>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</si>
  <si>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</si>
  <si>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</si>
  <si>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</si>
  <si>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</si>
  <si>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</si>
  <si>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</si>
  <si>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</si>
  <si>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</si>
  <si>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</si>
  <si>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</si>
  <si>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</si>
  <si>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</si>
  <si>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</si>
  <si>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</si>
  <si>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</si>
  <si>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</si>
  <si>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</si>
  <si>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</si>
  <si>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</si>
  <si>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</si>
  <si>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</si>
  <si>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</si>
  <si>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</si>
  <si>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</si>
  <si>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</si>
  <si>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</si>
  <si>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</si>
  <si>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</si>
  <si>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</si>
  <si>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</si>
  <si>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</si>
  <si>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</si>
  <si>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</si>
  <si>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</si>
  <si>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</si>
  <si>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</si>
  <si>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</si>
  <si>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</si>
  <si>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</si>
  <si>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</si>
  <si>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</si>
  <si>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</si>
  <si>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</si>
  <si>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</si>
  <si>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</si>
  <si>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</si>
  <si>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</si>
  <si>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</si>
  <si>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</si>
  <si>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</si>
  <si>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</si>
  <si>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</si>
  <si>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</si>
  <si>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</si>
  <si>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</si>
  <si>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</si>
  <si>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</si>
  <si>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</si>
  <si>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</si>
  <si>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</si>
  <si>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</si>
  <si>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</si>
  <si>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</si>
  <si>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</si>
  <si>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</si>
  <si>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</si>
  <si>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</si>
  <si>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</si>
  <si>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</si>
  <si>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</si>
  <si>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</si>
  <si>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</si>
  <si>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</si>
  <si>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</si>
  <si>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</si>
  <si>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</si>
  <si>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</si>
  <si>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</si>
  <si>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</si>
  <si>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</si>
  <si>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</si>
  <si>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</si>
  <si>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</si>
  <si>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</si>
  <si>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</si>
  <si>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</si>
  <si>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</si>
  <si>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</si>
  <si>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</si>
  <si>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</si>
  <si>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</si>
  <si>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</si>
  <si>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</si>
  <si>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</si>
  <si>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</si>
  <si>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</si>
  <si>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</si>
  <si>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</si>
  <si>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</si>
  <si>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</si>
  <si>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</si>
  <si>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</si>
  <si>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</si>
  <si>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</si>
  <si>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</si>
  <si>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</si>
  <si>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</si>
  <si>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</si>
  <si>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</si>
  <si>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</si>
  <si>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</si>
  <si>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</si>
  <si>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</si>
  <si>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</si>
  <si>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</si>
  <si>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</si>
  <si>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</si>
  <si>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</si>
  <si>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</si>
  <si>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</si>
  <si>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</si>
  <si>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</si>
  <si>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</si>
  <si>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</si>
  <si>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</si>
  <si>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</si>
  <si>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</si>
  <si>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</si>
  <si>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</si>
  <si>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</si>
  <si>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</si>
  <si>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</si>
  <si>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</si>
  <si>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</si>
  <si>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</si>
  <si>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</si>
  <si>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</si>
  <si>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</si>
  <si>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</si>
  <si>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</si>
  <si>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</si>
  <si>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</si>
  <si>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</si>
  <si>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</si>
  <si>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</si>
  <si>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</si>
  <si>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</si>
  <si>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</si>
  <si>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</si>
  <si>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</si>
  <si>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</si>
  <si>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</si>
  <si>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</si>
  <si>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</si>
  <si>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</si>
  <si>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</si>
  <si>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</si>
  <si>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</si>
  <si>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</si>
  <si>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</si>
  <si>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</si>
  <si>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</si>
  <si>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</si>
  <si>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</si>
  <si>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</si>
  <si>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</si>
  <si>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</si>
  <si>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</si>
  <si>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</si>
  <si>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</si>
  <si>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</si>
  <si>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</si>
  <si>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</si>
  <si>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</si>
  <si>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</si>
  <si>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</si>
  <si>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</si>
  <si>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</si>
  <si>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</si>
  <si>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</si>
  <si>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</si>
  <si>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</si>
  <si>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</si>
  <si>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</si>
  <si>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</si>
  <si>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</si>
  <si>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</si>
  <si>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</si>
  <si>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</si>
  <si>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</si>
  <si>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</si>
  <si>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</si>
  <si>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</si>
  <si>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</si>
  <si>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</si>
  <si>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</si>
  <si>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</si>
  <si>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</si>
  <si>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</si>
  <si>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</si>
  <si>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</si>
  <si>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</si>
  <si>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</si>
  <si>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</si>
  <si>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</si>
  <si>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</si>
  <si>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</si>
  <si>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</si>
  <si>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</si>
  <si>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</si>
  <si>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</si>
  <si>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</si>
  <si>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</si>
  <si>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</si>
  <si>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</si>
  <si>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</si>
  <si>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</si>
  <si>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</si>
  <si>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</si>
  <si>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</si>
  <si>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</si>
  <si>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</si>
  <si>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</si>
  <si>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</si>
  <si>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</si>
  <si>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</si>
  <si>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</si>
  <si>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</si>
  <si>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</si>
  <si>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</si>
  <si>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</si>
  <si>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</si>
  <si>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</si>
  <si>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</si>
  <si>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</si>
  <si>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</si>
  <si>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</si>
  <si>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</si>
  <si>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</si>
  <si>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</si>
  <si>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</si>
  <si>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</si>
  <si>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</si>
  <si>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</si>
  <si>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</si>
  <si>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</si>
  <si>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</si>
  <si>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</si>
  <si>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</si>
  <si>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</si>
  <si>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</si>
  <si>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</si>
  <si>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</si>
  <si>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</si>
  <si>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</si>
  <si>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</si>
  <si>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</si>
  <si>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</si>
  <si>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</si>
  <si>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</si>
  <si>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</si>
  <si>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</si>
  <si>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</si>
  <si>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</si>
  <si>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</si>
  <si>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</si>
  <si>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</si>
  <si>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</si>
  <si>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</si>
  <si>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</si>
  <si>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</si>
  <si>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</si>
  <si>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</si>
  <si>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</si>
  <si>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</si>
  <si>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</si>
  <si>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</si>
  <si>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</si>
  <si>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</si>
  <si>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</si>
  <si>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</si>
  <si>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</si>
  <si>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</si>
  <si>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</si>
  <si>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</si>
  <si>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</si>
  <si>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</si>
  <si>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</si>
  <si>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</si>
  <si>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</si>
  <si>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</si>
  <si>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</si>
  <si>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</si>
  <si>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</si>
  <si>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</si>
  <si>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</si>
  <si>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</si>
  <si>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</si>
  <si>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</si>
  <si>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</si>
  <si>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</si>
  <si>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</si>
  <si>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</si>
  <si>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</si>
  <si>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</si>
  <si>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</si>
  <si>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</si>
  <si>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</si>
  <si>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</si>
  <si>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</si>
  <si>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</si>
  <si>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</si>
  <si>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</si>
  <si>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</si>
  <si>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</si>
  <si>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</si>
  <si>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</si>
  <si>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</si>
  <si>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</si>
  <si>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</si>
  <si>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</si>
  <si>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</si>
  <si>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</si>
  <si>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</si>
  <si>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</si>
  <si>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</si>
  <si>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</si>
  <si>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</si>
  <si>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</si>
  <si>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</si>
  <si>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</si>
  <si>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</si>
  <si>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</si>
  <si>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</si>
  <si>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</si>
  <si>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</si>
  <si>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</si>
  <si>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</si>
  <si>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</si>
  <si>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</si>
  <si>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</si>
  <si>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</si>
  <si>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</si>
  <si>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</si>
  <si>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</si>
  <si>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</si>
  <si>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</si>
  <si>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</si>
  <si>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</si>
  <si>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</si>
  <si>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</si>
  <si>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</si>
  <si>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</si>
  <si>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</si>
  <si>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</si>
  <si>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</si>
  <si>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</si>
  <si>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</si>
  <si>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</si>
  <si>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</si>
  <si>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</si>
  <si>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</si>
  <si>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</si>
  <si>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</si>
  <si>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</si>
  <si>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</si>
  <si>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</si>
  <si>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</si>
  <si>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</si>
  <si>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</si>
  <si>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</si>
  <si>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</si>
  <si>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</si>
  <si>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</si>
  <si>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</si>
  <si>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</si>
  <si>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</si>
  <si>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</si>
  <si>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</si>
  <si>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</si>
  <si>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</si>
  <si>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</si>
  <si>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</si>
  <si>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</si>
  <si>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</si>
  <si>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</si>
  <si>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</si>
  <si>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</si>
  <si>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</si>
  <si>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</si>
  <si>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</si>
  <si>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</si>
  <si>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</si>
  <si>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</si>
  <si>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</si>
  <si>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</si>
  <si>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</si>
  <si>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</si>
  <si>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</si>
  <si>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</si>
  <si>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</si>
  <si>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</si>
  <si>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</si>
  <si>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</si>
  <si>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</si>
  <si>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</si>
  <si>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</si>
  <si>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</si>
  <si>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</si>
  <si>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</si>
  <si>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</si>
  <si>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</si>
  <si>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</si>
  <si>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</si>
  <si>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</si>
  <si>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</si>
  <si>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</si>
  <si>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</si>
  <si>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</si>
  <si>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</si>
  <si>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</si>
  <si>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</si>
  <si>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</si>
  <si>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</si>
  <si>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</si>
  <si>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</si>
  <si>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</si>
  <si>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</si>
  <si>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</si>
  <si>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</si>
  <si>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</si>
  <si>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</si>
  <si>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</si>
  <si>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</si>
  <si>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</si>
  <si>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</si>
  <si>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</si>
  <si>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</si>
  <si>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</si>
  <si>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</si>
  <si>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</si>
  <si>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</si>
  <si>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</si>
  <si>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</si>
  <si>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</si>
  <si>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</si>
  <si>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</si>
  <si>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</si>
  <si>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</si>
  <si>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</si>
  <si>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</si>
  <si>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</si>
  <si>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</si>
  <si>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</si>
  <si>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</si>
  <si>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</si>
  <si>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</si>
  <si>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</si>
  <si>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</si>
  <si>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</si>
  <si>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</si>
  <si>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</si>
  <si>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</si>
  <si>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</si>
  <si>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</si>
  <si>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</si>
  <si>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</si>
  <si>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</si>
  <si>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</si>
  <si>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</si>
  <si>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</si>
  <si>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</si>
  <si>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</si>
  <si>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</si>
  <si>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</si>
  <si>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</si>
  <si>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</si>
  <si>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</si>
  <si>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</si>
  <si>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</si>
  <si>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</si>
  <si>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</si>
  <si>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</si>
  <si>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</si>
  <si>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</si>
  <si>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</si>
  <si>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</si>
  <si>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</si>
  <si>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</si>
  <si>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</si>
  <si>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</si>
  <si>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</si>
  <si>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</si>
  <si>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</si>
  <si>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</si>
  <si>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</si>
  <si>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</si>
  <si>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</si>
  <si>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</si>
  <si>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</si>
  <si>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</si>
  <si>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</si>
  <si>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</si>
  <si>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</si>
  <si>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</si>
  <si>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</si>
  <si>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</si>
  <si>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</si>
  <si>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</si>
  <si>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</si>
  <si>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</si>
  <si>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</si>
  <si>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</si>
  <si>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</si>
  <si>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</si>
  <si>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</si>
  <si>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</si>
  <si>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</si>
  <si>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</si>
  <si>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</si>
  <si>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</si>
  <si>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</si>
  <si>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</si>
  <si>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</si>
  <si>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</si>
  <si>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</si>
  <si>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</si>
  <si>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</si>
  <si>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</si>
  <si>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</si>
  <si>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</si>
  <si>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</si>
  <si>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</si>
  <si>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</si>
  <si>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</si>
  <si>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</si>
  <si>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</si>
  <si>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</si>
  <si>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</si>
  <si>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</si>
  <si>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</si>
  <si>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</si>
  <si>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</si>
  <si>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</si>
  <si>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</si>
  <si>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</si>
  <si>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</si>
  <si>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</si>
  <si>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</si>
  <si>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</si>
  <si>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</si>
  <si>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</si>
  <si>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</si>
  <si>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</si>
  <si>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</si>
  <si>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</si>
  <si>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</si>
  <si>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</si>
  <si>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</si>
  <si>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</si>
  <si>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</si>
  <si>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</si>
  <si>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</si>
  <si>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</si>
  <si>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</si>
  <si>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</si>
  <si>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</si>
  <si>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</si>
  <si>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</si>
  <si>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</si>
  <si>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</si>
  <si>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</si>
  <si>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</si>
  <si>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</si>
  <si>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</si>
  <si>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</si>
  <si>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</si>
  <si>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</si>
  <si>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</si>
  <si>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</si>
  <si>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</si>
  <si>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</si>
  <si>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</si>
  <si>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</si>
  <si>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</si>
  <si>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</si>
  <si>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</si>
  <si>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</si>
  <si>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</si>
  <si>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</si>
  <si>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</si>
  <si>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</si>
  <si>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</si>
  <si>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</si>
  <si>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</si>
  <si>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</si>
  <si>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</si>
  <si>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</si>
  <si>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</si>
  <si>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</si>
  <si>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</si>
  <si>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</si>
  <si>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</si>
  <si>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</si>
  <si>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</si>
  <si>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</si>
  <si>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</si>
  <si>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</si>
  <si>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</si>
  <si>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</si>
  <si>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</si>
  <si>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</si>
  <si>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</si>
  <si>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</si>
  <si>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</si>
  <si>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</si>
  <si>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</si>
  <si>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</si>
  <si>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</si>
  <si>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</si>
  <si>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</si>
  <si>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</si>
  <si>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</si>
  <si>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</si>
  <si>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</si>
  <si>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</si>
  <si>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</si>
  <si>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</si>
  <si>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</si>
  <si>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</si>
  <si>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</si>
  <si>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</si>
  <si>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</si>
  <si>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</si>
  <si>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</si>
  <si>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</si>
  <si>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</si>
  <si>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</si>
  <si>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</si>
  <si>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</si>
  <si>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</si>
  <si>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</si>
  <si>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</si>
  <si>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</si>
  <si>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</si>
  <si>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</si>
  <si>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</si>
  <si>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</si>
  <si>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</si>
  <si>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</si>
  <si>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</si>
  <si>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</si>
  <si>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</si>
  <si>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</si>
  <si>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</si>
  <si>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</si>
  <si>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</si>
  <si>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</si>
  <si>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</si>
  <si>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</si>
  <si>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</si>
  <si>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</si>
  <si>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</si>
  <si>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</si>
  <si>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</si>
  <si>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</si>
  <si>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</si>
  <si>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</si>
  <si>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</si>
  <si>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</si>
  <si>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</si>
  <si>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</si>
  <si>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</si>
  <si>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</si>
  <si>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</si>
  <si>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</si>
  <si>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</si>
  <si>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</si>
  <si>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</si>
  <si>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</si>
  <si>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</si>
  <si>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</si>
  <si>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</si>
  <si>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</si>
  <si>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</si>
  <si>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</si>
  <si>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</si>
  <si>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</si>
  <si>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</si>
  <si>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</si>
  <si>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</si>
  <si>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</si>
  <si>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</si>
  <si>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</si>
  <si>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</si>
  <si>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</si>
  <si>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</si>
  <si>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</si>
  <si>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</si>
  <si>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</si>
  <si>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</si>
  <si>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</si>
  <si>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</si>
  <si>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</si>
  <si>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</si>
  <si>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</si>
  <si>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</si>
  <si>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</si>
  <si>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</si>
  <si>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</si>
  <si>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</si>
  <si>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</si>
  <si>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</si>
  <si>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</si>
  <si>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</si>
  <si>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</si>
  <si>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</si>
  <si>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</si>
  <si>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</si>
  <si>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</si>
  <si>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</si>
  <si>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</si>
  <si>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</si>
  <si>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</si>
  <si>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</si>
  <si>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</si>
  <si>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</si>
  <si>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</si>
  <si>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</si>
  <si>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</si>
  <si>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</si>
  <si>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</si>
  <si>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</si>
  <si>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</si>
  <si>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</si>
  <si>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</si>
  <si>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</si>
  <si>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</si>
  <si>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</si>
  <si>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</si>
  <si>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</si>
  <si>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</si>
  <si>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</si>
  <si>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</si>
  <si>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</si>
  <si>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</si>
  <si>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</si>
  <si>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</si>
  <si>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</si>
  <si>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</si>
  <si>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</si>
  <si>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</si>
  <si>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</si>
  <si>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</si>
  <si>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</si>
  <si>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</si>
  <si>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</si>
  <si>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</si>
  <si>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</si>
  <si>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</si>
  <si>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</si>
  <si>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</si>
  <si>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</si>
  <si>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</si>
  <si>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</si>
  <si>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</si>
  <si>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</si>
  <si>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</si>
  <si>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</si>
  <si>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</si>
  <si>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</si>
  <si>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</si>
  <si>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</si>
  <si>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</si>
  <si>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</si>
  <si>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</si>
  <si>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</si>
  <si>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</si>
  <si>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</si>
  <si>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</si>
  <si>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</si>
  <si>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</si>
  <si>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</si>
  <si>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</si>
  <si>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</si>
  <si>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</si>
  <si>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</si>
  <si>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</si>
  <si>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</si>
  <si>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</si>
  <si>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</si>
  <si>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</si>
  <si>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</si>
  <si>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</si>
  <si>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</si>
  <si>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</si>
  <si>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</si>
  <si>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</si>
  <si>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</si>
  <si>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</si>
  <si>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</si>
  <si>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</si>
  <si>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</si>
  <si>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</si>
  <si>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</si>
  <si>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</si>
  <si>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</si>
  <si>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</si>
  <si>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</si>
  <si>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</si>
  <si>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</si>
  <si>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</si>
  <si>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</si>
  <si>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</si>
  <si>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</si>
  <si>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</si>
  <si>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</si>
  <si>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</si>
  <si>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</si>
  <si>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</si>
  <si>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</si>
  <si>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</si>
  <si>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</si>
  <si>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</si>
  <si>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</si>
  <si>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</si>
  <si>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</si>
  <si>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</si>
  <si>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</si>
  <si>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</si>
  <si>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</si>
  <si>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</si>
  <si>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</si>
  <si>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</si>
  <si>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</si>
  <si>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</si>
  <si>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</si>
  <si>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</si>
  <si>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</si>
  <si>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</si>
  <si>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</si>
  <si>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</si>
  <si>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</si>
  <si>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</si>
  <si>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</si>
  <si>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</si>
  <si>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</si>
  <si>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</si>
  <si>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</si>
  <si>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</si>
  <si>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</si>
  <si>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</si>
  <si>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</si>
  <si>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</si>
  <si>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</si>
  <si>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</si>
  <si>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</si>
  <si>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</si>
  <si>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</si>
  <si>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</si>
  <si>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</si>
  <si>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</si>
  <si>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</si>
  <si>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</si>
  <si>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</si>
  <si>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</si>
  <si>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</si>
  <si>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</si>
  <si>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</si>
  <si>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</si>
  <si>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</si>
  <si>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</si>
  <si>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</si>
  <si>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</si>
  <si>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</si>
  <si>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</si>
  <si>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</si>
  <si>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</si>
  <si>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</si>
  <si>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</si>
  <si>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</si>
  <si>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</si>
  <si>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</si>
  <si>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</si>
  <si>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</si>
  <si>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</si>
  <si>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</si>
  <si>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</si>
  <si>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</si>
  <si>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</si>
  <si>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</si>
  <si>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</si>
  <si>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</si>
  <si>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</si>
  <si>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</si>
  <si>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</si>
  <si>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</si>
  <si>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</si>
  <si>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</si>
  <si>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</si>
  <si>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</si>
  <si>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</si>
  <si>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</si>
  <si>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</si>
  <si>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</si>
  <si>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</si>
  <si>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</si>
  <si>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</si>
  <si>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</si>
  <si>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</si>
  <si>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</si>
  <si>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</si>
  <si>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</si>
  <si>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</si>
  <si>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</si>
  <si>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</si>
  <si>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</si>
  <si>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</si>
  <si>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</si>
  <si>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</si>
  <si>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</si>
  <si>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</si>
  <si>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</si>
  <si>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</si>
  <si>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</si>
  <si>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</si>
  <si>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</si>
  <si>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</si>
  <si>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</si>
  <si>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</si>
  <si>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</si>
  <si>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</si>
  <si>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</si>
  <si>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</si>
  <si>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</si>
  <si>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</si>
  <si>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</si>
  <si>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</si>
  <si>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</si>
  <si>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</si>
  <si>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</si>
  <si>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</si>
  <si>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</si>
  <si>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</si>
  <si>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</si>
  <si>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</si>
  <si>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</si>
  <si>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</si>
  <si>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</si>
  <si>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</si>
  <si>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</si>
  <si>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</si>
  <si>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</si>
  <si>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</si>
  <si>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</si>
  <si>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</si>
  <si>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</si>
  <si>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</si>
  <si>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</si>
  <si>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</si>
  <si>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</si>
  <si>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</si>
  <si>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</si>
  <si>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</si>
  <si>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</si>
  <si>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</si>
  <si>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</si>
  <si>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</si>
  <si>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</si>
  <si>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</si>
  <si>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</si>
  <si>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</si>
  <si>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</si>
  <si>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</si>
  <si>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</si>
  <si>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</si>
  <si>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</si>
  <si>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</si>
  <si>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</si>
  <si>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</si>
  <si>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</si>
  <si>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</si>
  <si>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</si>
  <si>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</si>
  <si>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</si>
  <si>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</si>
  <si>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</si>
  <si>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</si>
  <si>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</si>
  <si>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</si>
  <si>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</si>
  <si>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</si>
  <si>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</si>
  <si>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</si>
  <si>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</si>
  <si>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</si>
  <si>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</si>
  <si>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</si>
  <si>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</si>
  <si>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</si>
  <si>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</si>
  <si>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</si>
  <si>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</si>
  <si>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</si>
  <si>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</si>
  <si>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</si>
  <si>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</si>
  <si>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</si>
  <si>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</si>
  <si>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</si>
  <si>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</si>
  <si>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</si>
  <si>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</si>
  <si>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</si>
  <si>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</si>
  <si>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</si>
  <si>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</si>
  <si>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</si>
  <si>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</si>
  <si>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</si>
  <si>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</si>
  <si>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</si>
  <si>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</si>
  <si>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</si>
  <si>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</si>
  <si>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</si>
  <si>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</si>
  <si>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</si>
  <si>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</si>
  <si>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</si>
  <si>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</si>
  <si>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</si>
  <si>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</si>
  <si>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</si>
  <si>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</si>
  <si>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</si>
  <si>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</si>
  <si>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</si>
  <si>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</si>
  <si>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</si>
  <si>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</si>
  <si>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</si>
  <si>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</si>
  <si>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</si>
  <si>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</si>
  <si>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</si>
  <si>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</si>
  <si>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</si>
  <si>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</si>
  <si>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</si>
  <si>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</si>
  <si>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</si>
  <si>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</si>
  <si>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</si>
  <si>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</si>
  <si>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</si>
  <si>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</si>
  <si>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</si>
  <si>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</si>
  <si>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</si>
  <si>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</si>
  <si>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</si>
  <si>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</si>
  <si>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</si>
  <si>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</si>
  <si>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</si>
  <si>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</si>
  <si>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</si>
  <si>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</si>
  <si>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</si>
  <si>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</si>
  <si>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</si>
  <si>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</si>
  <si>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</si>
  <si>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</si>
  <si>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</si>
  <si>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</si>
  <si>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</si>
  <si>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</si>
  <si>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</si>
  <si>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</si>
  <si>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</si>
  <si>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</si>
  <si>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</si>
  <si>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</si>
  <si>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</si>
  <si>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</si>
  <si>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</si>
  <si>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</si>
  <si>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</si>
  <si>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</si>
  <si>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</si>
  <si>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</si>
  <si>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</si>
  <si>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</si>
  <si>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</si>
  <si>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</si>
  <si>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</si>
  <si>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</si>
  <si>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</si>
  <si>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</si>
  <si>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</si>
  <si>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</si>
  <si>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</si>
  <si>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</si>
  <si>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</si>
  <si>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</si>
  <si>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</si>
  <si>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</si>
  <si>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</si>
  <si>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</si>
  <si>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</si>
  <si>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</si>
  <si>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</si>
  <si>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</si>
  <si>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</si>
  <si>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</si>
  <si>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</si>
  <si>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</si>
  <si>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</si>
  <si>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</si>
  <si>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</si>
  <si>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</si>
  <si>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</si>
  <si>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</si>
  <si>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</si>
  <si>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</si>
  <si>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</si>
  <si>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</si>
  <si>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</si>
  <si>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</si>
  <si>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</si>
  <si>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</si>
  <si>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</si>
  <si>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</si>
  <si>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</si>
  <si>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</si>
  <si>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</si>
  <si>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</si>
  <si>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</si>
  <si>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</si>
  <si>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</si>
  <si>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</si>
  <si>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</si>
  <si>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</si>
  <si>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</si>
  <si>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</si>
  <si>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</si>
  <si>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</si>
  <si>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</si>
  <si>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</si>
  <si>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</si>
  <si>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</si>
  <si>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</si>
  <si>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</si>
  <si>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</si>
  <si>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</si>
  <si>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</si>
  <si>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</si>
  <si>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</si>
  <si>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</si>
  <si>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</si>
  <si>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</si>
  <si>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</si>
  <si>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</si>
  <si>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</si>
  <si>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</si>
  <si>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</si>
  <si>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</si>
  <si>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</si>
  <si>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</si>
  <si>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</si>
  <si>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</si>
  <si>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</si>
  <si>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</si>
  <si>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</si>
  <si>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</si>
  <si>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</si>
  <si>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</si>
  <si>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</si>
  <si>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</si>
  <si>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</si>
  <si>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</si>
  <si>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</si>
  <si>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</si>
  <si>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</si>
  <si>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</si>
  <si>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</si>
  <si>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</si>
  <si>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</si>
  <si>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</si>
  <si>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</si>
  <si>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</si>
  <si>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</si>
  <si>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</si>
  <si>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</si>
  <si>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</si>
  <si>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</si>
  <si>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</si>
  <si>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</si>
  <si>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</si>
  <si>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</si>
  <si>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</si>
  <si>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</si>
  <si>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</si>
  <si>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</si>
  <si>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</si>
  <si>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</si>
  <si>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</si>
  <si>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</si>
  <si>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</si>
  <si>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</si>
  <si>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</si>
  <si>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</si>
  <si>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</si>
  <si>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</si>
  <si>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</si>
  <si>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</si>
  <si>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</si>
  <si>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</si>
  <si>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</si>
  <si>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</si>
  <si>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</si>
  <si>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</si>
  <si>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</si>
  <si>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</si>
  <si>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</si>
  <si>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</si>
  <si>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</si>
  <si>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</si>
  <si>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</si>
  <si>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</si>
  <si>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</si>
  <si>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</si>
  <si>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</si>
  <si>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date_validation_flag</t>
  </si>
  <si>
    <t>duplicate_order_flag</t>
  </si>
  <si>
    <t>Unknown</t>
  </si>
  <si>
    <t>discount_validation</t>
  </si>
  <si>
    <t>cleaned_discount</t>
  </si>
  <si>
    <t>calculated_sales</t>
  </si>
  <si>
    <t>profit_margin</t>
  </si>
  <si>
    <t>calculated_profit</t>
  </si>
  <si>
    <t>order_month</t>
  </si>
  <si>
    <t>order_year</t>
  </si>
  <si>
    <t>data_quality_flag</t>
  </si>
  <si>
    <t>Row Labels</t>
  </si>
  <si>
    <t>(blank)</t>
  </si>
  <si>
    <t>Grand Total</t>
  </si>
  <si>
    <t>Count of order_id</t>
  </si>
  <si>
    <t>Average of profit_margin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</si>
  <si>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</si>
  <si>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</si>
  <si>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</si>
  <si>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</si>
  <si>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</si>
  <si>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</si>
  <si>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</si>
  <si>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</si>
  <si>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</si>
  <si>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</si>
  <si>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</si>
  <si>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</si>
  <si>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</si>
  <si>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</si>
  <si>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calculated_profit</t>
  </si>
  <si>
    <t>Sum of calculated_sales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</si>
</sst>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b/>
      <sz val="12"/>
      <color theme="0"/>
      <name val="Consolas"/>
      <family val="3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" fontId="2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5" borderId="0" xfId="0" applyFont="1" applyFill="1" applyAlignment="1">
      <alignment vertical="center"/>
    </xf>
    <xf numFmtId="9" fontId="3" fillId="5" borderId="0" xfId="1" applyFont="1" applyFill="1" applyAlignment="1">
      <alignment vertical="center"/>
    </xf>
    <xf numFmtId="9" fontId="0" fillId="0" borderId="0" xfId="1" applyFont="1"/>
    <xf numFmtId="0" fontId="1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fessional" refreshedDate="46200.837425810183" createdVersion="4" refreshedVersion="4" minRefreshableVersion="3" recordCount="914">
  <cacheSource type="worksheet">
    <worksheetSource ref="A1:AF1048576" sheet="cleaned_orders"/>
  </cacheSource>
  <cacheFields count="32">
    <cacheField name="order_id" numFmtId="0">
      <sharedItems containsBlank="1"/>
    </cacheField>
    <cacheField name="duplicate_order_flag" numFmtId="0">
      <sharedItems containsBlank="1"/>
    </cacheField>
    <cacheField name="order_month" numFmtId="0">
      <sharedItems containsBlank="1" count="13">
        <s v="Jul"/>
        <s v="Aug"/>
        <s v="Jun"/>
        <s v="Nov"/>
        <s v="May"/>
        <s v="Apr"/>
        <s v="Feb"/>
        <s v="Sep"/>
        <s v="Dec"/>
        <s v="Oct"/>
        <s v="Jan"/>
        <s v="Mar"/>
        <m/>
      </sharedItems>
    </cacheField>
    <cacheField name="order_year" numFmtId="0">
      <sharedItems containsString="0" containsBlank="1" containsNumber="1" containsInteger="1" minValue="2024" maxValue="2025"/>
    </cacheField>
    <cacheField name="order_date" numFmtId="0">
      <sharedItems containsNonDate="0" containsDate="1" containsString="0" containsBlank="1" minDate="2024-01-01T00:00:00" maxDate="2025-10-13T00:00:00"/>
    </cacheField>
    <cacheField name="ship_date" numFmtId="0">
      <sharedItems containsNonDate="0" containsDate="1" containsString="0" containsBlank="1" minDate="2024-01-05T00:00:00" maxDate="2025-10-17T00:00:00"/>
    </cacheField>
    <cacheField name="shipping_delay_days" numFmtId="1">
      <sharedItems containsString="0" containsBlank="1" containsNumber="1" containsInteger="1" minValue="-4" maxValue="8"/>
    </cacheField>
    <cacheField name="date_validation_flag" numFmtId="1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calculated_sales" numFmtId="0">
      <sharedItems containsBlank="1" containsMixedTypes="1" containsNumber="1" minValue="217.47750000000002" maxValue="36782.271000000008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Blank="1" containsMixedTypes="1" containsNumber="1" minValue="0" maxValue="0.65"/>
    </cacheField>
    <cacheField name="discount_validation" numFmtId="0">
      <sharedItems containsBlank="1"/>
    </cacheField>
    <cacheField name="data_quality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calculated_profit" numFmtId="0">
      <sharedItems containsBlank="1" containsMixedTypes="1" containsNumber="1" minValue="-10350.040000000001" maxValue="15225.999000000003"/>
    </cacheField>
    <cacheField name="profit" numFmtId="0">
      <sharedItems containsString="0" containsBlank="1" containsNumber="1" minValue="42.35" maxValue="15226"/>
    </cacheField>
    <cacheField name="profit_margin" numFmtId="9">
      <sharedItems containsString="0" containsBlank="1" containsNumber="1" minValue="0.13956508114807684" maxValue="0.44979786117375625"/>
    </cacheField>
    <cacheField name="payment_status" numFmtId="0">
      <sharedItems containsBlank="1"/>
    </cacheField>
    <cacheField name="order_status" numFmtId="0">
      <sharedItems containsBlank="1" count="4">
        <s v="Completed"/>
        <s v="Cancelled"/>
        <s v="Return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4">
  <r>
    <s v="ORD-2024-10001"/>
    <s v="Unique"/>
    <x v="0"/>
    <n v="2024"/>
    <d v="2024-07-21T00:00:00"/>
    <d v="2024-07-27T00:00:00"/>
    <n v="6"/>
    <s v="Valid"/>
    <s v="CUST-4655"/>
    <s v="Karan Malhotra"/>
    <x v="0"/>
    <x v="0"/>
    <s v="Rajasthan"/>
    <s v="Jaipur"/>
    <x v="0"/>
    <x v="0"/>
    <s v="Pro Paper 122"/>
    <x v="0"/>
    <n v="8"/>
    <n v="2976.45"/>
    <n v="19049.28"/>
    <n v="0.2"/>
    <n v="0.2"/>
    <s v="Valid"/>
    <s v="Clean"/>
    <n v="19049.28"/>
    <n v="15841.89"/>
    <n v="3207.3899999999994"/>
    <n v="3207.39"/>
    <n v="0.16837329284886357"/>
    <s v="Paid"/>
    <x v="0"/>
  </r>
  <r>
    <s v="ORD-2024-10002"/>
    <s v="Unique"/>
    <x v="1"/>
    <n v="2024"/>
    <d v="2024-08-31T00:00:00"/>
    <d v="2024-09-05T00:00:00"/>
    <n v="5"/>
    <s v="Valid"/>
    <s v="CUST-2054"/>
    <s v="Mira Das"/>
    <x v="1"/>
    <x v="1"/>
    <s v="Odisha"/>
    <s v="Bhubaneswar"/>
    <x v="1"/>
    <x v="1"/>
    <s v="Pro Tables 258"/>
    <x v="1"/>
    <n v="3"/>
    <n v="2437.5"/>
    <n v="7312.5"/>
    <n v="0"/>
    <n v="0"/>
    <s v="Valid"/>
    <s v="Clean"/>
    <n v="7312.5"/>
    <n v="4904.7299999999996"/>
    <n v="2407.7700000000004"/>
    <n v="2407.77"/>
    <n v="0.32926769230769232"/>
    <s v="Paid"/>
    <x v="0"/>
  </r>
  <r>
    <s v="ORD-2024-10003"/>
    <s v="Unique"/>
    <x v="2"/>
    <n v="2024"/>
    <d v="2024-06-08T00:00:00"/>
    <d v="2024-06-15T00:00:00"/>
    <n v="7"/>
    <s v="Valid"/>
    <s v="CUST-6843"/>
    <s v="Isha Nair"/>
    <x v="0"/>
    <x v="1"/>
    <s v="Odisha"/>
    <s v="Bhubaneswar"/>
    <x v="0"/>
    <x v="2"/>
    <s v="Elite Art 525"/>
    <x v="2"/>
    <n v="4"/>
    <n v="1065.43"/>
    <n v="1917.7739999999999"/>
    <n v="0.55000000000000004"/>
    <n v="0.55000000000000004"/>
    <s v="Valid"/>
    <s v="Clean"/>
    <n v="4261.72"/>
    <n v="2465.69"/>
    <n v="-547.91600000000017"/>
    <n v="1796.03"/>
    <n v="0.42143313028542462"/>
    <s v="Paid"/>
    <x v="0"/>
  </r>
  <r>
    <s v="ORD-2024-10004"/>
    <s v="Unique"/>
    <x v="3"/>
    <n v="2024"/>
    <d v="2024-11-28T00:00:00"/>
    <d v="2024-11-29T00:00:00"/>
    <n v="1"/>
    <s v="Valid"/>
    <s v="CUST-3722"/>
    <s v="Arjun Bose"/>
    <x v="1"/>
    <x v="2"/>
    <s v="Telangana"/>
    <s v="Hyderabad"/>
    <x v="1"/>
    <x v="3"/>
    <s v="Smart Furnishings 294"/>
    <x v="3"/>
    <n v="6"/>
    <n v="1848.43"/>
    <n v="8317.9349999999995"/>
    <n v="0.25"/>
    <n v="0.25"/>
    <s v="Valid"/>
    <s v="Clean"/>
    <n v="8317.93"/>
    <n v="6796.77"/>
    <n v="1521.1649999999991"/>
    <n v="1521.16"/>
    <n v="0.18287723027243558"/>
    <s v="Paid"/>
    <x v="0"/>
  </r>
  <r>
    <s v="ORD-2025-10005"/>
    <s v="Unique"/>
    <x v="1"/>
    <n v="2025"/>
    <d v="2025-08-29T00:00:00"/>
    <d v="2025-09-01T00:00:00"/>
    <n v="3"/>
    <s v="Valid"/>
    <s v="CUST-8130"/>
    <s v="Ananya Rao"/>
    <x v="1"/>
    <x v="3"/>
    <s v="Maharashtra"/>
    <s v="Mumbai"/>
    <x v="1"/>
    <x v="4"/>
    <s v="Elite Chairs 543"/>
    <x v="2"/>
    <n v="7"/>
    <n v="2973.76"/>
    <n v="20816.32"/>
    <n v="0"/>
    <n v="0"/>
    <s v="Valid"/>
    <s v="Clean"/>
    <n v="20816.32"/>
    <n v="17705.37"/>
    <n v="3110.9500000000007"/>
    <n v="3110.95"/>
    <n v="0.14944764492475135"/>
    <s v="Paid"/>
    <x v="1"/>
  </r>
  <r>
    <s v="ORD-2024-10006"/>
    <s v="Unique"/>
    <x v="4"/>
    <n v="2024"/>
    <d v="2024-05-24T00:00:00"/>
    <d v="2024-05-28T00:00:00"/>
    <n v="4"/>
    <s v="Valid"/>
    <s v="CUST-6056"/>
    <s v="Vikram Iyer"/>
    <x v="1"/>
    <x v="3"/>
    <s v="Madhya Pradesh"/>
    <s v="Indore"/>
    <x v="2"/>
    <x v="5"/>
    <s v="Pro Accessories 821"/>
    <x v="1"/>
    <n v="3"/>
    <n v="1053.1099999999999"/>
    <n v="2527.4639999999999"/>
    <n v="0.2"/>
    <n v="0.2"/>
    <s v="Valid"/>
    <s v="Clean"/>
    <n v="2527.46"/>
    <n v="1533.58"/>
    <n v="993.88400000000001"/>
    <n v="993.88"/>
    <n v="0.39323273167527872"/>
    <s v="Paid"/>
    <x v="0"/>
  </r>
  <r>
    <s v="ORD-2025-10007"/>
    <s v="Duplicate Order ID"/>
    <x v="5"/>
    <n v="2025"/>
    <d v="2025-04-10T00:00:00"/>
    <d v="2025-04-16T00:00:00"/>
    <n v="6"/>
    <s v="Valid"/>
    <s v="CUST-3656"/>
    <s v="Neha Gupta"/>
    <x v="0"/>
    <x v="1"/>
    <s v="Odisha"/>
    <s v="Bhubaneswar"/>
    <x v="2"/>
    <x v="6"/>
    <s v="Eco Copiers 790"/>
    <x v="3"/>
    <n v="4"/>
    <n v="1719.87"/>
    <n v="5847.5579999999991"/>
    <n v="0.15"/>
    <n v="0.15"/>
    <s v="Valid"/>
    <s v="Clean"/>
    <n v="5847.56"/>
    <n v="4727.25"/>
    <n v="1120.3079999999991"/>
    <n v="1120.31"/>
    <n v="0.19158589223539388"/>
    <s v="Paid"/>
    <x v="0"/>
  </r>
  <r>
    <s v="ORD-2025-10008"/>
    <s v="Unique"/>
    <x v="6"/>
    <n v="2025"/>
    <d v="2025-02-23T00:00:00"/>
    <d v="2025-02-26T00:00:00"/>
    <n v="3"/>
    <s v="Valid"/>
    <s v="CUST-4683"/>
    <s v="Isha Nair"/>
    <x v="1"/>
    <x v="2"/>
    <s v="Andhra Pradesh"/>
    <s v="Vijayawada"/>
    <x v="0"/>
    <x v="2"/>
    <s v="Eco Art 848"/>
    <x v="2"/>
    <n v="1"/>
    <n v="2980.71"/>
    <n v="2980.71"/>
    <n v="0"/>
    <n v="0"/>
    <s v="Valid"/>
    <s v="Clean"/>
    <n v="2980.71"/>
    <n v="2357.2199999999998"/>
    <n v="623.49000000000024"/>
    <n v="623.49"/>
    <n v="0.20917499521925983"/>
    <s v="Paid"/>
    <x v="0"/>
  </r>
  <r>
    <s v="ORD-2024-10009"/>
    <s v="Unique"/>
    <x v="3"/>
    <n v="2024"/>
    <d v="2024-11-05T00:00:00"/>
    <d v="2024-11-10T00:00:00"/>
    <n v="5"/>
    <s v="Valid"/>
    <s v="CUST-2598"/>
    <s v="Aditi Sen"/>
    <x v="2"/>
    <x v="2"/>
    <s v="Telangana"/>
    <s v="Hyderabad"/>
    <x v="0"/>
    <x v="7"/>
    <s v="Classic Labels 815"/>
    <x v="2"/>
    <n v="8"/>
    <n v="3134.2"/>
    <n v="25073.599999999999"/>
    <n v="0"/>
    <n v="0"/>
    <s v="Valid"/>
    <s v="Clean"/>
    <n v="25073.599999999999"/>
    <n v="17347.23"/>
    <n v="7726.369999999999"/>
    <n v="7726.37"/>
    <n v="0.30814761342607366"/>
    <s v="Paid"/>
    <x v="0"/>
  </r>
  <r>
    <s v="ORD-2025-10010"/>
    <s v="Unique"/>
    <x v="7"/>
    <n v="2025"/>
    <d v="2025-09-07T00:00:00"/>
    <d v="2025-09-12T00:00:00"/>
    <n v="5"/>
    <s v="Valid"/>
    <s v="CUST-2483"/>
    <s v="Mira Das"/>
    <x v="3"/>
    <x v="2"/>
    <s v="Telangana"/>
    <s v="Hyderabad"/>
    <x v="0"/>
    <x v="0"/>
    <s v="Pro Paper 622"/>
    <x v="0"/>
    <n v="9"/>
    <n v="852.04"/>
    <n v="6134.6880000000001"/>
    <n v="0.2"/>
    <n v="0.2"/>
    <s v="Valid"/>
    <s v="Clean"/>
    <n v="6134.69"/>
    <n v="3800.19"/>
    <n v="2334.498"/>
    <n v="2334.5"/>
    <n v="0.3805408260238089"/>
    <s v="Paid"/>
    <x v="0"/>
  </r>
  <r>
    <s v="ORD-2025-10011"/>
    <s v="Unique"/>
    <x v="4"/>
    <n v="2025"/>
    <d v="2025-05-20T00:00:00"/>
    <d v="2025-05-20T00:00:00"/>
    <n v="0"/>
    <s v="Valid"/>
    <s v="CUST-8092"/>
    <s v="Ananya Rao"/>
    <x v="2"/>
    <x v="1"/>
    <s v="West Bengal"/>
    <s v="Kolkata"/>
    <x v="0"/>
    <x v="7"/>
    <s v="Prime Labels 644"/>
    <x v="0"/>
    <n v="3"/>
    <n v="3534.83"/>
    <n v="10074.2655"/>
    <n v="0.05"/>
    <n v="0.05"/>
    <s v="Valid"/>
    <s v="Clean"/>
    <n v="10074.27"/>
    <n v="6048.27"/>
    <n v="4025.9954999999991"/>
    <n v="4026"/>
    <n v="0.39963193362893784"/>
    <s v="Refunded"/>
    <x v="2"/>
  </r>
  <r>
    <s v="ORD-2024-10012"/>
    <s v="Unique"/>
    <x v="0"/>
    <n v="2024"/>
    <d v="2024-07-22T00:00:00"/>
    <d v="2024-07-23T00:00:00"/>
    <n v="1"/>
    <s v="Valid"/>
    <s v="CUST-6528"/>
    <s v="Vikram Iyer"/>
    <x v="1"/>
    <x v="1"/>
    <s v="Odisha"/>
    <s v="Bhubaneswar"/>
    <x v="2"/>
    <x v="5"/>
    <s v="Smart Accessories 603"/>
    <x v="1"/>
    <n v="6"/>
    <n v="2005.95"/>
    <n v="9628.5600000000013"/>
    <n v="0.2"/>
    <n v="0.2"/>
    <s v="Valid"/>
    <s v="Clean"/>
    <n v="9628.56"/>
    <n v="8038.59"/>
    <n v="1589.9700000000012"/>
    <n v="1589.97"/>
    <n v="0.16513061143099281"/>
    <s v="Paid"/>
    <x v="0"/>
  </r>
  <r>
    <s v="ORD-2024-10013"/>
    <s v="Unique"/>
    <x v="8"/>
    <n v="2024"/>
    <d v="2024-12-20T00:00:00"/>
    <d v="2024-12-21T00:00:00"/>
    <n v="1"/>
    <s v="Valid"/>
    <s v="CUST-2648"/>
    <s v="Ananya Rao"/>
    <x v="2"/>
    <x v="3"/>
    <s v="Rajasthan"/>
    <s v="Udaipur"/>
    <x v="0"/>
    <x v="0"/>
    <s v="Pro Paper 481"/>
    <x v="2"/>
    <n v="1"/>
    <n v="702.14"/>
    <n v="596.81899999999996"/>
    <n v="0.15"/>
    <n v="0.15"/>
    <s v="Valid"/>
    <s v="Clean"/>
    <n v="596.82000000000005"/>
    <n v="380.25"/>
    <n v="216.56899999999996"/>
    <n v="216.57"/>
    <n v="0.36287322810897754"/>
    <s v="Pending"/>
    <x v="2"/>
  </r>
  <r>
    <s v="ORD-2025-10014"/>
    <s v="Unique"/>
    <x v="9"/>
    <n v="2025"/>
    <d v="2025-10-12T00:00:00"/>
    <d v="2025-10-16T00:00:00"/>
    <n v="4"/>
    <s v="Valid"/>
    <s v="CUST-7482"/>
    <s v="Priya Menon"/>
    <x v="1"/>
    <x v="3"/>
    <s v="Maharashtra"/>
    <s v="Mumbai"/>
    <x v="0"/>
    <x v="2"/>
    <s v="Smart Art 795"/>
    <x v="0"/>
    <n v="7"/>
    <n v="3964.72"/>
    <n v="26365.387999999995"/>
    <n v="0.05"/>
    <n v="0.05"/>
    <s v="Valid"/>
    <s v="Clean"/>
    <n v="26365.39"/>
    <n v="22306.240000000002"/>
    <n v="4059.1479999999938"/>
    <n v="4059.15"/>
    <n v="0.15395751779131658"/>
    <s v="Paid"/>
    <x v="0"/>
  </r>
  <r>
    <s v="ORD-2024-10015"/>
    <s v="Unique"/>
    <x v="8"/>
    <n v="2024"/>
    <d v="2024-12-27T00:00:00"/>
    <d v="2024-12-28T00:00:00"/>
    <n v="1"/>
    <s v="Valid"/>
    <s v="CUST-4912"/>
    <s v="Rahul Verma"/>
    <x v="0"/>
    <x v="3"/>
    <s v="Rajasthan"/>
    <s v="Udaipur"/>
    <x v="2"/>
    <x v="6"/>
    <s v="Max Copiers 983"/>
    <x v="3"/>
    <n v="2"/>
    <n v="2737.83"/>
    <n v="4106.7449999999999"/>
    <n v="0.25"/>
    <n v="0.25"/>
    <s v="Valid"/>
    <s v="Clean"/>
    <n v="4106.74"/>
    <n v="2666.3"/>
    <n v="1440.4449999999997"/>
    <n v="1440.44"/>
    <n v="0.35075023010952727"/>
    <s v="Paid"/>
    <x v="0"/>
  </r>
  <r>
    <s v="ORD-2024-10016"/>
    <s v="Unique"/>
    <x v="0"/>
    <n v="2024"/>
    <d v="2024-07-09T00:00:00"/>
    <d v="2024-07-09T00:00:00"/>
    <n v="0"/>
    <s v="Valid"/>
    <s v="CUST-7656"/>
    <s v="Karan Malhotra"/>
    <x v="1"/>
    <x v="0"/>
    <s v="Punjab"/>
    <s v="Ludhiana"/>
    <x v="0"/>
    <x v="8"/>
    <s v="Classic Storage 198"/>
    <x v="0"/>
    <n v="6"/>
    <n v="3965.76"/>
    <n v="23794.560000000001"/>
    <n v="0"/>
    <n v="0"/>
    <s v="Valid"/>
    <s v="Clean"/>
    <n v="23794.560000000001"/>
    <n v="15698.47"/>
    <n v="8096.090000000002"/>
    <n v="8096.09"/>
    <n v="0.34024962008122867"/>
    <s v="Paid"/>
    <x v="0"/>
  </r>
  <r>
    <s v="ORD-2024-10017"/>
    <s v="Unique"/>
    <x v="4"/>
    <n v="2024"/>
    <d v="2024-05-08T00:00:00"/>
    <d v="2024-05-15T00:00:00"/>
    <n v="7"/>
    <s v="Valid"/>
    <s v="CUST-6214"/>
    <s v="Aarav Sharma"/>
    <x v="0"/>
    <x v="2"/>
    <s v="Telangana"/>
    <s v="Hyderabad"/>
    <x v="0"/>
    <x v="2"/>
    <s v="Basic Art 204"/>
    <x v="2"/>
    <n v="4"/>
    <n v="3323.51"/>
    <n v="9970.5300000000007"/>
    <n v="0.25"/>
    <n v="0.25"/>
    <s v="Valid"/>
    <s v="Clean"/>
    <n v="9970.5300000000007"/>
    <n v="5668.17"/>
    <n v="4302.3600000000006"/>
    <n v="4302.3599999999997"/>
    <n v="0.43150765305354877"/>
    <s v="Paid"/>
    <x v="0"/>
  </r>
  <r>
    <s v="ORD-2024-10018"/>
    <s v="Unique"/>
    <x v="10"/>
    <n v="2024"/>
    <d v="2024-01-07T00:00:00"/>
    <d v="2024-01-08T00:00:00"/>
    <n v="1"/>
    <s v="Valid"/>
    <s v="CUST-1626"/>
    <s v="Sneha Kapoor"/>
    <x v="1"/>
    <x v="0"/>
    <s v="Rajasthan"/>
    <s v="Jaipur"/>
    <x v="1"/>
    <x v="3"/>
    <s v="Basic Furnishings 434"/>
    <x v="1"/>
    <n v="5"/>
    <n v="1526.78"/>
    <n v="7633.9"/>
    <n v="0"/>
    <n v="0"/>
    <s v="Valid"/>
    <s v="Clean"/>
    <n v="7633.9"/>
    <n v="4706.91"/>
    <n v="2926.99"/>
    <n v="2926.99"/>
    <n v="0.38342000812166782"/>
    <s v="Paid"/>
    <x v="0"/>
  </r>
  <r>
    <s v="ORD-2025-10019"/>
    <s v="Unique"/>
    <x v="0"/>
    <n v="2025"/>
    <d v="2025-07-15T00:00:00"/>
    <d v="2025-07-17T00:00:00"/>
    <n v="2"/>
    <s v="Valid"/>
    <s v="CUST-2110"/>
    <s v="Aarav Sharma"/>
    <x v="3"/>
    <x v="0"/>
    <s v="Uttar Pradesh"/>
    <s v="Noida"/>
    <x v="2"/>
    <x v="6"/>
    <s v="Eco Copiers 755"/>
    <x v="2"/>
    <n v="2"/>
    <n v="1997.99"/>
    <n v="3995.98"/>
    <n v="0"/>
    <n v="0"/>
    <s v="Valid"/>
    <s v="Clean"/>
    <n v="3995.98"/>
    <n v="2633.2"/>
    <n v="1362.7800000000002"/>
    <n v="1362.78"/>
    <n v="0.34103774293164629"/>
    <s v="Refunded"/>
    <x v="1"/>
  </r>
  <r>
    <s v="ORD-2024-10020"/>
    <s v="Unique"/>
    <x v="0"/>
    <n v="2024"/>
    <d v="2024-07-27T00:00:00"/>
    <d v="2024-07-31T00:00:00"/>
    <n v="4"/>
    <s v="Valid"/>
    <s v="CUST-3186"/>
    <s v="Rohan Mehta"/>
    <x v="3"/>
    <x v="3"/>
    <s v="Madhya Pradesh"/>
    <s v="Indore"/>
    <x v="0"/>
    <x v="8"/>
    <s v="Prime Storage 121"/>
    <x v="0"/>
    <n v="3"/>
    <n v="3887.94"/>
    <s v="Invalid"/>
    <n v="-0.19"/>
    <s v="Invalid"/>
    <s v="Invalid"/>
    <s v="Invalid"/>
    <n v="9331.06"/>
    <n v="7529.31"/>
    <s v="Invalid"/>
    <n v="1801.75"/>
    <n v="0.19309167447213929"/>
    <s v="Paid"/>
    <x v="0"/>
  </r>
  <r>
    <s v="ORD-2025-10021"/>
    <s v="Unique"/>
    <x v="10"/>
    <n v="2025"/>
    <d v="2025-01-21T00:00:00"/>
    <d v="2025-01-23T00:00:00"/>
    <n v="2"/>
    <s v="Valid"/>
    <s v="CUST-3190"/>
    <s v="Aditi Sen"/>
    <x v="3"/>
    <x v="1"/>
    <s v="Bihar"/>
    <s v="Patna"/>
    <x v="2"/>
    <x v="6"/>
    <s v="Elite Copiers 233"/>
    <x v="2"/>
    <n v="5"/>
    <n v="4373.0600000000004"/>
    <n v="16398.975000000002"/>
    <n v="0.25"/>
    <n v="0.25"/>
    <s v="Valid"/>
    <s v="Clean"/>
    <n v="16398.98"/>
    <n v="9556.52"/>
    <n v="6842.4550000000017"/>
    <n v="6842.46"/>
    <n v="0.41724912159170879"/>
    <s v="Paid"/>
    <x v="0"/>
  </r>
  <r>
    <s v="ORD-2025-10022"/>
    <s v="Unique"/>
    <x v="10"/>
    <n v="2025"/>
    <d v="2025-01-24T00:00:00"/>
    <d v="2025-01-30T00:00:00"/>
    <n v="6"/>
    <s v="Valid"/>
    <s v="CUST-3036"/>
    <s v="Sneha Kapoor"/>
    <x v="0"/>
    <x v="3"/>
    <s v="Madhya Pradesh"/>
    <s v="Indore"/>
    <x v="1"/>
    <x v="3"/>
    <s v="Eco Furnishings 897"/>
    <x v="0"/>
    <n v="4"/>
    <n v="697.69"/>
    <s v="Invalid"/>
    <n v="-0.23"/>
    <s v="Invalid"/>
    <s v="Invalid"/>
    <s v="Invalid"/>
    <n v="2790.76"/>
    <n v="2037.71"/>
    <s v="Invalid"/>
    <n v="753.05"/>
    <n v="0.26983689030944974"/>
    <s v="Paid"/>
    <x v="0"/>
  </r>
  <r>
    <s v="ORD-2025-10023"/>
    <s v="Unique"/>
    <x v="10"/>
    <n v="2025"/>
    <d v="2025-01-19T00:00:00"/>
    <d v="2025-01-21T00:00:00"/>
    <n v="2"/>
    <s v="Valid"/>
    <s v="CUST-3588"/>
    <s v="Mira Das"/>
    <x v="0"/>
    <x v="2"/>
    <s v="Telangana"/>
    <s v="Hyderabad"/>
    <x v="0"/>
    <x v="9"/>
    <s v="Max Binders 355"/>
    <x v="3"/>
    <n v="8"/>
    <n v="1219.3399999999999"/>
    <n v="8291.5119999999988"/>
    <n v="0.15"/>
    <n v="0.15"/>
    <s v="Valid"/>
    <s v="Clean"/>
    <n v="8291.51"/>
    <n v="6685.03"/>
    <n v="1606.4819999999991"/>
    <n v="1606.48"/>
    <n v="0.19374999246216912"/>
    <s v="Failed"/>
    <x v="2"/>
  </r>
  <r>
    <s v="ORD-2025-10024"/>
    <s v="Unique"/>
    <x v="1"/>
    <n v="2025"/>
    <d v="2025-08-29T00:00:00"/>
    <d v="2025-08-31T00:00:00"/>
    <n v="2"/>
    <s v="Valid"/>
    <s v="CUST-7098"/>
    <s v="Rahul Verma"/>
    <x v="3"/>
    <x v="1"/>
    <s v="Bihar"/>
    <s v="Patna"/>
    <x v="1"/>
    <x v="10"/>
    <s v="Pro Bookcases 394"/>
    <x v="2"/>
    <n v="4"/>
    <n v="1958.01"/>
    <n v="6265.6320000000005"/>
    <n v="0.2"/>
    <n v="0.2"/>
    <s v="Valid"/>
    <s v="Clean"/>
    <n v="6265.63"/>
    <n v="4321.8599999999997"/>
    <n v="1943.7720000000008"/>
    <n v="1943.77"/>
    <n v="0.31022738335969408"/>
    <s v="Paid"/>
    <x v="0"/>
  </r>
  <r>
    <s v="ORD-2024-10025"/>
    <s v="Unique"/>
    <x v="11"/>
    <n v="2024"/>
    <d v="2024-03-04T00:00:00"/>
    <d v="2024-03-01T00:00:00"/>
    <n v="-3"/>
    <s v="Invalid: Ship Date Before Order Date"/>
    <s v="CUST-1747"/>
    <s v="Diya Patel"/>
    <x v="0"/>
    <x v="0"/>
    <s v="Punjab"/>
    <s v="Ludhiana"/>
    <x v="0"/>
    <x v="2"/>
    <s v="Max Art 215"/>
    <x v="3"/>
    <n v="4"/>
    <n v="4492.9399999999996"/>
    <n v="13478.82"/>
    <n v="0.25"/>
    <n v="0.25"/>
    <s v="Valid"/>
    <s v="Invalid"/>
    <n v="13478.82"/>
    <n v="10937.35"/>
    <n v="2541.4699999999993"/>
    <n v="2541.4699999999998"/>
    <n v="0.18855285551702597"/>
    <s v="Pending"/>
    <x v="1"/>
  </r>
  <r>
    <s v="ORD-2024-10026"/>
    <s v="Unique"/>
    <x v="9"/>
    <n v="2024"/>
    <d v="2024-10-11T00:00:00"/>
    <d v="2024-10-19T00:00:00"/>
    <n v="8"/>
    <s v="Valid"/>
    <s v="CUST-1731"/>
    <s v="Arjun Bose"/>
    <x v="2"/>
    <x v="1"/>
    <s v="Assam"/>
    <s v="Guwahati"/>
    <x v="2"/>
    <x v="5"/>
    <s v="Classic Accessories 478"/>
    <x v="2"/>
    <n v="2"/>
    <n v="4315.2"/>
    <n v="7335.8399999999992"/>
    <n v="0.15"/>
    <n v="0.15"/>
    <s v="Valid"/>
    <s v="Clean"/>
    <n v="7335.84"/>
    <n v="4968.41"/>
    <n v="2367.4299999999994"/>
    <n v="2367.4299999999998"/>
    <n v="0.32272105171323257"/>
    <s v="Paid"/>
    <x v="0"/>
  </r>
  <r>
    <s v="ORD-2024-10027"/>
    <s v="Unique"/>
    <x v="3"/>
    <n v="2024"/>
    <d v="2024-11-23T00:00:00"/>
    <d v="2024-11-23T00:00:00"/>
    <n v="0"/>
    <s v="Valid"/>
    <s v="CUST-4401"/>
    <s v="Diya Patel"/>
    <x v="2"/>
    <x v="0"/>
    <s v="Uttar Pradesh"/>
    <s v="Noida"/>
    <x v="2"/>
    <x v="11"/>
    <s v="Pro Phones 243"/>
    <x v="3"/>
    <n v="4"/>
    <n v="716.13"/>
    <n v="2578.0680000000002"/>
    <n v="0.1"/>
    <n v="0.1"/>
    <s v="Valid"/>
    <s v="Clean"/>
    <n v="2578.0700000000002"/>
    <n v="1527.55"/>
    <n v="1050.5180000000003"/>
    <n v="1050.52"/>
    <n v="0.40748311721559149"/>
    <s v="Paid"/>
    <x v="2"/>
  </r>
  <r>
    <s v="ORD-2025-10028"/>
    <s v="Unique"/>
    <x v="7"/>
    <n v="2025"/>
    <d v="2025-09-29T00:00:00"/>
    <d v="2025-10-05T00:00:00"/>
    <n v="6"/>
    <s v="Valid"/>
    <s v="CUST-9875"/>
    <s v="Arjun Bose"/>
    <x v="1"/>
    <x v="2"/>
    <s v="Karnataka"/>
    <s v="Bengaluru"/>
    <x v="0"/>
    <x v="0"/>
    <s v="Basic Paper 613"/>
    <x v="0"/>
    <n v="5"/>
    <n v="1806.51"/>
    <n v="6774.4124999999995"/>
    <n v="0.25"/>
    <n v="0.25"/>
    <s v="Valid"/>
    <s v="Clean"/>
    <n v="6774.41"/>
    <n v="4710.3599999999997"/>
    <n v="2064.0524999999998"/>
    <n v="2064.0500000000002"/>
    <n v="0.30468335987931056"/>
    <s v="Failed"/>
    <x v="2"/>
  </r>
  <r>
    <s v="ORD-2024-10029"/>
    <s v="Unique"/>
    <x v="9"/>
    <n v="2024"/>
    <d v="2024-10-11T00:00:00"/>
    <d v="2024-10-18T00:00:00"/>
    <n v="7"/>
    <s v="Valid"/>
    <s v="CUST-1569"/>
    <s v="Ananya Rao"/>
    <x v="3"/>
    <x v="3"/>
    <s v="Gujarat"/>
    <s v="Ahmedabad"/>
    <x v="2"/>
    <x v="11"/>
    <s v="Prime Phones 698"/>
    <x v="0"/>
    <n v="2"/>
    <n v="1942.22"/>
    <n v="2913.33"/>
    <n v="0.25"/>
    <n v="0.25"/>
    <s v="Valid"/>
    <s v="Clean"/>
    <n v="2913.33"/>
    <n v="2122.33"/>
    <n v="791"/>
    <n v="791"/>
    <n v="0.27151060813570727"/>
    <s v="Refunded"/>
    <x v="1"/>
  </r>
  <r>
    <s v="ORD-2025-10030"/>
    <s v="Unique"/>
    <x v="1"/>
    <n v="2025"/>
    <d v="2025-08-13T00:00:00"/>
    <d v="2025-08-13T00:00:00"/>
    <n v="0"/>
    <s v="Valid"/>
    <s v="CUST-5936"/>
    <s v="Rohan Mehta"/>
    <x v="3"/>
    <x v="2"/>
    <s v="Kerala"/>
    <s v="Kochi"/>
    <x v="2"/>
    <x v="11"/>
    <s v="Pro Phones 442"/>
    <x v="3"/>
    <n v="1"/>
    <n v="256.01"/>
    <n v="217.60849999999999"/>
    <n v="0.15"/>
    <n v="0.15"/>
    <s v="Valid"/>
    <s v="Clean"/>
    <n v="217.61"/>
    <n v="119.77"/>
    <n v="97.838499999999996"/>
    <n v="97.84"/>
    <n v="0.44961169063921691"/>
    <s v="Paid"/>
    <x v="0"/>
  </r>
  <r>
    <s v="ORD-2024-10031"/>
    <s v="Unique"/>
    <x v="6"/>
    <n v="2024"/>
    <d v="2024-02-09T00:00:00"/>
    <d v="2024-02-12T00:00:00"/>
    <n v="3"/>
    <s v="Valid"/>
    <s v="CUST-8759"/>
    <s v="Ananya Rao"/>
    <x v="2"/>
    <x v="3"/>
    <s v="Goa"/>
    <s v="Panaji"/>
    <x v="0"/>
    <x v="7"/>
    <s v="Pro Labels 355"/>
    <x v="2"/>
    <n v="1"/>
    <n v="3421.77"/>
    <n v="3079.5929999999998"/>
    <n v="0.1"/>
    <n v="0.1"/>
    <s v="Valid"/>
    <s v="Clean"/>
    <n v="3079.59"/>
    <n v="2001.89"/>
    <n v="1077.7029999999997"/>
    <n v="1077.7"/>
    <n v="0.34994918154689425"/>
    <s v="Paid"/>
    <x v="0"/>
  </r>
  <r>
    <s v="ORD-2025-10032"/>
    <s v="Unique"/>
    <x v="2"/>
    <n v="2025"/>
    <d v="2025-06-15T00:00:00"/>
    <d v="2025-06-19T00:00:00"/>
    <n v="4"/>
    <s v="Valid"/>
    <s v="CUST-7867"/>
    <s v="Karan Malhotra"/>
    <x v="1"/>
    <x v="3"/>
    <s v="Madhya Pradesh"/>
    <s v="Indore"/>
    <x v="0"/>
    <x v="0"/>
    <s v="Pro Paper 959"/>
    <x v="0"/>
    <n v="9"/>
    <n v="3092.55"/>
    <n v="27832.95"/>
    <n v="0"/>
    <n v="0"/>
    <s v="Valid"/>
    <s v="Clean"/>
    <n v="27832.95"/>
    <n v="17769.75"/>
    <n v="10063.200000000001"/>
    <n v="10063.200000000001"/>
    <n v="0.36155707533696574"/>
    <s v="Failed"/>
    <x v="2"/>
  </r>
  <r>
    <s v="ORD-2024-10033"/>
    <s v="Unique"/>
    <x v="3"/>
    <n v="2024"/>
    <d v="2024-11-22T00:00:00"/>
    <d v="2024-11-26T00:00:00"/>
    <n v="4"/>
    <s v="Valid"/>
    <s v="CUST-6509"/>
    <s v="Aarav Sharma"/>
    <x v="2"/>
    <x v="2"/>
    <s v="Andhra Pradesh"/>
    <s v="Vijayawada"/>
    <x v="2"/>
    <x v="11"/>
    <s v="Basic Phones 242"/>
    <x v="0"/>
    <n v="3"/>
    <n v="4001.25"/>
    <n v="12003.75"/>
    <n v="0"/>
    <n v="0"/>
    <s v="Valid"/>
    <s v="Clean"/>
    <n v="9002.81"/>
    <n v="7529.92"/>
    <n v="4473.83"/>
    <n v="1472.89"/>
    <n v="0.16360336383862373"/>
    <s v="Paid"/>
    <x v="0"/>
  </r>
  <r>
    <s v="ORD-2024-10034"/>
    <s v="Unique"/>
    <x v="0"/>
    <n v="2024"/>
    <d v="2024-07-22T00:00:00"/>
    <d v="2024-07-27T00:00:00"/>
    <n v="5"/>
    <s v="Valid"/>
    <s v="CUST-6660"/>
    <s v="Priya Menon"/>
    <x v="3"/>
    <x v="3"/>
    <s v="Goa"/>
    <s v="Panaji"/>
    <x v="1"/>
    <x v="1"/>
    <s v="Max Tables 836"/>
    <x v="1"/>
    <n v="7"/>
    <n v="492.41"/>
    <n v="2585.1525000000001"/>
    <n v="0.25"/>
    <n v="0.25"/>
    <s v="Valid"/>
    <s v="Clean"/>
    <n v="2585.15"/>
    <n v="2070.73"/>
    <n v="514.42250000000013"/>
    <n v="514.41999999999996"/>
    <n v="0.19899038740498615"/>
    <s v="Paid"/>
    <x v="0"/>
  </r>
  <r>
    <s v="ORD-2025-10035"/>
    <s v="Unique"/>
    <x v="10"/>
    <n v="2025"/>
    <d v="2025-01-31T00:00:00"/>
    <d v="2025-02-05T00:00:00"/>
    <n v="5"/>
    <s v="Valid"/>
    <s v="CUST-2392"/>
    <s v="Priya Menon"/>
    <x v="3"/>
    <x v="1"/>
    <s v="West Bengal"/>
    <s v="Kolkata"/>
    <x v="1"/>
    <x v="4"/>
    <s v="Elite Chairs 862"/>
    <x v="4"/>
    <n v="2"/>
    <n v="4159.6899999999996"/>
    <n v="6655.5039999999999"/>
    <n v="0.2"/>
    <n v="0.2"/>
    <s v="Valid"/>
    <s v="Clean"/>
    <n v="6655.5"/>
    <n v="4340.21"/>
    <n v="2315.2939999999999"/>
    <n v="2607.3200000000002"/>
    <n v="0.39175418826534447"/>
    <s v="Paid"/>
    <x v="0"/>
  </r>
  <r>
    <s v="ORD-2024-10036"/>
    <s v="Unique"/>
    <x v="4"/>
    <n v="2024"/>
    <d v="2024-05-29T00:00:00"/>
    <d v="2024-05-29T00:00:00"/>
    <n v="0"/>
    <s v="Valid"/>
    <s v="CUST-1611"/>
    <s v="Sneha Kapoor"/>
    <x v="1"/>
    <x v="3"/>
    <s v="Gujarat"/>
    <s v="Ahmedabad"/>
    <x v="1"/>
    <x v="10"/>
    <s v="Prime Bookcases 414"/>
    <x v="0"/>
    <n v="8"/>
    <n v="2507.12"/>
    <n v="19054.111999999997"/>
    <n v="0.05"/>
    <n v="0.05"/>
    <s v="Valid"/>
    <s v="Clean"/>
    <n v="19054.11"/>
    <n v="15313.83"/>
    <n v="3740.2819999999974"/>
    <n v="3740.28"/>
    <n v="0.1962978066149508"/>
    <s v="Pending"/>
    <x v="2"/>
  </r>
  <r>
    <s v="ORD-2024-10037"/>
    <s v="Unique"/>
    <x v="9"/>
    <n v="2024"/>
    <d v="2024-10-25T00:00:00"/>
    <d v="2024-10-28T00:00:00"/>
    <n v="3"/>
    <s v="Valid"/>
    <s v="CUST-8296"/>
    <s v="Rohan Mehta"/>
    <x v="2"/>
    <x v="3"/>
    <s v="Maharashtra"/>
    <s v="Mumbai"/>
    <x v="1"/>
    <x v="10"/>
    <s v="Eco Bookcases 220"/>
    <x v="0"/>
    <n v="3"/>
    <n v="3126.47"/>
    <n v="9379.41"/>
    <n v="0"/>
    <n v="0"/>
    <s v="Valid"/>
    <s v="Clean"/>
    <n v="9379.41"/>
    <n v="6670.85"/>
    <n v="2708.5599999999995"/>
    <n v="2708.56"/>
    <n v="0.28877722585962229"/>
    <s v="Paid"/>
    <x v="2"/>
  </r>
  <r>
    <s v="ORD-2025-10038"/>
    <s v="Unique"/>
    <x v="0"/>
    <n v="2025"/>
    <d v="2025-07-29T00:00:00"/>
    <d v="2025-07-29T00:00:00"/>
    <n v="0"/>
    <s v="Valid"/>
    <s v="CUST-4646"/>
    <s v="Diya Patel"/>
    <x v="0"/>
    <x v="3"/>
    <s v="Maharashtra"/>
    <s v="Mumbai"/>
    <x v="2"/>
    <x v="6"/>
    <s v="Pro Copiers 830"/>
    <x v="3"/>
    <n v="4"/>
    <n v="1327.54"/>
    <n v="4248.1279999999997"/>
    <n v="0.2"/>
    <n v="0.2"/>
    <s v="Valid"/>
    <s v="Clean"/>
    <n v="4248.13"/>
    <n v="3321.09"/>
    <n v="927.03799999999956"/>
    <n v="927.04"/>
    <n v="0.21822307697739945"/>
    <s v="Paid"/>
    <x v="0"/>
  </r>
  <r>
    <s v="ORD-2024-10039"/>
    <s v="Unique"/>
    <x v="2"/>
    <n v="2024"/>
    <d v="2024-06-17T00:00:00"/>
    <d v="2024-06-22T00:00:00"/>
    <n v="5"/>
    <s v="Valid"/>
    <s v="CUST-8235"/>
    <s v="Aarav Sharma"/>
    <x v="2"/>
    <x v="3"/>
    <s v="Gujarat"/>
    <s v="Ahmedabad"/>
    <x v="2"/>
    <x v="11"/>
    <s v="Prime Phones 507"/>
    <x v="2"/>
    <n v="7"/>
    <n v="2210.6799999999998"/>
    <n v="13927.284"/>
    <n v="0.1"/>
    <n v="0.1"/>
    <s v="Valid"/>
    <s v="Clean"/>
    <n v="13927.28"/>
    <n v="10504.87"/>
    <n v="3422.4139999999989"/>
    <n v="3422.41"/>
    <n v="0.24573427115703853"/>
    <s v="Paid"/>
    <x v="0"/>
  </r>
  <r>
    <s v="ORD-2024-10040"/>
    <s v="Unique"/>
    <x v="8"/>
    <n v="2024"/>
    <d v="2024-12-11T00:00:00"/>
    <d v="2024-12-11T00:00:00"/>
    <n v="0"/>
    <s v="Valid"/>
    <s v="CUST-5830"/>
    <s v="Mira Das"/>
    <x v="1"/>
    <x v="3"/>
    <s v="Madhya Pradesh"/>
    <s v="Indore"/>
    <x v="2"/>
    <x v="6"/>
    <s v="Classic Copiers 590"/>
    <x v="2"/>
    <n v="4"/>
    <n v="1370.92"/>
    <n v="4935.3120000000008"/>
    <n v="0.1"/>
    <n v="0.1"/>
    <s v="Valid"/>
    <s v="Clean"/>
    <n v="4935.3100000000004"/>
    <n v="3374.77"/>
    <n v="1560.5420000000008"/>
    <n v="1560.54"/>
    <n v="0.31619898243474065"/>
    <s v="Pending"/>
    <x v="2"/>
  </r>
  <r>
    <s v="ORD-2024-10041"/>
    <s v="Unique"/>
    <x v="9"/>
    <n v="2024"/>
    <d v="2024-10-10T00:00:00"/>
    <d v="2024-10-16T00:00:00"/>
    <n v="6"/>
    <s v="Valid"/>
    <s v="CUST-7178"/>
    <s v="Isha Nair"/>
    <x v="3"/>
    <x v="3"/>
    <s v="Rajasthan"/>
    <s v="Udaipur"/>
    <x v="2"/>
    <x v="6"/>
    <s v="Eco Copiers 865"/>
    <x v="3"/>
    <n v="7"/>
    <n v="2509.27"/>
    <n v="14051.912"/>
    <n v="0.2"/>
    <n v="0.2"/>
    <s v="Valid"/>
    <s v="Clean"/>
    <n v="14051.91"/>
    <n v="11990.37"/>
    <n v="2061.5419999999995"/>
    <n v="2061.54"/>
    <n v="0.14670888156841311"/>
    <s v="Paid"/>
    <x v="0"/>
  </r>
  <r>
    <s v="ORD-2024-10042"/>
    <s v="Unique"/>
    <x v="11"/>
    <n v="2024"/>
    <d v="2024-03-12T00:00:00"/>
    <d v="2024-03-17T00:00:00"/>
    <n v="5"/>
    <s v="Valid"/>
    <s v="CUST-3829"/>
    <s v="Aarav Sharma"/>
    <x v="1"/>
    <x v="1"/>
    <s v="Odisha"/>
    <s v="Bhubaneswar"/>
    <x v="1"/>
    <x v="10"/>
    <s v="Classic Bookcases 835"/>
    <x v="1"/>
    <n v="8"/>
    <n v="855.81"/>
    <n v="6846.48"/>
    <n v="0"/>
    <n v="0"/>
    <s v="Valid"/>
    <s v="Clean"/>
    <n v="6846.48"/>
    <n v="4239.8900000000003"/>
    <n v="2606.5899999999992"/>
    <n v="2606.59"/>
    <n v="0.38071972750961081"/>
    <s v="Pending"/>
    <x v="1"/>
  </r>
  <r>
    <s v="ORD-2025-10043"/>
    <s v="Unique"/>
    <x v="9"/>
    <n v="2025"/>
    <d v="2025-10-10T00:00:00"/>
    <d v="2025-10-15T00:00:00"/>
    <n v="5"/>
    <s v="Valid"/>
    <s v="CUST-6708"/>
    <s v="Arjun Bose"/>
    <x v="2"/>
    <x v="1"/>
    <s v="Jharkhand"/>
    <s v="Ranchi"/>
    <x v="2"/>
    <x v="11"/>
    <s v="Eco Phones 702"/>
    <x v="3"/>
    <n v="8"/>
    <n v="979.87"/>
    <n v="7447.0119999999997"/>
    <n v="0.05"/>
    <n v="0.05"/>
    <s v="Valid"/>
    <s v="Clean"/>
    <n v="7447.01"/>
    <n v="4496.22"/>
    <n v="2950.7919999999995"/>
    <n v="2950.79"/>
    <n v="0.39623822178297058"/>
    <s v="Paid"/>
    <x v="0"/>
  </r>
  <r>
    <s v="ORD-2024-10044"/>
    <s v="Unique"/>
    <x v="0"/>
    <n v="2024"/>
    <d v="2024-07-08T00:00:00"/>
    <d v="2024-07-14T00:00:00"/>
    <n v="6"/>
    <s v="Valid"/>
    <s v="CUST-7119"/>
    <s v="Priya Menon"/>
    <x v="1"/>
    <x v="1"/>
    <s v="Odisha"/>
    <s v="Bhubaneswar"/>
    <x v="1"/>
    <x v="3"/>
    <s v="Smart Furnishings 956"/>
    <x v="1"/>
    <n v="3"/>
    <n v="1010.23"/>
    <n v="3030.69"/>
    <n v="0"/>
    <n v="0"/>
    <s v="Valid"/>
    <s v="Clean"/>
    <n v="3030.69"/>
    <n v="1721.08"/>
    <n v="1309.6100000000001"/>
    <n v="1309.6099999999999"/>
    <n v="0.43211611877163281"/>
    <s v="Paid"/>
    <x v="0"/>
  </r>
  <r>
    <s v="ORD-2024-10045"/>
    <s v="Unique"/>
    <x v="2"/>
    <n v="2024"/>
    <d v="2024-06-22T00:00:00"/>
    <d v="2024-06-25T00:00:00"/>
    <n v="3"/>
    <s v="Valid"/>
    <s v="CUST-3373"/>
    <s v="Rohan Mehta"/>
    <x v="1"/>
    <x v="0"/>
    <s v="Haryana"/>
    <s v="Gurugram"/>
    <x v="1"/>
    <x v="4"/>
    <s v="Max Chairs 393"/>
    <x v="3"/>
    <n v="9"/>
    <n v="3329.77"/>
    <n v="26971.137000000002"/>
    <n v="0.1"/>
    <n v="0.1"/>
    <s v="Valid"/>
    <s v="Clean"/>
    <n v="26971.14"/>
    <n v="17376.2"/>
    <n v="9594.9370000000017"/>
    <n v="9594.94"/>
    <n v="0.35574840366406463"/>
    <s v="Paid"/>
    <x v="0"/>
  </r>
  <r>
    <s v="ORD-2024-10046"/>
    <s v="Unique"/>
    <x v="10"/>
    <n v="2024"/>
    <d v="2024-01-18T00:00:00"/>
    <d v="2024-01-24T00:00:00"/>
    <n v="6"/>
    <s v="Valid"/>
    <s v="CUST-8896"/>
    <s v="Isha Nair"/>
    <x v="3"/>
    <x v="1"/>
    <s v="Bihar"/>
    <s v="Patna"/>
    <x v="0"/>
    <x v="2"/>
    <s v="Prime Art 221"/>
    <x v="0"/>
    <n v="8"/>
    <n v="3927.82"/>
    <n v="29851.432000000001"/>
    <n v="0.05"/>
    <n v="0.05"/>
    <s v="Valid"/>
    <s v="Clean"/>
    <n v="29851.43"/>
    <n v="17487.48"/>
    <n v="12363.952000000001"/>
    <n v="12363.95"/>
    <n v="0.41418283814209239"/>
    <s v="Pending"/>
    <x v="2"/>
  </r>
  <r>
    <s v="ORD-2024-10047"/>
    <s v="Unique"/>
    <x v="0"/>
    <n v="2024"/>
    <d v="2024-07-19T00:00:00"/>
    <d v="2024-07-19T00:00:00"/>
    <n v="0"/>
    <s v="Valid"/>
    <s v="CUST-8517"/>
    <s v="Ananya Rao"/>
    <x v="1"/>
    <x v="2"/>
    <s v="Kerala"/>
    <s v="Kochi"/>
    <x v="1"/>
    <x v="10"/>
    <s v="Elite Bookcases 671"/>
    <x v="3"/>
    <n v="9"/>
    <n v="2386.79"/>
    <n v="16110.8325"/>
    <n v="0.25"/>
    <n v="0.25"/>
    <s v="Valid"/>
    <s v="Clean"/>
    <n v="16110.83"/>
    <n v="10680.03"/>
    <n v="5430.8024999999998"/>
    <n v="5430.8"/>
    <n v="0.33709001957068629"/>
    <s v="Refunded"/>
    <x v="2"/>
  </r>
  <r>
    <s v="ORD-2024-10048"/>
    <s v="Unique"/>
    <x v="1"/>
    <n v="2024"/>
    <d v="2024-08-12T00:00:00"/>
    <d v="2024-08-12T00:00:00"/>
    <n v="0"/>
    <s v="Valid"/>
    <s v="CUST-1987"/>
    <s v="Rahul Verma"/>
    <x v="2"/>
    <x v="2"/>
    <s v="Tamil Nadu"/>
    <s v="Chennai"/>
    <x v="0"/>
    <x v="8"/>
    <s v="Max Storage 432"/>
    <x v="3"/>
    <n v="8"/>
    <n v="2445.31"/>
    <n v="17606.232"/>
    <n v="0.1"/>
    <n v="0.1"/>
    <s v="Valid"/>
    <s v="Clean"/>
    <n v="17606.23"/>
    <n v="12438.96"/>
    <n v="5167.2720000000008"/>
    <n v="5167.2700000000004"/>
    <n v="0.29349099722087013"/>
    <s v="Paid"/>
    <x v="0"/>
  </r>
  <r>
    <s v="ORD-2025-10049"/>
    <s v="Unique"/>
    <x v="10"/>
    <n v="2025"/>
    <d v="2025-01-30T00:00:00"/>
    <d v="2025-02-05T00:00:00"/>
    <n v="6"/>
    <s v="Valid"/>
    <s v="CUST-8183"/>
    <s v="Neha Gupta"/>
    <x v="2"/>
    <x v="3"/>
    <s v="Maharashtra"/>
    <s v="Mumbai"/>
    <x v="1"/>
    <x v="4"/>
    <s v="Basic Chairs 837"/>
    <x v="0"/>
    <n v="7"/>
    <n v="4063.66"/>
    <n v="28445.62"/>
    <n v="0"/>
    <n v="0"/>
    <s v="Valid"/>
    <s v="Clean"/>
    <n v="28445.62"/>
    <n v="20938.59"/>
    <n v="7507.0299999999988"/>
    <n v="7507.03"/>
    <n v="0.26390811660986824"/>
    <s v="Paid"/>
    <x v="0"/>
  </r>
  <r>
    <s v="ORD-2024-10050"/>
    <s v="Unique"/>
    <x v="5"/>
    <n v="2024"/>
    <d v="2024-04-06T00:00:00"/>
    <d v="2024-04-13T00:00:00"/>
    <n v="7"/>
    <s v="Valid"/>
    <s v="CUST-2380"/>
    <s v="Aarav Sharma"/>
    <x v="3"/>
    <x v="0"/>
    <s v="Uttar Pradesh"/>
    <s v="Noida"/>
    <x v="2"/>
    <x v="6"/>
    <s v="Classic Copiers 295"/>
    <x v="0"/>
    <n v="9"/>
    <n v="792.11"/>
    <n v="6772.5404999999992"/>
    <n v="0.05"/>
    <n v="0.05"/>
    <s v="Valid"/>
    <s v="Clean"/>
    <n v="6772.54"/>
    <n v="5755.46"/>
    <n v="1017.0804999999991"/>
    <n v="1017.08"/>
    <n v="0.15017703845233843"/>
    <s v="Paid"/>
    <x v="0"/>
  </r>
  <r>
    <s v="ORD-2025-10051"/>
    <s v="Unique"/>
    <x v="4"/>
    <n v="2025"/>
    <d v="2025-05-11T00:00:00"/>
    <d v="2025-05-19T00:00:00"/>
    <n v="8"/>
    <s v="Valid"/>
    <s v="CUST-8787"/>
    <s v="Sneha Kapoor"/>
    <x v="0"/>
    <x v="1"/>
    <s v="West Bengal"/>
    <s v="Kolkata"/>
    <x v="2"/>
    <x v="6"/>
    <s v="Pro Copiers 963"/>
    <x v="3"/>
    <n v="1"/>
    <n v="2382.8000000000002"/>
    <n v="2025.38"/>
    <n v="0.15"/>
    <n v="0.15"/>
    <s v="Valid"/>
    <s v="Clean"/>
    <n v="2025.38"/>
    <n v="1140.6500000000001"/>
    <n v="884.73"/>
    <n v="884.73"/>
    <n v="0.43682173221815163"/>
    <s v="Paid"/>
    <x v="0"/>
  </r>
  <r>
    <s v="ORD-2024-10052"/>
    <s v="Unique"/>
    <x v="5"/>
    <n v="2024"/>
    <d v="2024-04-24T00:00:00"/>
    <d v="2024-04-29T00:00:00"/>
    <n v="5"/>
    <s v="Valid"/>
    <s v="CUST-3557"/>
    <s v="Ananya Rao"/>
    <x v="2"/>
    <x v="2"/>
    <s v="Telangana"/>
    <s v="Hyderabad"/>
    <x v="0"/>
    <x v="2"/>
    <s v="Pro Art 907"/>
    <x v="3"/>
    <n v="6"/>
    <n v="1528.08"/>
    <n v="9168.48"/>
    <n v="0"/>
    <n v="0"/>
    <s v="Valid"/>
    <s v="Clean"/>
    <n v="9168.48"/>
    <n v="7439.77"/>
    <n v="1728.7099999999991"/>
    <n v="1728.71"/>
    <n v="0.18854924698532363"/>
    <s v="Paid"/>
    <x v="0"/>
  </r>
  <r>
    <s v="ORD-2024-10053"/>
    <s v="Unique"/>
    <x v="9"/>
    <n v="2024"/>
    <d v="2024-10-26T00:00:00"/>
    <d v="2024-10-28T00:00:00"/>
    <n v="2"/>
    <s v="Valid"/>
    <s v="CUST-2778"/>
    <s v="Kabir Singh"/>
    <x v="1"/>
    <x v="0"/>
    <s v="Rajasthan"/>
    <s v="Jaipur"/>
    <x v="1"/>
    <x v="4"/>
    <s v="Pro Chairs 526"/>
    <x v="2"/>
    <n v="9"/>
    <n v="1399.63"/>
    <n v="12596.670000000002"/>
    <n v="0"/>
    <n v="0"/>
    <s v="Valid"/>
    <s v="Clean"/>
    <n v="12596.67"/>
    <n v="10603.29"/>
    <n v="1993.380000000001"/>
    <n v="1993.38"/>
    <n v="0.1582465842163048"/>
    <s v="Failed"/>
    <x v="1"/>
  </r>
  <r>
    <s v="ORD-2025-10054"/>
    <s v="Unique"/>
    <x v="11"/>
    <n v="2025"/>
    <d v="2025-03-31T00:00:00"/>
    <d v="2025-03-31T00:00:00"/>
    <n v="0"/>
    <s v="Valid"/>
    <s v="CUST-7195"/>
    <s v="Kabir Singh"/>
    <x v="3"/>
    <x v="3"/>
    <s v="Gujarat"/>
    <s v="Ahmedabad"/>
    <x v="0"/>
    <x v="8"/>
    <s v="Elite Storage 924"/>
    <x v="2"/>
    <n v="5"/>
    <n v="1207.47"/>
    <n v="5131.7475000000004"/>
    <n v="0.15"/>
    <n v="0.15"/>
    <s v="Valid"/>
    <s v="Clean"/>
    <n v="5131.75"/>
    <n v="2838.68"/>
    <n v="2293.0675000000006"/>
    <n v="2293.0700000000002"/>
    <n v="0.44683977200759978"/>
    <s v="Paid"/>
    <x v="0"/>
  </r>
  <r>
    <s v="ORD-2025-10055"/>
    <s v="Unique"/>
    <x v="4"/>
    <n v="2025"/>
    <d v="2025-05-30T00:00:00"/>
    <d v="2025-06-02T00:00:00"/>
    <n v="3"/>
    <s v="Valid"/>
    <s v="CUST-9039"/>
    <s v="Arjun Bose"/>
    <x v="2"/>
    <x v="2"/>
    <s v="Tamil Nadu"/>
    <s v="Chennai"/>
    <x v="0"/>
    <x v="7"/>
    <s v="Pro Labels 957"/>
    <x v="1"/>
    <n v="8"/>
    <n v="474.37"/>
    <n v="3415.4639999999999"/>
    <n v="0.1"/>
    <n v="0.1"/>
    <s v="Valid"/>
    <s v="Clean"/>
    <n v="3415.46"/>
    <n v="1993.23"/>
    <n v="1422.2339999999999"/>
    <n v="1422.23"/>
    <n v="0.4164095026731392"/>
    <s v="Failed"/>
    <x v="1"/>
  </r>
  <r>
    <s v="ORD-2025-10056"/>
    <s v="Unique"/>
    <x v="0"/>
    <n v="2025"/>
    <d v="2025-07-01T00:00:00"/>
    <d v="2025-07-03T00:00:00"/>
    <n v="2"/>
    <s v="Valid"/>
    <s v="CUST-9821"/>
    <s v="Mira Das"/>
    <x v="1"/>
    <x v="2"/>
    <s v="Andhra Pradesh"/>
    <s v="Vijayawada"/>
    <x v="2"/>
    <x v="12"/>
    <s v="Classic Machines 310"/>
    <x v="1"/>
    <n v="3"/>
    <n v="1516.24"/>
    <n v="3411.54"/>
    <n v="0.25"/>
    <n v="0.25"/>
    <s v="Valid"/>
    <s v="Clean"/>
    <n v="3411.54"/>
    <n v="2803.13"/>
    <n v="608.40999999999985"/>
    <n v="608.41"/>
    <n v="0.17833881472883215"/>
    <s v="Paid"/>
    <x v="0"/>
  </r>
  <r>
    <s v="ORD-2025-10057"/>
    <s v="Unique"/>
    <x v="10"/>
    <n v="2025"/>
    <d v="2025-01-05T00:00:00"/>
    <d v="2025-01-06T00:00:00"/>
    <n v="1"/>
    <s v="Valid"/>
    <s v="CUST-8701"/>
    <s v="Karan Malhotra"/>
    <x v="0"/>
    <x v="2"/>
    <s v="Karnataka"/>
    <s v="Bengaluru"/>
    <x v="0"/>
    <x v="9"/>
    <s v="Smart Binders 393"/>
    <x v="0"/>
    <n v="3"/>
    <n v="3155.61"/>
    <n v="9466.83"/>
    <n v="0"/>
    <n v="0"/>
    <s v="Valid"/>
    <s v="Clean"/>
    <n v="9466.83"/>
    <n v="6557.83"/>
    <n v="2909"/>
    <n v="2909"/>
    <n v="0.30728343067320318"/>
    <s v="Refunded"/>
    <x v="1"/>
  </r>
  <r>
    <s v="ORD-2024-10058"/>
    <s v="Unique"/>
    <x v="6"/>
    <n v="2024"/>
    <d v="2024-02-07T00:00:00"/>
    <d v="2024-02-15T00:00:00"/>
    <n v="8"/>
    <s v="Valid"/>
    <s v="CUST-9941"/>
    <s v="Priya Menon"/>
    <x v="0"/>
    <x v="3"/>
    <s v="Goa"/>
    <s v="Panaji"/>
    <x v="1"/>
    <x v="4"/>
    <s v="Max Chairs 813"/>
    <x v="1"/>
    <n v="5"/>
    <n v="255.87"/>
    <n v="1279.3499999999999"/>
    <n v="0"/>
    <n v="0"/>
    <s v="Valid"/>
    <s v="Clean"/>
    <n v="1279.3499999999999"/>
    <n v="1091.54"/>
    <n v="187.80999999999995"/>
    <n v="187.81"/>
    <n v="0.14680110993864073"/>
    <s v="Paid"/>
    <x v="0"/>
  </r>
  <r>
    <s v="ORD-2024-10059"/>
    <s v="Unique"/>
    <x v="7"/>
    <n v="2024"/>
    <d v="2024-09-01T00:00:00"/>
    <d v="2024-09-07T00:00:00"/>
    <n v="6"/>
    <s v="Valid"/>
    <s v="CUST-3983"/>
    <s v="Isha Nair"/>
    <x v="3"/>
    <x v="0"/>
    <s v="Rajasthan"/>
    <s v="Jaipur"/>
    <x v="0"/>
    <x v="8"/>
    <s v="Basic Storage 872"/>
    <x v="4"/>
    <n v="9"/>
    <n v="1389.48"/>
    <n v="11254.788"/>
    <n v="0.1"/>
    <n v="0.1"/>
    <s v="Valid"/>
    <s v="Clean"/>
    <n v="11254.79"/>
    <n v="6578.06"/>
    <n v="4676.7280000000001"/>
    <n v="4676.7299999999996"/>
    <n v="0.41553240886769094"/>
    <s v="Pending"/>
    <x v="2"/>
  </r>
  <r>
    <s v="ORD-2024-10060"/>
    <s v="Unique"/>
    <x v="0"/>
    <n v="2024"/>
    <d v="2024-07-20T00:00:00"/>
    <d v="2024-07-25T00:00:00"/>
    <n v="5"/>
    <s v="Valid"/>
    <s v="CUST-2418"/>
    <s v="Priya Menon"/>
    <x v="2"/>
    <x v="1"/>
    <s v="Assam"/>
    <s v="Guwahati"/>
    <x v="0"/>
    <x v="7"/>
    <s v="Smart Labels 655"/>
    <x v="1"/>
    <n v="5"/>
    <n v="4133.8500000000004"/>
    <n v="16535.400000000001"/>
    <n v="0.2"/>
    <n v="0.2"/>
    <s v="Valid"/>
    <s v="Clean"/>
    <n v="16535.400000000001"/>
    <n v="12990.21"/>
    <n v="3545.1900000000023"/>
    <n v="3545.19"/>
    <n v="0.21440001451431473"/>
    <s v="Paid"/>
    <x v="1"/>
  </r>
  <r>
    <s v="ORD-2024-10061"/>
    <s v="Unique"/>
    <x v="0"/>
    <n v="2024"/>
    <d v="2024-07-13T00:00:00"/>
    <d v="2024-07-19T00:00:00"/>
    <n v="6"/>
    <s v="Valid"/>
    <s v="CUST-2892"/>
    <s v="Ananya Rao"/>
    <x v="2"/>
    <x v="1"/>
    <s v="Assam"/>
    <s v="Guwahati"/>
    <x v="0"/>
    <x v="7"/>
    <s v="Eco Labels 210"/>
    <x v="1"/>
    <n v="3"/>
    <n v="275.76"/>
    <n v="661.82400000000007"/>
    <n v="0.2"/>
    <n v="0.2"/>
    <s v="Valid"/>
    <s v="Clean"/>
    <n v="661.82"/>
    <n v="481.47"/>
    <n v="180.35400000000004"/>
    <n v="180.35"/>
    <n v="0.2725061194886827"/>
    <s v="Refunded"/>
    <x v="1"/>
  </r>
  <r>
    <s v="ORD-2024-10062"/>
    <s v="Unique"/>
    <x v="5"/>
    <n v="2024"/>
    <d v="2024-04-16T00:00:00"/>
    <d v="2024-04-16T00:00:00"/>
    <n v="0"/>
    <s v="Valid"/>
    <s v="CUST-7008"/>
    <s v="Vikram Iyer"/>
    <x v="3"/>
    <x v="1"/>
    <s v="Bihar"/>
    <s v="Patna"/>
    <x v="1"/>
    <x v="10"/>
    <s v="Classic Bookcases 296"/>
    <x v="3"/>
    <n v="1"/>
    <n v="949.59"/>
    <n v="949.59"/>
    <n v="0"/>
    <n v="0"/>
    <s v="Valid"/>
    <s v="Clean"/>
    <n v="949.59"/>
    <n v="751.25"/>
    <n v="198.34000000000003"/>
    <n v="198.34"/>
    <n v="0.20886909087079686"/>
    <s v="Paid"/>
    <x v="0"/>
  </r>
  <r>
    <s v="ORD-2024-10063"/>
    <s v="Unique"/>
    <x v="9"/>
    <n v="2024"/>
    <d v="2024-10-30T00:00:00"/>
    <d v="2024-11-02T00:00:00"/>
    <n v="3"/>
    <s v="Valid"/>
    <s v="CUST-4900"/>
    <s v="Sneha Kapoor"/>
    <x v="3"/>
    <x v="0"/>
    <s v="Rajasthan"/>
    <s v="Jaipur"/>
    <x v="2"/>
    <x v="11"/>
    <s v="Basic Phones 230"/>
    <x v="3"/>
    <n v="9"/>
    <n v="3042.29"/>
    <n v="21904.488000000001"/>
    <n v="0.2"/>
    <n v="0.2"/>
    <s v="Valid"/>
    <s v="Clean"/>
    <n v="21904.49"/>
    <n v="13570.55"/>
    <n v="8333.9380000000019"/>
    <n v="8333.94"/>
    <n v="0.38046720101677783"/>
    <s v="Paid"/>
    <x v="0"/>
  </r>
  <r>
    <s v="ORD-2024-10064"/>
    <s v="Unique"/>
    <x v="10"/>
    <n v="2024"/>
    <d v="2024-01-25T00:00:00"/>
    <d v="2024-02-01T00:00:00"/>
    <n v="7"/>
    <s v="Valid"/>
    <s v="CUST-5382"/>
    <s v="Sneha Kapoor"/>
    <x v="3"/>
    <x v="0"/>
    <s v="Haryana"/>
    <s v="Gurugram"/>
    <x v="0"/>
    <x v="9"/>
    <s v="Pro Binders 690"/>
    <x v="1"/>
    <n v="2"/>
    <n v="2832.77"/>
    <n v="4815.7089999999998"/>
    <n v="0.15"/>
    <n v="0.15"/>
    <s v="Valid"/>
    <s v="Clean"/>
    <n v="4815.71"/>
    <n v="3027.75"/>
    <n v="1787.9589999999998"/>
    <n v="1917.47"/>
    <n v="0.39816974028751734"/>
    <s v="Paid"/>
    <x v="0"/>
  </r>
  <r>
    <s v="ORD-2024-10065"/>
    <s v="Unique"/>
    <x v="8"/>
    <n v="2024"/>
    <d v="2024-12-23T00:00:00"/>
    <d v="2024-12-29T00:00:00"/>
    <n v="6"/>
    <s v="Valid"/>
    <s v="CUST-2749"/>
    <s v="Aarav Sharma"/>
    <x v="2"/>
    <x v="1"/>
    <s v="Jharkhand"/>
    <s v="Ranchi"/>
    <x v="0"/>
    <x v="0"/>
    <s v="Classic Paper 458"/>
    <x v="2"/>
    <n v="7"/>
    <n v="447.84"/>
    <n v="3134.8799999999997"/>
    <n v="0"/>
    <n v="0"/>
    <s v="Valid"/>
    <s v="Clean"/>
    <n v="3134.88"/>
    <n v="2367.63"/>
    <n v="767.24999999999955"/>
    <n v="767.25"/>
    <n v="0.2447462103812586"/>
    <s v="Refunded"/>
    <x v="2"/>
  </r>
  <r>
    <s v="ORD-2024-10066"/>
    <s v="Unique"/>
    <x v="5"/>
    <n v="2024"/>
    <d v="2024-04-22T00:00:00"/>
    <d v="2024-04-27T00:00:00"/>
    <n v="5"/>
    <s v="Valid"/>
    <s v="CUST-2463"/>
    <s v="Mira Das"/>
    <x v="3"/>
    <x v="3"/>
    <s v="Maharashtra"/>
    <s v="Mumbai"/>
    <x v="0"/>
    <x v="0"/>
    <s v="Pro Paper 552"/>
    <x v="0"/>
    <n v="1"/>
    <n v="4280.1899999999996"/>
    <n v="4066.1804999999995"/>
    <n v="0.05"/>
    <n v="0.05"/>
    <s v="Valid"/>
    <s v="Clean"/>
    <n v="4066.18"/>
    <n v="2628.92"/>
    <n v="1437.2604999999994"/>
    <n v="1437.26"/>
    <n v="0.35346689029998674"/>
    <s v="Paid"/>
    <x v="0"/>
  </r>
  <r>
    <s v="ORD-2025-10067"/>
    <s v="Unique"/>
    <x v="1"/>
    <n v="2025"/>
    <d v="2025-08-28T00:00:00"/>
    <d v="2025-09-01T00:00:00"/>
    <n v="4"/>
    <s v="Valid"/>
    <s v="CUST-1504"/>
    <s v="Karan Malhotra"/>
    <x v="1"/>
    <x v="2"/>
    <s v="Tamil Nadu"/>
    <s v="Chennai"/>
    <x v="2"/>
    <x v="5"/>
    <s v="Elite Accessories 187"/>
    <x v="1"/>
    <n v="7"/>
    <n v="1057.46"/>
    <n v="7032.1089999999995"/>
    <n v="0.05"/>
    <n v="0.05"/>
    <s v="Valid"/>
    <s v="Clean"/>
    <n v="7032.11"/>
    <n v="4610.34"/>
    <n v="2421.7689999999993"/>
    <n v="2421.77"/>
    <n v="0.34438738870694574"/>
    <s v="Paid"/>
    <x v="0"/>
  </r>
  <r>
    <s v="ORD-2025-10068"/>
    <s v="Unique"/>
    <x v="6"/>
    <n v="2025"/>
    <d v="2025-02-03T00:00:00"/>
    <d v="2025-02-07T00:00:00"/>
    <n v="4"/>
    <s v="Valid"/>
    <s v="CUST-8282"/>
    <s v="Kabir Singh"/>
    <x v="0"/>
    <x v="0"/>
    <s v="Haryana"/>
    <s v="Gurugram"/>
    <x v="0"/>
    <x v="0"/>
    <s v="Eco Paper 922"/>
    <x v="2"/>
    <n v="7"/>
    <n v="3609.34"/>
    <n v="24002.111000000001"/>
    <n v="0.05"/>
    <n v="0.05"/>
    <s v="Valid"/>
    <s v="Clean"/>
    <n v="24002.11"/>
    <n v="18707.57"/>
    <n v="5294.5410000000011"/>
    <n v="5294.54"/>
    <n v="0.2205864401088071"/>
    <s v="Paid"/>
    <x v="0"/>
  </r>
  <r>
    <s v="ORD-2024-10069"/>
    <s v="Unique"/>
    <x v="3"/>
    <n v="2024"/>
    <d v="2024-11-10T00:00:00"/>
    <d v="2024-11-13T00:00:00"/>
    <n v="3"/>
    <s v="Valid"/>
    <s v="CUST-6054"/>
    <s v="Isha Nair"/>
    <x v="2"/>
    <x v="1"/>
    <s v="Jharkhand"/>
    <s v="Ranchi"/>
    <x v="0"/>
    <x v="8"/>
    <s v="Pro Storage 975"/>
    <x v="0"/>
    <n v="9"/>
    <n v="2211.12"/>
    <n v="19900.079999999998"/>
    <n v="0"/>
    <n v="0"/>
    <s v="Valid"/>
    <s v="Clean"/>
    <n v="19900.080000000002"/>
    <n v="10962.66"/>
    <n v="8937.4199999999983"/>
    <n v="8937.42"/>
    <n v="0.44911477742803041"/>
    <s v="Failed"/>
    <x v="2"/>
  </r>
  <r>
    <s v="ORD-2024-10070"/>
    <s v="Unique"/>
    <x v="5"/>
    <n v="2024"/>
    <d v="2024-04-09T00:00:00"/>
    <d v="2024-04-14T00:00:00"/>
    <n v="5"/>
    <s v="Valid"/>
    <s v="CUST-5979"/>
    <s v="Neha Gupta"/>
    <x v="1"/>
    <x v="3"/>
    <s v="Gujarat"/>
    <s v="Ahmedabad"/>
    <x v="2"/>
    <x v="12"/>
    <s v="Prime Machines 782"/>
    <x v="1"/>
    <n v="7"/>
    <n v="3417.09"/>
    <n v="21527.667000000001"/>
    <n v="0.1"/>
    <n v="0.1"/>
    <s v="Valid"/>
    <s v="Clean"/>
    <n v="21527.67"/>
    <n v="18287.580000000002"/>
    <n v="3240.0869999999995"/>
    <n v="3240.09"/>
    <n v="0.15050815996343311"/>
    <s v="Refunded"/>
    <x v="2"/>
  </r>
  <r>
    <s v="ORD-2025-10071"/>
    <s v="Unique"/>
    <x v="1"/>
    <n v="2025"/>
    <d v="2025-08-22T00:00:00"/>
    <d v="2025-08-27T00:00:00"/>
    <n v="5"/>
    <s v="Valid"/>
    <s v="CUST-5582"/>
    <s v="Karan Malhotra"/>
    <x v="2"/>
    <x v="2"/>
    <s v="Andhra Pradesh"/>
    <s v="Vijayawada"/>
    <x v="2"/>
    <x v="11"/>
    <s v="Max Phones 661"/>
    <x v="2"/>
    <n v="2"/>
    <n v="905.87"/>
    <n v="1539.979"/>
    <n v="0.15"/>
    <n v="0.15"/>
    <s v="Valid"/>
    <s v="Clean"/>
    <n v="1539.98"/>
    <n v="1070.2"/>
    <n v="469.779"/>
    <n v="469.78"/>
    <n v="0.30505590981701058"/>
    <s v="Paid"/>
    <x v="0"/>
  </r>
  <r>
    <s v="ORD-2025-10072"/>
    <s v="Unique"/>
    <x v="5"/>
    <n v="2025"/>
    <d v="2025-04-16T00:00:00"/>
    <d v="2025-04-23T00:00:00"/>
    <n v="7"/>
    <s v="Valid"/>
    <s v="CUST-3308"/>
    <s v="Mira Das"/>
    <x v="1"/>
    <x v="3"/>
    <s v="Goa"/>
    <s v="Panaji"/>
    <x v="2"/>
    <x v="12"/>
    <s v="Elite Machines 836"/>
    <x v="3"/>
    <n v="6"/>
    <n v="2027.32"/>
    <n v="10947.528"/>
    <n v="0.1"/>
    <n v="0.1"/>
    <s v="Valid"/>
    <s v="Clean"/>
    <n v="10947.53"/>
    <n v="6447.36"/>
    <n v="4500.1680000000006"/>
    <n v="4500.17"/>
    <n v="0.41106715396075644"/>
    <s v="Paid"/>
    <x v="0"/>
  </r>
  <r>
    <s v="ORD-2024-10073"/>
    <s v="Unique"/>
    <x v="6"/>
    <n v="2024"/>
    <d v="2024-02-11T00:00:00"/>
    <d v="2024-02-07T00:00:00"/>
    <n v="-4"/>
    <s v="Invalid: Ship Date Before Order Date"/>
    <s v="CUST-5018"/>
    <s v="Karan Malhotra"/>
    <x v="3"/>
    <x v="2"/>
    <s v="Tamil Nadu"/>
    <s v="Chennai"/>
    <x v="1"/>
    <x v="1"/>
    <s v="Prime Tables 902"/>
    <x v="2"/>
    <n v="7"/>
    <n v="2287.4699999999998"/>
    <n v="13610.446499999998"/>
    <n v="0.15"/>
    <n v="0.15"/>
    <s v="Valid"/>
    <s v="Invalid"/>
    <n v="13610.45"/>
    <n v="10039.049999999999"/>
    <n v="3571.3964999999989"/>
    <n v="3571.4"/>
    <n v="0.26240131663537941"/>
    <s v="Paid"/>
    <x v="0"/>
  </r>
  <r>
    <s v="ORD-2025-10074"/>
    <s v="Unique"/>
    <x v="11"/>
    <n v="2025"/>
    <d v="2025-03-29T00:00:00"/>
    <d v="2025-04-03T00:00:00"/>
    <n v="5"/>
    <s v="Valid"/>
    <s v="CUST-2342"/>
    <s v="Sneha Kapoor"/>
    <x v="2"/>
    <x v="1"/>
    <s v="West Bengal"/>
    <s v="Kolkata"/>
    <x v="1"/>
    <x v="10"/>
    <s v="Smart Bookcases 167"/>
    <x v="2"/>
    <n v="5"/>
    <n v="1425.74"/>
    <n v="7128.7"/>
    <n v="0"/>
    <n v="0"/>
    <s v="Valid"/>
    <s v="Clean"/>
    <n v="7128.7"/>
    <n v="4382.1499999999996"/>
    <n v="2746.55"/>
    <n v="2746.55"/>
    <n v="0.38528062620113068"/>
    <s v="Paid"/>
    <x v="0"/>
  </r>
  <r>
    <s v="ORD-2025-10075"/>
    <s v="Unique"/>
    <x v="6"/>
    <n v="2025"/>
    <d v="2025-02-27T00:00:00"/>
    <d v="2025-03-01T00:00:00"/>
    <n v="2"/>
    <s v="Valid"/>
    <s v="CUST-6201"/>
    <s v="Vikram Iyer"/>
    <x v="1"/>
    <x v="1"/>
    <s v="West Bengal"/>
    <s v="Kolkata"/>
    <x v="1"/>
    <x v="4"/>
    <s v="Max Chairs 244"/>
    <x v="3"/>
    <n v="6"/>
    <n v="551.64"/>
    <n v="3309.84"/>
    <n v="0"/>
    <n v="0"/>
    <s v="Valid"/>
    <s v="Clean"/>
    <n v="3309.84"/>
    <n v="2671.08"/>
    <n v="638.76000000000022"/>
    <n v="638.76"/>
    <n v="0.19298818069755636"/>
    <s v="Paid"/>
    <x v="0"/>
  </r>
  <r>
    <s v="ORD-2025-10076"/>
    <s v="Unique"/>
    <x v="1"/>
    <n v="2025"/>
    <d v="2025-08-22T00:00:00"/>
    <d v="2025-08-27T00:00:00"/>
    <n v="5"/>
    <s v="Valid"/>
    <s v="CUST-5808"/>
    <s v="Priya Menon"/>
    <x v="1"/>
    <x v="1"/>
    <s v="Odisha"/>
    <s v="Bhubaneswar"/>
    <x v="0"/>
    <x v="7"/>
    <s v="Eco Labels 653"/>
    <x v="2"/>
    <n v="3"/>
    <n v="3294.82"/>
    <n v="7907.5680000000011"/>
    <n v="0.2"/>
    <n v="0.2"/>
    <s v="Valid"/>
    <s v="Clean"/>
    <n v="7907.57"/>
    <n v="5391.18"/>
    <n v="2516.3880000000008"/>
    <n v="2516.39"/>
    <n v="0.3182254472612952"/>
    <s v="Paid"/>
    <x v="0"/>
  </r>
  <r>
    <s v="ORD-2024-10077"/>
    <s v="Unique"/>
    <x v="3"/>
    <n v="2024"/>
    <d v="2024-11-03T00:00:00"/>
    <d v="2024-11-11T00:00:00"/>
    <n v="8"/>
    <s v="Valid"/>
    <s v="CUST-2642"/>
    <s v="Ananya Rao"/>
    <x v="2"/>
    <x v="1"/>
    <s v="Jharkhand"/>
    <s v="Ranchi"/>
    <x v="0"/>
    <x v="7"/>
    <s v="Max Labels 617"/>
    <x v="0"/>
    <n v="3"/>
    <n v="3406.27"/>
    <n v="10218.81"/>
    <n v="0"/>
    <n v="0"/>
    <s v="Valid"/>
    <s v="Clean"/>
    <n v="10218.81"/>
    <n v="7616.97"/>
    <n v="2601.8399999999992"/>
    <n v="2601.84"/>
    <n v="0.25461281695226745"/>
    <s v="Paid"/>
    <x v="0"/>
  </r>
  <r>
    <s v="ORD-2025-10078"/>
    <s v="Unique"/>
    <x v="0"/>
    <n v="2025"/>
    <d v="2025-07-08T00:00:00"/>
    <d v="2025-07-12T00:00:00"/>
    <n v="4"/>
    <s v="Valid"/>
    <s v="CUST-4385"/>
    <s v="Rohan Mehta"/>
    <x v="3"/>
    <x v="0"/>
    <s v="Uttar Pradesh"/>
    <s v="Noida"/>
    <x v="1"/>
    <x v="3"/>
    <s v="Pro Furnishings 529"/>
    <x v="3"/>
    <n v="1"/>
    <n v="2582.1999999999998"/>
    <n v="2194.87"/>
    <n v="0.15"/>
    <n v="0.15"/>
    <s v="Valid"/>
    <s v="Clean"/>
    <n v="2194.87"/>
    <n v="1223.17"/>
    <n v="971.69999999999982"/>
    <n v="971.7"/>
    <n v="0.44271414707932594"/>
    <s v="Refunded"/>
    <x v="1"/>
  </r>
  <r>
    <s v="ORD-2025-10079"/>
    <s v="Unique"/>
    <x v="0"/>
    <n v="2025"/>
    <d v="2025-07-16T00:00:00"/>
    <d v="2025-07-21T00:00:00"/>
    <n v="5"/>
    <s v="Valid"/>
    <s v="CUST-8043"/>
    <s v="Sneha Kapoor"/>
    <x v="2"/>
    <x v="1"/>
    <s v="West Bengal"/>
    <s v="Kolkata"/>
    <x v="1"/>
    <x v="1"/>
    <s v="Smart Tables 561"/>
    <x v="2"/>
    <n v="5"/>
    <n v="2129.5100000000002"/>
    <n v="9050.4175000000014"/>
    <n v="0.15"/>
    <n v="0.15"/>
    <s v="Valid"/>
    <s v="Clean"/>
    <n v="9050.42"/>
    <n v="6778.85"/>
    <n v="2271.567500000001"/>
    <n v="2271.5700000000002"/>
    <n v="0.25099056176398443"/>
    <s v="Paid"/>
    <x v="0"/>
  </r>
  <r>
    <s v="ORD-2025-10080"/>
    <s v="Unique"/>
    <x v="7"/>
    <n v="2025"/>
    <d v="2025-09-27T00:00:00"/>
    <d v="2025-10-03T00:00:00"/>
    <n v="6"/>
    <s v="Valid"/>
    <s v="CUST-9978"/>
    <s v="Diya Patel"/>
    <x v="3"/>
    <x v="2"/>
    <s v="Tamil Nadu"/>
    <s v="Chennai"/>
    <x v="1"/>
    <x v="4"/>
    <s v="Prime Chairs 838"/>
    <x v="1"/>
    <n v="9"/>
    <n v="4131.5200000000004"/>
    <n v="33465.312000000005"/>
    <n v="0.1"/>
    <n v="0.1"/>
    <s v="Valid"/>
    <s v="Clean"/>
    <n v="33465.31"/>
    <n v="24781.26"/>
    <n v="8684.052000000007"/>
    <n v="8684.0499999999993"/>
    <n v="0.25949408506898636"/>
    <s v="Paid"/>
    <x v="0"/>
  </r>
  <r>
    <s v="ORD-2024-10081"/>
    <s v="Unique"/>
    <x v="1"/>
    <n v="2024"/>
    <d v="2024-08-10T00:00:00"/>
    <d v="2024-08-14T00:00:00"/>
    <n v="4"/>
    <s v="Valid"/>
    <s v="CUST-2094"/>
    <s v="Aarav Sharma"/>
    <x v="1"/>
    <x v="0"/>
    <s v="Delhi"/>
    <s v="New Delhi"/>
    <x v="0"/>
    <x v="8"/>
    <s v="Elite Storage 371"/>
    <x v="0"/>
    <n v="4"/>
    <n v="1182.32"/>
    <n v="4256.3519999999999"/>
    <n v="0.1"/>
    <n v="0.1"/>
    <s v="Valid"/>
    <s v="Clean"/>
    <n v="4256.3500000000004"/>
    <n v="2495.33"/>
    <n v="1761.0219999999999"/>
    <n v="1761.02"/>
    <n v="0.41373947161300173"/>
    <s v="Pending"/>
    <x v="2"/>
  </r>
  <r>
    <s v="ORD-2025-10082"/>
    <s v="Unique"/>
    <x v="11"/>
    <n v="2025"/>
    <d v="2025-03-16T00:00:00"/>
    <d v="2025-03-17T00:00:00"/>
    <n v="1"/>
    <s v="Valid"/>
    <s v="CUST-7907"/>
    <s v="Karan Malhotra"/>
    <x v="3"/>
    <x v="3"/>
    <s v="Goa"/>
    <s v="Panaji"/>
    <x v="0"/>
    <x v="7"/>
    <s v="Eco Labels 662"/>
    <x v="1"/>
    <n v="3"/>
    <n v="1841.91"/>
    <n v="5525.7300000000005"/>
    <n v="0"/>
    <n v="0"/>
    <s v="Valid"/>
    <s v="Clean"/>
    <n v="5525.73"/>
    <n v="3093.42"/>
    <n v="2432.3100000000004"/>
    <n v="2432.31"/>
    <n v="0.44017894468242208"/>
    <s v="Paid"/>
    <x v="0"/>
  </r>
  <r>
    <s v="ORD-2024-10083"/>
    <s v="Unique"/>
    <x v="1"/>
    <n v="2024"/>
    <d v="2024-08-03T00:00:00"/>
    <d v="2024-08-04T00:00:00"/>
    <n v="1"/>
    <s v="Valid"/>
    <s v="CUST-6516"/>
    <s v="Arjun Bose"/>
    <x v="0"/>
    <x v="0"/>
    <s v="Uttar Pradesh"/>
    <s v="Noida"/>
    <x v="2"/>
    <x v="6"/>
    <s v="Smart Copiers 702"/>
    <x v="0"/>
    <n v="6"/>
    <n v="1001.73"/>
    <n v="6010.38"/>
    <n v="0"/>
    <n v="0"/>
    <s v="Valid"/>
    <s v="Clean"/>
    <n v="6010.38"/>
    <n v="3762.85"/>
    <n v="2247.5300000000002"/>
    <n v="2247.5300000000002"/>
    <n v="0.37394141468592673"/>
    <s v="Failed"/>
    <x v="2"/>
  </r>
  <r>
    <s v="ORD-2024-10084"/>
    <s v="Unique"/>
    <x v="9"/>
    <n v="2024"/>
    <d v="2024-10-26T00:00:00"/>
    <d v="2024-10-29T00:00:00"/>
    <n v="3"/>
    <s v="Valid"/>
    <s v="CUST-4989"/>
    <s v="Aditi Sen"/>
    <x v="3"/>
    <x v="3"/>
    <s v="Maharashtra"/>
    <s v="Mumbai"/>
    <x v="1"/>
    <x v="1"/>
    <s v="Elite Tables 362"/>
    <x v="0"/>
    <n v="9"/>
    <n v="131.74"/>
    <n v="948.52800000000013"/>
    <n v="0.2"/>
    <n v="0.2"/>
    <s v="Valid"/>
    <s v="Clean"/>
    <n v="948.53"/>
    <n v="674.62"/>
    <n v="273.90800000000013"/>
    <n v="273.91000000000003"/>
    <n v="0.28877315424920669"/>
    <s v="Paid"/>
    <x v="0"/>
  </r>
  <r>
    <s v="ORD-2024-10085"/>
    <s v="Unique"/>
    <x v="9"/>
    <n v="2024"/>
    <d v="2024-10-01T00:00:00"/>
    <d v="2024-10-03T00:00:00"/>
    <n v="2"/>
    <s v="Valid"/>
    <s v="CUST-3758"/>
    <s v="Rohan Mehta"/>
    <x v="2"/>
    <x v="2"/>
    <s v="Tamil Nadu"/>
    <s v="Chennai"/>
    <x v="2"/>
    <x v="11"/>
    <s v="Elite Phones 781"/>
    <x v="0"/>
    <n v="6"/>
    <n v="570.28"/>
    <n v="2737.3440000000001"/>
    <n v="0.2"/>
    <n v="0.2"/>
    <s v="Valid"/>
    <s v="Clean"/>
    <n v="2737.34"/>
    <n v="2085.44"/>
    <n v="651.904"/>
    <n v="651.9"/>
    <n v="0.23815090562370766"/>
    <s v="Paid"/>
    <x v="0"/>
  </r>
  <r>
    <s v="ORD-2024-10086"/>
    <s v="Unique"/>
    <x v="0"/>
    <n v="2024"/>
    <d v="2024-07-30T00:00:00"/>
    <d v="2024-08-05T00:00:00"/>
    <n v="6"/>
    <s v="Valid"/>
    <s v="CUST-6702"/>
    <s v="Kabir Singh"/>
    <x v="2"/>
    <x v="0"/>
    <s v="Delhi"/>
    <s v="New Delhi"/>
    <x v="0"/>
    <x v="9"/>
    <s v="Eco Binders 456"/>
    <x v="3"/>
    <n v="1"/>
    <n v="608.64"/>
    <n v="608.64"/>
    <n v="0"/>
    <n v="0"/>
    <s v="Valid"/>
    <s v="Clean"/>
    <n v="608.64"/>
    <n v="343.99"/>
    <n v="264.64999999999998"/>
    <n v="264.64999999999998"/>
    <n v="0.43482189800210302"/>
    <s v="Paid"/>
    <x v="1"/>
  </r>
  <r>
    <s v="ORD-2024-10087"/>
    <s v="Unique"/>
    <x v="0"/>
    <n v="2024"/>
    <d v="2024-07-01T00:00:00"/>
    <d v="2024-07-01T00:00:00"/>
    <n v="0"/>
    <s v="Valid"/>
    <s v="CUST-9148"/>
    <s v="Ananya Rao"/>
    <x v="1"/>
    <x v="0"/>
    <s v="Delhi"/>
    <s v="New Delhi"/>
    <x v="2"/>
    <x v="6"/>
    <s v="Basic Copiers 525"/>
    <x v="0"/>
    <n v="3"/>
    <n v="885.28"/>
    <n v="2390.2560000000003"/>
    <n v="0.1"/>
    <n v="0.1"/>
    <s v="Valid"/>
    <s v="Clean"/>
    <n v="2390.2600000000002"/>
    <n v="1495.94"/>
    <n v="894.31600000000026"/>
    <n v="894.32"/>
    <n v="0.37415176591667848"/>
    <s v="Refunded"/>
    <x v="1"/>
  </r>
  <r>
    <s v="ORD-2024-10088"/>
    <s v="Unique"/>
    <x v="1"/>
    <n v="2024"/>
    <d v="2024-08-02T00:00:00"/>
    <d v="2024-08-03T00:00:00"/>
    <n v="1"/>
    <s v="Valid"/>
    <s v="CUST-5829"/>
    <s v="Vikram Iyer"/>
    <x v="0"/>
    <x v="1"/>
    <s v="Assam"/>
    <s v="Guwahati"/>
    <x v="0"/>
    <x v="9"/>
    <s v="Eco Binders 258"/>
    <x v="3"/>
    <n v="7"/>
    <n v="3345.22"/>
    <n v="23416.539999999997"/>
    <n v="0"/>
    <n v="0"/>
    <s v="Valid"/>
    <s v="Clean"/>
    <n v="23416.54"/>
    <n v="15490.89"/>
    <n v="7925.6499999999978"/>
    <n v="7925.65"/>
    <n v="0.33846375254414185"/>
    <s v="Paid"/>
    <x v="0"/>
  </r>
  <r>
    <s v="ORD-2024-10089"/>
    <s v="Unique"/>
    <x v="11"/>
    <n v="2024"/>
    <d v="2024-03-24T00:00:00"/>
    <d v="2024-03-27T00:00:00"/>
    <n v="3"/>
    <s v="Valid"/>
    <s v="CUST-6059"/>
    <s v="Rohan Mehta"/>
    <x v="1"/>
    <x v="3"/>
    <s v="Maharashtra"/>
    <s v="Mumbai"/>
    <x v="1"/>
    <x v="10"/>
    <s v="Max Bookcases 398"/>
    <x v="3"/>
    <n v="2"/>
    <n v="3284.75"/>
    <n v="6241.0249999999996"/>
    <n v="0.05"/>
    <n v="0.05"/>
    <s v="Valid"/>
    <s v="Clean"/>
    <n v="6241.02"/>
    <n v="5345.88"/>
    <n v="895.14499999999953"/>
    <n v="895.14"/>
    <n v="0.1434284780372439"/>
    <s v="Paid"/>
    <x v="0"/>
  </r>
  <r>
    <s v="ORD-2024-10090"/>
    <s v="Unique"/>
    <x v="7"/>
    <n v="2024"/>
    <d v="2024-09-05T00:00:00"/>
    <d v="2024-09-05T00:00:00"/>
    <n v="0"/>
    <s v="Valid"/>
    <s v="CUST-7744"/>
    <s v="Kabir Singh"/>
    <x v="0"/>
    <x v="2"/>
    <s v="Andhra Pradesh"/>
    <s v="Vijayawada"/>
    <x v="1"/>
    <x v="10"/>
    <s v="Smart Bookcases 857"/>
    <x v="3"/>
    <n v="7"/>
    <n v="3761.09"/>
    <n v="21062.104000000003"/>
    <n v="0.2"/>
    <n v="0.2"/>
    <s v="Valid"/>
    <s v="Clean"/>
    <n v="21062.1"/>
    <n v="12057.13"/>
    <n v="9004.9740000000038"/>
    <n v="9004.9699999999993"/>
    <n v="0.42754378718171504"/>
    <s v="Pending"/>
    <x v="1"/>
  </r>
  <r>
    <s v="ORD-2025-10091"/>
    <s v="Duplicate Order ID"/>
    <x v="1"/>
    <n v="2025"/>
    <d v="2025-08-24T00:00:00"/>
    <d v="2025-08-29T00:00:00"/>
    <n v="5"/>
    <s v="Valid"/>
    <s v="CUST-5909"/>
    <s v="Aarav Sharma"/>
    <x v="1"/>
    <x v="1"/>
    <s v="Bihar"/>
    <s v="Patna"/>
    <x v="2"/>
    <x v="6"/>
    <s v="Smart Copiers 556"/>
    <x v="2"/>
    <n v="3"/>
    <n v="3703.96"/>
    <n v="9445.098"/>
    <n v="0.15"/>
    <n v="0.15"/>
    <s v="Valid"/>
    <s v="Clean"/>
    <n v="9445.1"/>
    <n v="5586.28"/>
    <n v="3858.8180000000002"/>
    <n v="3858.82"/>
    <n v="0.40855258282072188"/>
    <s v="Paid"/>
    <x v="0"/>
  </r>
  <r>
    <s v="ORD-2025-10092"/>
    <s v="Unique"/>
    <x v="11"/>
    <n v="2025"/>
    <d v="2025-03-02T00:00:00"/>
    <d v="2025-03-08T00:00:00"/>
    <n v="6"/>
    <s v="Valid"/>
    <s v="CUST-6409"/>
    <s v="Sneha Kapoor"/>
    <x v="2"/>
    <x v="3"/>
    <s v="Madhya Pradesh"/>
    <s v="Indore"/>
    <x v="2"/>
    <x v="6"/>
    <s v="Prime Copiers 575"/>
    <x v="0"/>
    <n v="9"/>
    <n v="269.68"/>
    <n v="2427.12"/>
    <n v="0"/>
    <n v="0"/>
    <s v="Valid"/>
    <s v="Clean"/>
    <n v="2427.12"/>
    <n v="1538.35"/>
    <n v="888.77"/>
    <n v="804.53"/>
    <n v="0.33147516398035531"/>
    <s v="Paid"/>
    <x v="0"/>
  </r>
  <r>
    <s v="ORD-2025-10093"/>
    <s v="Unique"/>
    <x v="10"/>
    <n v="2025"/>
    <d v="2025-01-23T00:00:00"/>
    <d v="2025-01-26T00:00:00"/>
    <n v="3"/>
    <s v="Valid"/>
    <s v="CUST-3014"/>
    <s v="Aarav Sharma"/>
    <x v="0"/>
    <x v="3"/>
    <s v="Madhya Pradesh"/>
    <s v="Indore"/>
    <x v="0"/>
    <x v="0"/>
    <s v="Elite Paper 669"/>
    <x v="3"/>
    <n v="9"/>
    <n v="4458.26"/>
    <n v="36111.906000000003"/>
    <n v="0.1"/>
    <n v="0.1"/>
    <s v="Valid"/>
    <s v="Clean"/>
    <n v="36111.910000000003"/>
    <n v="29194.5"/>
    <n v="6917.4060000000027"/>
    <n v="6917.41"/>
    <n v="0.19155480837208552"/>
    <s v="Paid"/>
    <x v="0"/>
  </r>
  <r>
    <s v="ORD-2024-10094"/>
    <s v="Unique"/>
    <x v="10"/>
    <n v="2024"/>
    <d v="2024-01-07T00:00:00"/>
    <d v="2024-01-13T00:00:00"/>
    <n v="6"/>
    <s v="Valid"/>
    <s v="CUST-6106"/>
    <s v="Rohan Mehta"/>
    <x v="2"/>
    <x v="0"/>
    <s v="Uttar Pradesh"/>
    <s v="Noida"/>
    <x v="0"/>
    <x v="9"/>
    <s v="Eco Binders 780"/>
    <x v="3"/>
    <n v="7"/>
    <n v="2788.97"/>
    <s v="Invalid"/>
    <n v="-0.09"/>
    <s v="Invalid"/>
    <s v="Invalid"/>
    <s v="Invalid"/>
    <n v="19522.79"/>
    <n v="12455.78"/>
    <s v="Invalid"/>
    <n v="7067.01"/>
    <n v="0.36198770769956545"/>
    <s v="Paid"/>
    <x v="0"/>
  </r>
  <r>
    <s v="ORD-2024-10095"/>
    <s v="Unique"/>
    <x v="7"/>
    <n v="2024"/>
    <d v="2024-09-06T00:00:00"/>
    <d v="2024-09-09T00:00:00"/>
    <n v="3"/>
    <s v="Valid"/>
    <s v="CUST-1926"/>
    <s v="Diya Patel"/>
    <x v="0"/>
    <x v="0"/>
    <s v="Haryana"/>
    <s v="Gurugram"/>
    <x v="2"/>
    <x v="11"/>
    <s v="Elite Phones 723"/>
    <x v="0"/>
    <n v="7"/>
    <n v="3781.53"/>
    <n v="26470.710000000003"/>
    <n v="0"/>
    <n v="0"/>
    <s v="Valid"/>
    <s v="Clean"/>
    <n v="26470.71"/>
    <n v="21367.599999999999"/>
    <n v="5103.1100000000042"/>
    <n v="5103.1099999999997"/>
    <n v="0.19278326875251928"/>
    <s v="Pending"/>
    <x v="1"/>
  </r>
  <r>
    <s v="ORD-2025-10096"/>
    <s v="Unique"/>
    <x v="7"/>
    <n v="2025"/>
    <d v="2025-09-05T00:00:00"/>
    <d v="2025-09-10T00:00:00"/>
    <n v="5"/>
    <s v="Valid"/>
    <s v="CUST-2687"/>
    <s v="Sneha Kapoor"/>
    <x v="2"/>
    <x v="3"/>
    <s v="Goa"/>
    <s v="Panaji"/>
    <x v="1"/>
    <x v="10"/>
    <s v="Classic Bookcases 988"/>
    <x v="1"/>
    <n v="6"/>
    <n v="1754.13"/>
    <n v="10524.78"/>
    <n v="0"/>
    <n v="0"/>
    <s v="Valid"/>
    <s v="Clean"/>
    <n v="10524.78"/>
    <n v="8841.0499999999993"/>
    <n v="1683.7300000000014"/>
    <n v="1683.73"/>
    <n v="0.1599776907450797"/>
    <s v="Paid"/>
    <x v="0"/>
  </r>
  <r>
    <s v="ORD-2024-10097"/>
    <s v="Unique"/>
    <x v="2"/>
    <n v="2024"/>
    <d v="2024-06-05T00:00:00"/>
    <d v="2024-06-07T00:00:00"/>
    <n v="2"/>
    <s v="Valid"/>
    <s v="CUST-7283"/>
    <s v="Rahul Verma"/>
    <x v="3"/>
    <x v="1"/>
    <s v="Odisha"/>
    <s v="Bhubaneswar"/>
    <x v="2"/>
    <x v="6"/>
    <s v="Smart Copiers 547"/>
    <x v="0"/>
    <n v="2"/>
    <n v="2259.2399999999998"/>
    <n v="3840.7079999999996"/>
    <n v="0.15"/>
    <n v="0.15"/>
    <s v="Valid"/>
    <s v="Clean"/>
    <n v="3840.71"/>
    <n v="2516.29"/>
    <n v="1324.4179999999997"/>
    <n v="1324.42"/>
    <n v="0.34483728268991931"/>
    <s v="Paid"/>
    <x v="0"/>
  </r>
  <r>
    <s v="ORD-2025-10098"/>
    <s v="Unique"/>
    <x v="1"/>
    <n v="2025"/>
    <d v="2025-08-08T00:00:00"/>
    <d v="2025-08-11T00:00:00"/>
    <n v="3"/>
    <s v="Valid"/>
    <s v="CUST-8111"/>
    <s v="Diya Patel"/>
    <x v="1"/>
    <x v="3"/>
    <s v="Gujarat"/>
    <s v="Ahmedabad"/>
    <x v="0"/>
    <x v="8"/>
    <s v="Basic Storage 656"/>
    <x v="1"/>
    <n v="5"/>
    <n v="3602.36"/>
    <n v="14409.44"/>
    <n v="0.2"/>
    <n v="0.2"/>
    <s v="Valid"/>
    <s v="Clean"/>
    <n v="14409.44"/>
    <n v="8809.9699999999993"/>
    <n v="5599.4700000000012"/>
    <n v="5599.47"/>
    <n v="0.3885973361907194"/>
    <s v="Pending"/>
    <x v="2"/>
  </r>
  <r>
    <s v="ORD-2024-10099"/>
    <s v="Unique"/>
    <x v="10"/>
    <n v="2024"/>
    <d v="2024-01-26T00:00:00"/>
    <d v="2024-02-01T00:00:00"/>
    <n v="6"/>
    <s v="Valid"/>
    <s v="CUST-5434"/>
    <s v="Rohan Mehta"/>
    <x v="3"/>
    <x v="2"/>
    <s v="Kerala"/>
    <s v="Kochi"/>
    <x v="2"/>
    <x v="6"/>
    <s v="Elite Copiers 785"/>
    <x v="4"/>
    <n v="8"/>
    <n v="2108.9299999999998"/>
    <n v="15184.295999999998"/>
    <n v="0.1"/>
    <n v="0.1"/>
    <s v="Valid"/>
    <s v="Clean"/>
    <n v="15184.3"/>
    <n v="11270.74"/>
    <n v="3913.5559999999987"/>
    <n v="3913.56"/>
    <n v="0.25773726809928676"/>
    <s v="Paid"/>
    <x v="0"/>
  </r>
  <r>
    <s v="ORD-2025-10100"/>
    <s v="Unique"/>
    <x v="10"/>
    <n v="2025"/>
    <d v="2025-01-11T00:00:00"/>
    <d v="2025-01-11T00:00:00"/>
    <n v="0"/>
    <s v="Valid"/>
    <s v="CUST-3865"/>
    <s v="Aditi Sen"/>
    <x v="1"/>
    <x v="3"/>
    <s v="Rajasthan"/>
    <s v="Udaipur"/>
    <x v="2"/>
    <x v="5"/>
    <s v="Smart Accessories 542"/>
    <x v="1"/>
    <n v="3"/>
    <n v="2165.29"/>
    <n v="6495.87"/>
    <n v="0"/>
    <n v="0"/>
    <s v="Valid"/>
    <s v="Clean"/>
    <n v="6495.87"/>
    <n v="4700.8900000000003"/>
    <n v="1794.9799999999996"/>
    <n v="1794.98"/>
    <n v="0.27632634273777029"/>
    <s v="Paid"/>
    <x v="0"/>
  </r>
  <r>
    <s v="ORD-2025-10101"/>
    <s v="Unique"/>
    <x v="7"/>
    <n v="2025"/>
    <d v="2025-09-12T00:00:00"/>
    <d v="2025-09-18T00:00:00"/>
    <n v="6"/>
    <s v="Valid"/>
    <s v="CUST-6015"/>
    <s v="Aarav Sharma"/>
    <x v="3"/>
    <x v="2"/>
    <s v="Kerala"/>
    <s v="Kochi"/>
    <x v="0"/>
    <x v="8"/>
    <s v="Eco Storage 936"/>
    <x v="3"/>
    <n v="6"/>
    <n v="1673.8"/>
    <n v="9540.659999999998"/>
    <n v="0.05"/>
    <n v="0.05"/>
    <s v="Valid"/>
    <s v="Clean"/>
    <n v="9540.66"/>
    <n v="5561.49"/>
    <n v="3979.1699999999983"/>
    <n v="3979.17"/>
    <n v="0.41707491934520252"/>
    <s v="Paid"/>
    <x v="0"/>
  </r>
  <r>
    <s v="ORD-2024-10102"/>
    <s v="Unique"/>
    <x v="2"/>
    <n v="2024"/>
    <d v="2024-06-22T00:00:00"/>
    <d v="2024-06-26T00:00:00"/>
    <n v="4"/>
    <s v="Valid"/>
    <s v="CUST-7909"/>
    <s v="Rohan Mehta"/>
    <x v="3"/>
    <x v="1"/>
    <s v="Bihar"/>
    <s v="Patna"/>
    <x v="1"/>
    <x v="3"/>
    <s v="Classic Furnishings 682"/>
    <x v="2"/>
    <n v="5"/>
    <n v="4396.5200000000004"/>
    <n v="16486.95"/>
    <n v="0.25"/>
    <n v="0.25"/>
    <s v="Valid"/>
    <s v="Clean"/>
    <n v="16486.95"/>
    <n v="12054.14"/>
    <n v="4432.8100000000013"/>
    <n v="4432.8100000000004"/>
    <n v="0.2688678015036135"/>
    <s v="Paid"/>
    <x v="0"/>
  </r>
  <r>
    <s v="ORD-2025-10103"/>
    <s v="Unique"/>
    <x v="0"/>
    <n v="2025"/>
    <d v="2025-07-12T00:00:00"/>
    <d v="2025-07-16T00:00:00"/>
    <n v="4"/>
    <s v="Valid"/>
    <s v="CUST-9603"/>
    <s v="Vikram Iyer"/>
    <x v="0"/>
    <x v="2"/>
    <s v="Karnataka"/>
    <s v="Bengaluru"/>
    <x v="1"/>
    <x v="4"/>
    <s v="Classic Chairs 604"/>
    <x v="2"/>
    <n v="4"/>
    <n v="2865.71"/>
    <n v="11462.84"/>
    <n v="0"/>
    <n v="0"/>
    <s v="Valid"/>
    <s v="Clean"/>
    <n v="11462.84"/>
    <n v="8979.7800000000007"/>
    <n v="2483.0599999999995"/>
    <n v="2483.06"/>
    <n v="0.2166182202665308"/>
    <s v="Refunded"/>
    <x v="1"/>
  </r>
  <r>
    <s v="ORD-2025-10104"/>
    <s v="Unique"/>
    <x v="4"/>
    <n v="2025"/>
    <d v="2025-05-02T00:00:00"/>
    <d v="2025-05-10T00:00:00"/>
    <n v="8"/>
    <s v="Valid"/>
    <s v="CUST-6263"/>
    <s v="Kabir Singh"/>
    <x v="2"/>
    <x v="3"/>
    <s v="Maharashtra"/>
    <s v="Mumbai"/>
    <x v="1"/>
    <x v="1"/>
    <s v="Prime Tables 377"/>
    <x v="2"/>
    <n v="4"/>
    <n v="2440.34"/>
    <n v="7809.0880000000006"/>
    <n v="0.2"/>
    <n v="0.2"/>
    <s v="Valid"/>
    <s v="Clean"/>
    <n v="7809.09"/>
    <n v="6657.75"/>
    <n v="1151.3380000000006"/>
    <n v="1151.3399999999999"/>
    <n v="0.147435872809764"/>
    <s v="Paid"/>
    <x v="0"/>
  </r>
  <r>
    <s v="ORD-2025-10105"/>
    <s v="Unique"/>
    <x v="6"/>
    <n v="2025"/>
    <d v="2025-02-01T00:00:00"/>
    <d v="2025-02-08T00:00:00"/>
    <n v="7"/>
    <s v="Valid"/>
    <s v="CUST-1576"/>
    <s v="Ananya Rao"/>
    <x v="0"/>
    <x v="2"/>
    <s v="Karnataka"/>
    <s v="Bengaluru"/>
    <x v="0"/>
    <x v="7"/>
    <s v="Prime Labels 807"/>
    <x v="1"/>
    <n v="5"/>
    <n v="2112.54"/>
    <n v="7922.0250000000005"/>
    <n v="0.25"/>
    <n v="0.25"/>
    <s v="Valid"/>
    <s v="Clean"/>
    <n v="8260.4599999999991"/>
    <n v="5619.95"/>
    <n v="2302.0750000000007"/>
    <n v="2302.08"/>
    <n v="0.27868665909646678"/>
    <s v="Paid"/>
    <x v="1"/>
  </r>
  <r>
    <s v="ORD-2024-10106"/>
    <s v="Unique"/>
    <x v="2"/>
    <n v="2024"/>
    <d v="2024-06-24T00:00:00"/>
    <d v="2024-06-29T00:00:00"/>
    <n v="5"/>
    <s v="Valid"/>
    <s v="CUST-6540"/>
    <s v="Mira Das"/>
    <x v="3"/>
    <x v="1"/>
    <s v="West Bengal"/>
    <s v="Kolkata"/>
    <x v="1"/>
    <x v="1"/>
    <s v="Eco Tables 575"/>
    <x v="0"/>
    <n v="2"/>
    <n v="685"/>
    <n v="1233"/>
    <n v="0.1"/>
    <n v="0.1"/>
    <s v="Valid"/>
    <s v="Clean"/>
    <n v="1233"/>
    <n v="1006.9"/>
    <n v="226.10000000000002"/>
    <n v="226.1"/>
    <n v="0.18337388483373884"/>
    <s v="Paid"/>
    <x v="0"/>
  </r>
  <r>
    <s v="ORD-2024-10107"/>
    <s v="Unique"/>
    <x v="6"/>
    <n v="2024"/>
    <d v="2024-02-20T00:00:00"/>
    <d v="2024-02-28T00:00:00"/>
    <n v="8"/>
    <s v="Valid"/>
    <s v="CUST-4008"/>
    <s v="Arjun Bose"/>
    <x v="3"/>
    <x v="1"/>
    <s v="West Bengal"/>
    <s v="Kolkata"/>
    <x v="0"/>
    <x v="0"/>
    <s v="Eco Paper 918"/>
    <x v="3"/>
    <n v="2"/>
    <n v="4004.04"/>
    <n v="8008.08"/>
    <n v="0"/>
    <n v="0"/>
    <s v="Valid"/>
    <s v="Clean"/>
    <n v="7207.27"/>
    <n v="5709.39"/>
    <n v="2298.6899999999996"/>
    <n v="1497.88"/>
    <n v="0.2078290392894952"/>
    <s v="Paid"/>
    <x v="1"/>
  </r>
  <r>
    <s v="ORD-2024-10108"/>
    <s v="Unique"/>
    <x v="9"/>
    <n v="2024"/>
    <d v="2024-10-29T00:00:00"/>
    <d v="2024-11-04T00:00:00"/>
    <n v="6"/>
    <s v="Valid"/>
    <s v="CUST-6604"/>
    <s v="Rohan Mehta"/>
    <x v="3"/>
    <x v="1"/>
    <s v="West Bengal"/>
    <s v="Kolkata"/>
    <x v="1"/>
    <x v="3"/>
    <s v="Prime Furnishings 952"/>
    <x v="2"/>
    <n v="3"/>
    <n v="4302.8900000000003"/>
    <n v="12263.236500000001"/>
    <n v="0.05"/>
    <n v="0.05"/>
    <s v="Valid"/>
    <s v="Clean"/>
    <n v="12263.24"/>
    <n v="8925.57"/>
    <n v="3337.6665000000012"/>
    <n v="3337.67"/>
    <n v="0.2721686927761342"/>
    <s v="Paid"/>
    <x v="0"/>
  </r>
  <r>
    <s v="ORD-2024-10109"/>
    <s v="Unique"/>
    <x v="1"/>
    <n v="2024"/>
    <d v="2024-08-15T00:00:00"/>
    <d v="2024-08-23T00:00:00"/>
    <n v="8"/>
    <s v="Valid"/>
    <s v="CUST-4337"/>
    <s v="Aditi Sen"/>
    <x v="1"/>
    <x v="1"/>
    <s v="Odisha"/>
    <s v="Bhubaneswar"/>
    <x v="1"/>
    <x v="10"/>
    <s v="Prime Bookcases 631"/>
    <x v="1"/>
    <n v="2"/>
    <n v="537.54"/>
    <n v="806.31"/>
    <n v="0.25"/>
    <n v="0.25"/>
    <s v="Valid"/>
    <s v="Clean"/>
    <n v="806.31"/>
    <n v="498.5"/>
    <n v="307.80999999999995"/>
    <n v="307.81"/>
    <n v="0.38175143555208296"/>
    <s v="Paid"/>
    <x v="0"/>
  </r>
  <r>
    <s v="ORD-2025-10110"/>
    <s v="Unique"/>
    <x v="1"/>
    <n v="2025"/>
    <d v="2025-08-23T00:00:00"/>
    <d v="2025-08-27T00:00:00"/>
    <n v="4"/>
    <s v="Valid"/>
    <s v="CUST-3740"/>
    <s v="Sneha Kapoor"/>
    <x v="0"/>
    <x v="0"/>
    <s v="Delhi"/>
    <s v="New Delhi"/>
    <x v="0"/>
    <x v="9"/>
    <s v="Classic Binders 660"/>
    <x v="0"/>
    <n v="1"/>
    <n v="2788.62"/>
    <n v="2091.4650000000001"/>
    <n v="0.25"/>
    <n v="0.25"/>
    <s v="Valid"/>
    <s v="Clean"/>
    <n v="2091.4699999999998"/>
    <n v="1317.22"/>
    <n v="774.24500000000012"/>
    <n v="774.25"/>
    <n v="0.37019416965101104"/>
    <s v="Paid"/>
    <x v="0"/>
  </r>
  <r>
    <s v="ORD-2024-10111"/>
    <s v="Unique"/>
    <x v="9"/>
    <n v="2024"/>
    <d v="2024-10-18T00:00:00"/>
    <d v="2024-10-24T00:00:00"/>
    <n v="6"/>
    <s v="Valid"/>
    <s v="CUST-7128"/>
    <s v="Vikram Iyer"/>
    <x v="2"/>
    <x v="2"/>
    <s v="Kerala"/>
    <s v="Kochi"/>
    <x v="0"/>
    <x v="7"/>
    <s v="Pro Labels 255"/>
    <x v="2"/>
    <n v="2"/>
    <n v="2250.4699999999998"/>
    <n v="4500.9399999999996"/>
    <n v="0"/>
    <n v="0"/>
    <s v="Valid"/>
    <s v="Clean"/>
    <n v="4500.9399999999996"/>
    <n v="2607.73"/>
    <n v="1893.2099999999996"/>
    <n v="1893.21"/>
    <n v="0.42062546934640321"/>
    <s v="Refunded"/>
    <x v="1"/>
  </r>
  <r>
    <s v="ORD-2025-10112"/>
    <s v="Unique"/>
    <x v="2"/>
    <n v="2025"/>
    <d v="2025-06-27T00:00:00"/>
    <d v="2025-06-30T00:00:00"/>
    <n v="3"/>
    <s v="Valid"/>
    <s v="CUST-4743"/>
    <s v="Neha Gupta"/>
    <x v="2"/>
    <x v="1"/>
    <s v="Bihar"/>
    <s v="Patna"/>
    <x v="2"/>
    <x v="5"/>
    <s v="Basic Accessories 187"/>
    <x v="2"/>
    <n v="1"/>
    <n v="1708.44"/>
    <n v="1623.018"/>
    <n v="0.05"/>
    <n v="0.05"/>
    <s v="Valid"/>
    <s v="Clean"/>
    <n v="1623.02"/>
    <n v="1077.46"/>
    <n v="545.55799999999999"/>
    <n v="545.55999999999995"/>
    <n v="0.33613880297223692"/>
    <s v="Pending"/>
    <x v="1"/>
  </r>
  <r>
    <s v="ORD-2024-10113"/>
    <s v="Unique"/>
    <x v="10"/>
    <n v="2024"/>
    <d v="2024-01-10T00:00:00"/>
    <d v="2024-01-14T00:00:00"/>
    <n v="4"/>
    <s v="Valid"/>
    <s v="CUST-5213"/>
    <s v="Sneha Kapoor"/>
    <x v="0"/>
    <x v="4"/>
    <s v="Gujarat"/>
    <s v="Ahmedabad"/>
    <x v="2"/>
    <x v="5"/>
    <s v="Max Accessories 451"/>
    <x v="3"/>
    <n v="3"/>
    <n v="3829.48"/>
    <n v="10914.018"/>
    <n v="0.05"/>
    <n v="0.05"/>
    <s v="Valid"/>
    <s v="Clean"/>
    <n v="10914.02"/>
    <n v="6548.74"/>
    <n v="4365.2780000000002"/>
    <n v="4365.28"/>
    <n v="0.39996994691232007"/>
    <s v="Paid"/>
    <x v="0"/>
  </r>
  <r>
    <s v="ORD-2024-10114"/>
    <s v="Unique"/>
    <x v="6"/>
    <n v="2024"/>
    <d v="2024-02-12T00:00:00"/>
    <d v="2024-02-12T00:00:00"/>
    <n v="0"/>
    <s v="Valid"/>
    <s v="CUST-4989"/>
    <s v="Isha Nair"/>
    <x v="3"/>
    <x v="2"/>
    <s v="Tamil Nadu"/>
    <m/>
    <x v="1"/>
    <x v="1"/>
    <s v="Classic Tables 752"/>
    <x v="3"/>
    <n v="3"/>
    <n v="1089.1500000000001"/>
    <n v="2450.5875000000001"/>
    <n v="0.25"/>
    <n v="0.25"/>
    <s v="Valid"/>
    <s v="Clean"/>
    <n v="2450.59"/>
    <n v="1639.89"/>
    <n v="810.69749999999999"/>
    <n v="810.7"/>
    <n v="0.33081829273766727"/>
    <s v="Paid"/>
    <x v="0"/>
  </r>
  <r>
    <s v="ORD-2024-10115"/>
    <s v="Unique"/>
    <x v="7"/>
    <n v="2024"/>
    <d v="2024-09-25T00:00:00"/>
    <d v="2024-09-30T00:00:00"/>
    <n v="5"/>
    <s v="Valid"/>
    <s v="CUST-2927"/>
    <s v="Neha Gupta"/>
    <x v="1"/>
    <x v="0"/>
    <s v="Rajasthan"/>
    <m/>
    <x v="2"/>
    <x v="5"/>
    <s v="Eco Accessories 452"/>
    <x v="0"/>
    <n v="1"/>
    <n v="4388.3999999999996"/>
    <n v="3949.56"/>
    <n v="0.1"/>
    <n v="0.1"/>
    <s v="Valid"/>
    <s v="Clean"/>
    <n v="3949.56"/>
    <n v="3186.73"/>
    <n v="762.82999999999993"/>
    <n v="762.83"/>
    <n v="0.19314303365438176"/>
    <s v="Pending"/>
    <x v="1"/>
  </r>
  <r>
    <s v="ORD-2024-10116"/>
    <s v="Unique"/>
    <x v="8"/>
    <n v="2024"/>
    <d v="2024-12-27T00:00:00"/>
    <d v="2025-01-01T00:00:00"/>
    <n v="5"/>
    <s v="Valid"/>
    <s v="CUST-7764"/>
    <s v="Kabir Singh"/>
    <x v="2"/>
    <x v="2"/>
    <s v="Tamil Nadu"/>
    <m/>
    <x v="0"/>
    <x v="9"/>
    <s v="Classic Binders 203"/>
    <x v="1"/>
    <n v="2"/>
    <n v="446.34"/>
    <n v="758.77799999999991"/>
    <n v="0.15"/>
    <n v="0.15"/>
    <s v="Valid"/>
    <s v="Clean"/>
    <n v="758.78"/>
    <n v="490.74"/>
    <n v="268.0379999999999"/>
    <n v="268.04000000000002"/>
    <n v="0.35325127177838112"/>
    <s v="Paid"/>
    <x v="1"/>
  </r>
  <r>
    <s v="ORD-2025-10117"/>
    <s v="Unique"/>
    <x v="6"/>
    <n v="2025"/>
    <d v="2025-02-15T00:00:00"/>
    <d v="2025-02-19T00:00:00"/>
    <n v="4"/>
    <s v="Valid"/>
    <s v="CUST-3632"/>
    <s v="Ananya Rao"/>
    <x v="1"/>
    <x v="4"/>
    <s v="Madhya Pradesh"/>
    <m/>
    <x v="0"/>
    <x v="9"/>
    <s v="Basic Binders 859"/>
    <x v="2"/>
    <n v="9"/>
    <n v="531.99"/>
    <n v="3590.9324999999999"/>
    <n v="0.25"/>
    <n v="0.25"/>
    <s v="Valid"/>
    <s v="Clean"/>
    <n v="3590.93"/>
    <n v="3061.39"/>
    <n v="529.54250000000002"/>
    <n v="529.54"/>
    <n v="0.14746597678038836"/>
    <s v="Failed"/>
    <x v="1"/>
  </r>
  <r>
    <s v="ORD-2024-10118"/>
    <s v="Unique"/>
    <x v="6"/>
    <n v="2024"/>
    <d v="2024-02-15T00:00:00"/>
    <d v="2024-02-17T00:00:00"/>
    <n v="2"/>
    <s v="Valid"/>
    <s v="CUST-9608"/>
    <s v="Mira Das"/>
    <x v="3"/>
    <x v="2"/>
    <s v="Tamil Nadu"/>
    <m/>
    <x v="2"/>
    <x v="12"/>
    <s v="Elite Machines 705"/>
    <x v="3"/>
    <n v="9"/>
    <n v="3324.55"/>
    <s v="Invalid"/>
    <s v="70%"/>
    <s v="Invalid"/>
    <s v="Invalid"/>
    <s v="Invalid"/>
    <n v="25432.81"/>
    <n v="20370.16"/>
    <s v="Invalid"/>
    <n v="5062.6499999999996"/>
    <n v="0.19905979716751707"/>
    <s v="Paid"/>
    <x v="0"/>
  </r>
  <r>
    <s v="ORD-2024-10119"/>
    <s v="Unique"/>
    <x v="2"/>
    <n v="2024"/>
    <d v="2024-06-10T00:00:00"/>
    <d v="2024-06-18T00:00:00"/>
    <n v="8"/>
    <s v="Valid"/>
    <s v="CUST-9135"/>
    <s v="Vikram Iyer"/>
    <x v="3"/>
    <x v="2"/>
    <s v="Andhra Pradesh"/>
    <m/>
    <x v="2"/>
    <x v="6"/>
    <s v="Pro Copiers 208"/>
    <x v="1"/>
    <n v="5"/>
    <n v="1580.27"/>
    <n v="6321.0800000000008"/>
    <n v="0.2"/>
    <n v="0.2"/>
    <s v="Valid"/>
    <s v="Clean"/>
    <n v="6321.08"/>
    <n v="4407.22"/>
    <n v="1913.8600000000006"/>
    <n v="1913.86"/>
    <n v="0.30277420947053352"/>
    <s v="Paid"/>
    <x v="0"/>
  </r>
  <r>
    <s v="ORD-2024-10120"/>
    <s v="Unique"/>
    <x v="2"/>
    <n v="2024"/>
    <d v="2024-06-12T00:00:00"/>
    <d v="2024-06-19T00:00:00"/>
    <n v="7"/>
    <s v="Valid"/>
    <s v="CUST-7861"/>
    <s v="Aditi Sen"/>
    <x v="1"/>
    <x v="2"/>
    <s v="Kerala"/>
    <m/>
    <x v="1"/>
    <x v="4"/>
    <s v="Elite Chairs 921"/>
    <x v="3"/>
    <n v="8"/>
    <n v="314.05"/>
    <n v="1884.3000000000002"/>
    <n v="0.25"/>
    <n v="0.25"/>
    <s v="Valid"/>
    <s v="Clean"/>
    <n v="1884.3"/>
    <n v="1517.69"/>
    <n v="366.61000000000013"/>
    <n v="366.61"/>
    <n v="0.19456031417502523"/>
    <s v="Refunded"/>
    <x v="2"/>
  </r>
  <r>
    <s v="ORD-2024-10121"/>
    <s v="Unique"/>
    <x v="1"/>
    <n v="2024"/>
    <d v="2024-08-10T00:00:00"/>
    <d v="2024-08-18T00:00:00"/>
    <n v="8"/>
    <s v="Valid"/>
    <s v="CUST-6096"/>
    <s v="Sneha Kapoor"/>
    <x v="1"/>
    <x v="1"/>
    <s v="Bihar"/>
    <m/>
    <x v="2"/>
    <x v="11"/>
    <s v="Prime Phones 540"/>
    <x v="3"/>
    <n v="1"/>
    <n v="1823.67"/>
    <n v="1458.9360000000001"/>
    <n v="0.2"/>
    <n v="0.2"/>
    <s v="Valid"/>
    <s v="Clean"/>
    <n v="1458.94"/>
    <n v="893.2"/>
    <n v="565.7360000000001"/>
    <n v="565.74"/>
    <n v="0.38777468573073598"/>
    <s v="Paid"/>
    <x v="2"/>
  </r>
  <r>
    <s v="ORD-2025-10122"/>
    <s v="Unique"/>
    <x v="1"/>
    <n v="2025"/>
    <d v="2025-08-22T00:00:00"/>
    <d v="2025-08-26T00:00:00"/>
    <n v="4"/>
    <s v="Valid"/>
    <s v="CUST-2044"/>
    <s v="Kabir Singh"/>
    <x v="1"/>
    <x v="2"/>
    <s v="Andhra Pradesh"/>
    <m/>
    <x v="2"/>
    <x v="12"/>
    <s v="Max Machines 948"/>
    <x v="0"/>
    <n v="5"/>
    <n v="3482.92"/>
    <n v="17414.599999999999"/>
    <n v="0"/>
    <n v="0"/>
    <s v="Valid"/>
    <s v="Clean"/>
    <n v="17414.599999999999"/>
    <n v="11760.91"/>
    <n v="5653.6899999999987"/>
    <n v="5653.69"/>
    <n v="0.32465230323981026"/>
    <s v="Refunded"/>
    <x v="1"/>
  </r>
  <r>
    <s v="ORD-2024-10123"/>
    <s v="Unique"/>
    <x v="3"/>
    <n v="2024"/>
    <d v="2024-11-30T00:00:00"/>
    <d v="2024-12-04T00:00:00"/>
    <n v="4"/>
    <s v="Valid"/>
    <s v="CUST-1721"/>
    <s v="Ananya Rao"/>
    <x v="1"/>
    <x v="1"/>
    <s v="Assam"/>
    <m/>
    <x v="1"/>
    <x v="4"/>
    <s v="Max Chairs 786"/>
    <x v="0"/>
    <n v="3"/>
    <n v="170.35"/>
    <n v="511.04999999999995"/>
    <n v="0"/>
    <n v="0"/>
    <s v="Valid"/>
    <s v="Clean"/>
    <n v="511.05"/>
    <n v="367.18"/>
    <n v="143.86999999999995"/>
    <n v="143.87"/>
    <n v="0.28151844242246354"/>
    <s v="Paid"/>
    <x v="0"/>
  </r>
  <r>
    <s v="ORD-2024-10124"/>
    <s v="Duplicate Order ID"/>
    <x v="4"/>
    <n v="2024"/>
    <d v="2024-05-24T00:00:00"/>
    <d v="2024-05-25T00:00:00"/>
    <n v="1"/>
    <s v="Valid"/>
    <s v="CUST-1007"/>
    <s v="Sneha Kapoor"/>
    <x v="1"/>
    <x v="0"/>
    <s v="Punjab"/>
    <m/>
    <x v="2"/>
    <x v="6"/>
    <s v="Max Copiers 970"/>
    <x v="1"/>
    <n v="1"/>
    <n v="634.13"/>
    <n v="634.13"/>
    <n v="0"/>
    <n v="0"/>
    <s v="Valid"/>
    <s v="Clean"/>
    <n v="634.13"/>
    <n v="453.35"/>
    <n v="180.77999999999997"/>
    <n v="180.78"/>
    <n v="0.28508350022865975"/>
    <s v="Refunded"/>
    <x v="1"/>
  </r>
  <r>
    <s v="ORD-2024-10125"/>
    <s v="Unique"/>
    <x v="0"/>
    <n v="2024"/>
    <d v="2024-07-21T00:00:00"/>
    <d v="2024-07-24T00:00:00"/>
    <n v="3"/>
    <s v="Valid"/>
    <s v="CUST-4450"/>
    <s v="Isha Nair"/>
    <x v="2"/>
    <x v="2"/>
    <s v="Karnataka"/>
    <m/>
    <x v="2"/>
    <x v="6"/>
    <s v="Pro Copiers 769"/>
    <x v="3"/>
    <n v="9"/>
    <n v="465.06"/>
    <s v="Invalid"/>
    <n v="-0.15"/>
    <s v="Invalid"/>
    <s v="Invalid"/>
    <s v="Invalid"/>
    <n v="4185.54"/>
    <n v="3443.74"/>
    <s v="Invalid"/>
    <n v="741.8"/>
    <n v="0.17722922251370193"/>
    <s v="Paid"/>
    <x v="0"/>
  </r>
  <r>
    <s v="ORD-2025-10126"/>
    <s v="Unique"/>
    <x v="0"/>
    <n v="2025"/>
    <d v="2025-07-17T00:00:00"/>
    <d v="2025-07-18T00:00:00"/>
    <n v="1"/>
    <s v="Valid"/>
    <s v="CUST-7924"/>
    <s v="Neha Gupta"/>
    <x v="1"/>
    <x v="3"/>
    <s v="Rajasthan"/>
    <m/>
    <x v="1"/>
    <x v="1"/>
    <s v="Basic Tables 753"/>
    <x v="1"/>
    <n v="6"/>
    <n v="3235.27"/>
    <n v="14558.715"/>
    <n v="0.25"/>
    <n v="0.25"/>
    <s v="Valid"/>
    <s v="Clean"/>
    <n v="14558.72"/>
    <n v="9591.48"/>
    <n v="4967.2350000000006"/>
    <n v="4967.24"/>
    <n v="0.34118658783189731"/>
    <s v="Refunded"/>
    <x v="2"/>
  </r>
  <r>
    <s v="ORD-2025-10127"/>
    <s v="Unique"/>
    <x v="7"/>
    <n v="2025"/>
    <d v="2025-09-24T00:00:00"/>
    <d v="2025-09-26T00:00:00"/>
    <n v="2"/>
    <s v="Valid"/>
    <s v="CUST-1715"/>
    <s v="Priya Menon"/>
    <x v="2"/>
    <x v="0"/>
    <s v="Delhi"/>
    <m/>
    <x v="2"/>
    <x v="6"/>
    <s v="Prime Copiers 651"/>
    <x v="3"/>
    <n v="3"/>
    <n v="1593.86"/>
    <n v="4303.4220000000005"/>
    <n v="0.1"/>
    <n v="0.1"/>
    <s v="Valid"/>
    <s v="Clean"/>
    <n v="4303.42"/>
    <n v="2568.5700000000002"/>
    <n v="1734.8520000000003"/>
    <n v="1734.85"/>
    <n v="0.40313285712293939"/>
    <s v="Paid"/>
    <x v="0"/>
  </r>
  <r>
    <s v="ORD-2025-10128"/>
    <s v="Unique"/>
    <x v="10"/>
    <n v="2025"/>
    <d v="2025-01-30T00:00:00"/>
    <d v="2025-01-26T00:00:00"/>
    <n v="-4"/>
    <s v="Invalid: Ship Date Before Order Date"/>
    <s v="CUST-6802"/>
    <s v="Priya Menon"/>
    <x v="2"/>
    <x v="3"/>
    <s v="Madhya Pradesh"/>
    <m/>
    <x v="0"/>
    <x v="8"/>
    <s v="Basic Storage 321"/>
    <x v="0"/>
    <n v="2"/>
    <n v="3039.3"/>
    <n v="5774.67"/>
    <n v="0.05"/>
    <n v="0.05"/>
    <s v="Valid"/>
    <s v="Invalid"/>
    <n v="5774.67"/>
    <n v="3518.36"/>
    <n v="2256.31"/>
    <n v="2256.31"/>
    <n v="0.39072535746631409"/>
    <s v="Paid"/>
    <x v="0"/>
  </r>
  <r>
    <s v="ORD-2024-10129"/>
    <s v="Unique"/>
    <x v="8"/>
    <n v="2024"/>
    <d v="2024-12-13T00:00:00"/>
    <d v="2024-12-16T00:00:00"/>
    <n v="3"/>
    <s v="Valid"/>
    <s v="CUST-9328"/>
    <s v="Neha Gupta"/>
    <x v="1"/>
    <x v="1"/>
    <s v="Odisha"/>
    <m/>
    <x v="1"/>
    <x v="3"/>
    <s v="Prime Furnishings 710"/>
    <x v="3"/>
    <n v="5"/>
    <n v="923.45"/>
    <n v="4386.3874999999998"/>
    <n v="0.05"/>
    <n v="0.05"/>
    <s v="Valid"/>
    <s v="Clean"/>
    <n v="4386.3900000000003"/>
    <n v="3366.88"/>
    <n v="1019.5074999999997"/>
    <n v="1019.51"/>
    <n v="0.23242575329599052"/>
    <s v="Paid"/>
    <x v="2"/>
  </r>
  <r>
    <s v="ORD-2024-10130"/>
    <s v="Unique"/>
    <x v="0"/>
    <n v="2024"/>
    <d v="2024-07-19T00:00:00"/>
    <d v="2024-07-25T00:00:00"/>
    <n v="6"/>
    <s v="Valid"/>
    <s v="CUST-2588"/>
    <s v="Isha Nair"/>
    <x v="1"/>
    <x v="3"/>
    <s v="Goa"/>
    <m/>
    <x v="0"/>
    <x v="9"/>
    <s v="Elite Binders 723"/>
    <x v="3"/>
    <n v="7"/>
    <n v="2741.29"/>
    <n v="18229.5785"/>
    <n v="0.05"/>
    <n v="0.05"/>
    <s v="Valid"/>
    <s v="Clean"/>
    <n v="18229.580000000002"/>
    <n v="15139.15"/>
    <n v="3090.4285"/>
    <n v="3090.43"/>
    <n v="0.16952831606652483"/>
    <s v="Paid"/>
    <x v="0"/>
  </r>
  <r>
    <s v="ORD-2024-10131"/>
    <s v="Unique"/>
    <x v="10"/>
    <n v="2024"/>
    <d v="2024-01-27T00:00:00"/>
    <d v="2024-02-02T00:00:00"/>
    <n v="6"/>
    <s v="Valid"/>
    <s v="CUST-5435"/>
    <s v="Arjun Bose"/>
    <x v="0"/>
    <x v="3"/>
    <s v="Gujarat"/>
    <m/>
    <x v="0"/>
    <x v="7"/>
    <s v="Smart Labels 878"/>
    <x v="1"/>
    <n v="5"/>
    <n v="218.42"/>
    <n v="873.68"/>
    <n v="0.2"/>
    <n v="0.2"/>
    <s v="Valid"/>
    <s v="Clean"/>
    <n v="873.68"/>
    <n v="661.72"/>
    <n v="211.95999999999992"/>
    <n v="211.96"/>
    <n v="0.24260598846259501"/>
    <s v="Pending"/>
    <x v="1"/>
  </r>
  <r>
    <s v="ORD-2025-10132"/>
    <s v="Unique"/>
    <x v="7"/>
    <n v="2025"/>
    <d v="2025-09-29T00:00:00"/>
    <d v="2025-10-04T00:00:00"/>
    <n v="5"/>
    <s v="Valid"/>
    <s v="CUST-7637"/>
    <s v="Ananya Rao"/>
    <x v="3"/>
    <x v="1"/>
    <s v="Jharkhand"/>
    <m/>
    <x v="0"/>
    <x v="0"/>
    <s v="Pro Paper 934"/>
    <x v="1"/>
    <n v="9"/>
    <n v="373.91"/>
    <n v="2692.152"/>
    <n v="0.2"/>
    <n v="0.2"/>
    <s v="Valid"/>
    <s v="Clean"/>
    <n v="2692.15"/>
    <n v="2044.49"/>
    <n v="647.66200000000003"/>
    <n v="647.66"/>
    <n v="0.24057351930613077"/>
    <s v="Paid"/>
    <x v="0"/>
  </r>
  <r>
    <s v="ORD-2024-10133"/>
    <s v="Unique"/>
    <x v="3"/>
    <n v="2024"/>
    <d v="2024-11-04T00:00:00"/>
    <d v="2024-11-04T00:00:00"/>
    <n v="0"/>
    <s v="Valid"/>
    <s v="CUST-3602"/>
    <s v="Kabir Singh"/>
    <x v="2"/>
    <x v="1"/>
    <s v="Assam"/>
    <m/>
    <x v="2"/>
    <x v="12"/>
    <s v="Classic Machines 886"/>
    <x v="2"/>
    <n v="2"/>
    <n v="533.08000000000004"/>
    <n v="1066.1600000000001"/>
    <n v="0"/>
    <n v="0"/>
    <s v="Valid"/>
    <s v="Clean"/>
    <n v="1066.1600000000001"/>
    <n v="656.3"/>
    <n v="409.86000000000013"/>
    <n v="409.86"/>
    <n v="0.38442635251744578"/>
    <s v="Failed"/>
    <x v="1"/>
  </r>
  <r>
    <s v="ORD-2024-10134"/>
    <s v="Unique"/>
    <x v="8"/>
    <n v="2024"/>
    <d v="2024-12-13T00:00:00"/>
    <d v="2024-12-18T00:00:00"/>
    <n v="5"/>
    <s v="Valid"/>
    <s v="CUST-9441"/>
    <s v="Karan Malhotra"/>
    <x v="0"/>
    <x v="3"/>
    <s v="Goa"/>
    <m/>
    <x v="2"/>
    <x v="11"/>
    <s v="Prime Phones 419"/>
    <x v="0"/>
    <n v="8"/>
    <n v="3372.15"/>
    <n v="22930.62"/>
    <n v="0.15"/>
    <n v="0.15"/>
    <s v="Valid"/>
    <s v="Clean"/>
    <n v="22930.62"/>
    <n v="16875.55"/>
    <n v="6055.07"/>
    <n v="6055.07"/>
    <n v="0.26406045715292475"/>
    <s v="Paid"/>
    <x v="0"/>
  </r>
  <r>
    <s v="ORD-2025-10135"/>
    <s v="Unique"/>
    <x v="0"/>
    <n v="2025"/>
    <d v="2025-07-14T00:00:00"/>
    <d v="2025-07-14T00:00:00"/>
    <n v="0"/>
    <s v="Valid"/>
    <s v="CUST-7361"/>
    <s v="Vikram Iyer"/>
    <x v="3"/>
    <x v="1"/>
    <s v="West Bengal"/>
    <m/>
    <x v="1"/>
    <x v="10"/>
    <s v="Elite Bookcases 266"/>
    <x v="4"/>
    <n v="5"/>
    <n v="383.1"/>
    <n v="1436.625"/>
    <n v="0.25"/>
    <n v="0.25"/>
    <s v="Valid"/>
    <s v="Clean"/>
    <n v="1436.62"/>
    <n v="912.52"/>
    <n v="524.10500000000002"/>
    <n v="524.1"/>
    <n v="0.36481463435007172"/>
    <s v="Pending"/>
    <x v="1"/>
  </r>
  <r>
    <s v="ORD-2025-10136"/>
    <s v="Unique"/>
    <x v="1"/>
    <n v="2025"/>
    <d v="2025-08-24T00:00:00"/>
    <d v="2025-08-24T00:00:00"/>
    <n v="0"/>
    <s v="Valid"/>
    <s v="CUST-1148"/>
    <s v="Diya Patel"/>
    <x v="1"/>
    <x v="2"/>
    <s v="Kerala"/>
    <m/>
    <x v="1"/>
    <x v="10"/>
    <s v="Prime Bookcases 954"/>
    <x v="3"/>
    <n v="1"/>
    <n v="3424.78"/>
    <n v="3424.78"/>
    <n v="0"/>
    <n v="0"/>
    <s v="Valid"/>
    <s v="Clean"/>
    <n v="3424.78"/>
    <n v="1951.45"/>
    <n v="1473.3300000000002"/>
    <n v="1473.33"/>
    <n v="0.43019697615613262"/>
    <s v="Paid"/>
    <x v="0"/>
  </r>
  <r>
    <s v="ORD-2025-10137"/>
    <s v="Unique"/>
    <x v="6"/>
    <n v="2025"/>
    <d v="2025-02-09T00:00:00"/>
    <d v="2025-02-15T00:00:00"/>
    <n v="6"/>
    <s v="Valid"/>
    <s v="CUST-3350"/>
    <s v="Mira Das"/>
    <x v="3"/>
    <x v="1"/>
    <s v="Jharkhand"/>
    <m/>
    <x v="0"/>
    <x v="9"/>
    <s v="Max Binders 362"/>
    <x v="3"/>
    <n v="9"/>
    <n v="4330.33"/>
    <n v="31178.376000000004"/>
    <n v="0.2"/>
    <n v="0.2"/>
    <s v="Valid"/>
    <s v="Clean"/>
    <n v="31178.38"/>
    <n v="21421.09"/>
    <n v="9757.2860000000037"/>
    <n v="9757.2900000000009"/>
    <n v="0.31295051250257394"/>
    <s v="Paid"/>
    <x v="0"/>
  </r>
  <r>
    <s v="ORD-2025-10138"/>
    <s v="Unique"/>
    <x v="10"/>
    <n v="2025"/>
    <d v="2025-01-09T00:00:00"/>
    <d v="2025-01-09T00:00:00"/>
    <n v="0"/>
    <s v="Valid"/>
    <s v="CUST-7932"/>
    <s v="Sneha Kapoor"/>
    <x v="1"/>
    <x v="0"/>
    <s v="Rajasthan"/>
    <m/>
    <x v="1"/>
    <x v="4"/>
    <s v="Prime Chairs 261"/>
    <x v="1"/>
    <n v="8"/>
    <n v="2667.07"/>
    <n v="19202.904000000002"/>
    <n v="0.1"/>
    <n v="0.1"/>
    <s v="Valid"/>
    <s v="Clean"/>
    <n v="19202.900000000001"/>
    <n v="15526.62"/>
    <n v="3676.2840000000015"/>
    <n v="3676.28"/>
    <n v="0.1914440006457358"/>
    <s v="Paid"/>
    <x v="0"/>
  </r>
  <r>
    <s v="ORD-2024-10139"/>
    <s v="Unique"/>
    <x v="10"/>
    <n v="2024"/>
    <d v="2024-01-20T00:00:00"/>
    <d v="2024-01-26T00:00:00"/>
    <n v="6"/>
    <s v="Valid"/>
    <s v="CUST-7173"/>
    <s v="Diya Patel"/>
    <x v="3"/>
    <x v="1"/>
    <s v="Jharkhand"/>
    <m/>
    <x v="2"/>
    <x v="12"/>
    <s v="Basic Machines 185"/>
    <x v="3"/>
    <n v="8"/>
    <n v="4003.05"/>
    <n v="24018.300000000003"/>
    <n v="0.25"/>
    <n v="0.25"/>
    <s v="Valid"/>
    <s v="Clean"/>
    <n v="24018.3"/>
    <n v="14070.78"/>
    <n v="9947.5200000000023"/>
    <n v="9947.52"/>
    <n v="0.41416419979765434"/>
    <s v="Paid"/>
    <x v="0"/>
  </r>
  <r>
    <s v="ORD-2025-10140"/>
    <s v="Unique"/>
    <x v="11"/>
    <n v="2025"/>
    <d v="2025-03-02T00:00:00"/>
    <d v="2025-03-07T00:00:00"/>
    <n v="5"/>
    <s v="Valid"/>
    <s v="CUST-4225"/>
    <s v="Neha Gupta"/>
    <x v="3"/>
    <x v="2"/>
    <s v="Karnataka"/>
    <m/>
    <x v="0"/>
    <x v="7"/>
    <s v="Basic Labels 509"/>
    <x v="3"/>
    <n v="8"/>
    <n v="1287.6300000000001"/>
    <n v="10301.040000000001"/>
    <n v="0"/>
    <n v="0"/>
    <s v="Valid"/>
    <s v="Clean"/>
    <n v="10301.040000000001"/>
    <n v="6564.06"/>
    <n v="3736.9800000000005"/>
    <n v="3736.98"/>
    <n v="0.36277696232613404"/>
    <s v="Paid"/>
    <x v="0"/>
  </r>
  <r>
    <s v="ORD-2024-10141"/>
    <s v="Unique"/>
    <x v="4"/>
    <n v="2024"/>
    <d v="2024-05-31T00:00:00"/>
    <d v="2024-06-01T00:00:00"/>
    <n v="1"/>
    <s v="Valid"/>
    <s v="CUST-2149"/>
    <s v="Mira Das"/>
    <x v="2"/>
    <x v="2"/>
    <s v="Karnataka"/>
    <m/>
    <x v="1"/>
    <x v="10"/>
    <s v="Elite Bookcases 696"/>
    <x v="1"/>
    <n v="3"/>
    <n v="2914.55"/>
    <n v="8743.6500000000015"/>
    <n v="0"/>
    <n v="0"/>
    <s v="Valid"/>
    <s v="Clean"/>
    <n v="8743.65"/>
    <n v="6603.76"/>
    <n v="2139.8900000000012"/>
    <n v="2139.89"/>
    <n v="0.24473646589239048"/>
    <s v="Paid"/>
    <x v="0"/>
  </r>
  <r>
    <s v="ORD-2024-10142"/>
    <s v="Unique"/>
    <x v="11"/>
    <n v="2024"/>
    <d v="2024-03-23T00:00:00"/>
    <d v="2024-03-29T00:00:00"/>
    <n v="6"/>
    <s v="Valid"/>
    <s v="CUST-3314"/>
    <s v="Priya Menon"/>
    <x v="2"/>
    <x v="0"/>
    <s v="Delhi"/>
    <m/>
    <x v="1"/>
    <x v="10"/>
    <s v="Elite Bookcases 772"/>
    <x v="1"/>
    <n v="7"/>
    <n v="634.29"/>
    <n v="3996.027"/>
    <n v="0.1"/>
    <n v="0.1"/>
    <s v="Valid"/>
    <s v="Clean"/>
    <n v="3996.03"/>
    <n v="2859.51"/>
    <n v="1136.5169999999998"/>
    <n v="1136.52"/>
    <n v="0.28441227918709316"/>
    <s v="Paid"/>
    <x v="2"/>
  </r>
  <r>
    <s v="ORD-2024-10143"/>
    <s v="Duplicate Order ID"/>
    <x v="11"/>
    <n v="2024"/>
    <d v="2024-03-30T00:00:00"/>
    <d v="2024-03-26T00:00:00"/>
    <n v="-4"/>
    <s v="Invalid: Ship Date Before Order Date"/>
    <s v="CUST-8944"/>
    <s v="Aditi Sen"/>
    <x v="3"/>
    <x v="0"/>
    <s v="Rajasthan"/>
    <m/>
    <x v="2"/>
    <x v="11"/>
    <s v="Classic Phones 142"/>
    <x v="0"/>
    <n v="5"/>
    <n v="907.54"/>
    <n v="3857.0449999999996"/>
    <n v="0.15"/>
    <n v="0.15"/>
    <s v="Valid"/>
    <s v="Invalid"/>
    <n v="3857.04"/>
    <n v="2769.26"/>
    <n v="1087.7849999999994"/>
    <n v="1087.78"/>
    <n v="0.28202455769190882"/>
    <s v="Paid"/>
    <x v="0"/>
  </r>
  <r>
    <s v="ORD-2024-10144"/>
    <s v="Unique"/>
    <x v="11"/>
    <n v="2024"/>
    <d v="2024-03-24T00:00:00"/>
    <d v="2024-03-26T00:00:00"/>
    <n v="2"/>
    <s v="Valid"/>
    <s v="CUST-3144"/>
    <s v="Priya Menon"/>
    <x v="0"/>
    <x v="3"/>
    <s v="Gujarat"/>
    <m/>
    <x v="0"/>
    <x v="0"/>
    <s v="Pro Paper 575"/>
    <x v="0"/>
    <n v="1"/>
    <n v="3409.5"/>
    <n v="3068.55"/>
    <n v="0.1"/>
    <n v="0.1"/>
    <s v="Valid"/>
    <s v="Clean"/>
    <n v="3068.55"/>
    <n v="1916.16"/>
    <n v="1152.3900000000001"/>
    <n v="1152.3900000000001"/>
    <n v="0.3755487119323459"/>
    <s v="Paid"/>
    <x v="2"/>
  </r>
  <r>
    <s v="ORD-2024-10145"/>
    <s v="Unique"/>
    <x v="2"/>
    <n v="2024"/>
    <d v="2024-06-07T00:00:00"/>
    <d v="2024-06-15T00:00:00"/>
    <n v="8"/>
    <s v="Valid"/>
    <s v="CUST-6747"/>
    <s v="Kabir Singh"/>
    <x v="1"/>
    <x v="2"/>
    <s v="Telangana"/>
    <m/>
    <x v="2"/>
    <x v="5"/>
    <s v="Elite Accessories 905"/>
    <x v="2"/>
    <n v="7"/>
    <n v="2147.9899999999998"/>
    <n v="11276.947499999998"/>
    <n v="0.25"/>
    <n v="0.25"/>
    <s v="Valid"/>
    <s v="Clean"/>
    <n v="11276.95"/>
    <n v="6908.76"/>
    <n v="4368.1874999999982"/>
    <n v="4368.1899999999996"/>
    <n v="0.38735562363937054"/>
    <s v="Refunded"/>
    <x v="2"/>
  </r>
  <r>
    <s v="ORD-2025-10146"/>
    <s v="Unique"/>
    <x v="5"/>
    <n v="2025"/>
    <d v="2025-04-11T00:00:00"/>
    <d v="2025-04-13T00:00:00"/>
    <n v="2"/>
    <s v="Valid"/>
    <s v="CUST-6161"/>
    <s v="Mira Das"/>
    <x v="1"/>
    <x v="3"/>
    <s v="Goa"/>
    <m/>
    <x v="0"/>
    <x v="0"/>
    <s v="Smart Paper 899"/>
    <x v="3"/>
    <n v="4"/>
    <n v="4182.1499999999996"/>
    <n v="15055.74"/>
    <n v="0.1"/>
    <n v="0.1"/>
    <s v="Valid"/>
    <s v="Clean"/>
    <n v="15055.74"/>
    <n v="9808.83"/>
    <n v="5246.91"/>
    <n v="5246.91"/>
    <n v="0.34849897779850075"/>
    <s v="Paid"/>
    <x v="0"/>
  </r>
  <r>
    <s v="ORD-2025-10147"/>
    <s v="Unique"/>
    <x v="0"/>
    <n v="2025"/>
    <d v="2025-07-30T00:00:00"/>
    <d v="2025-08-01T00:00:00"/>
    <n v="2"/>
    <s v="Valid"/>
    <s v="CUST-1460"/>
    <s v="Sneha Kapoor"/>
    <x v="1"/>
    <x v="2"/>
    <s v="Tamil Nadu"/>
    <m/>
    <x v="0"/>
    <x v="8"/>
    <s v="Classic Storage 423"/>
    <x v="1"/>
    <n v="9"/>
    <n v="3165.43"/>
    <n v="25639.983"/>
    <n v="0.1"/>
    <n v="0.1"/>
    <s v="Valid"/>
    <s v="Clean"/>
    <n v="25639.98"/>
    <n v="21635.08"/>
    <n v="4004.9029999999984"/>
    <n v="4004.9"/>
    <n v="0.1561974697328157"/>
    <s v="Paid"/>
    <x v="0"/>
  </r>
  <r>
    <s v="ORD-2024-10148"/>
    <s v="Unique"/>
    <x v="8"/>
    <n v="2024"/>
    <d v="2024-12-23T00:00:00"/>
    <d v="2024-12-30T00:00:00"/>
    <n v="7"/>
    <s v="Valid"/>
    <s v="CUST-2692"/>
    <s v="Priya Menon"/>
    <x v="3"/>
    <x v="3"/>
    <s v="Goa"/>
    <m/>
    <x v="1"/>
    <x v="3"/>
    <s v="Classic Furnishings 743"/>
    <x v="2"/>
    <n v="8"/>
    <n v="386.1"/>
    <n v="2779.92"/>
    <n v="0.1"/>
    <n v="0.1"/>
    <s v="Valid"/>
    <s v="Clean"/>
    <n v="2779.92"/>
    <n v="1744.05"/>
    <n v="1035.8700000000001"/>
    <n v="1035.8699999999999"/>
    <n v="0.37262583095916424"/>
    <s v="Paid"/>
    <x v="0"/>
  </r>
  <r>
    <s v="ORD-2025-10149"/>
    <s v="Unique"/>
    <x v="6"/>
    <n v="2025"/>
    <d v="2025-02-09T00:00:00"/>
    <d v="2025-02-13T00:00:00"/>
    <n v="4"/>
    <s v="Valid"/>
    <s v="CUST-2822"/>
    <s v="Mira Das"/>
    <x v="3"/>
    <x v="3"/>
    <s v="Madhya Pradesh"/>
    <m/>
    <x v="2"/>
    <x v="11"/>
    <s v="Smart Phones 336"/>
    <x v="4"/>
    <n v="8"/>
    <n v="1696.07"/>
    <n v="10176.42"/>
    <n v="0.25"/>
    <n v="0.25"/>
    <s v="Valid"/>
    <s v="Clean"/>
    <n v="10176.42"/>
    <n v="7604.47"/>
    <n v="2571.9499999999998"/>
    <n v="2571.9499999999998"/>
    <n v="0.252736227474888"/>
    <s v="Paid"/>
    <x v="0"/>
  </r>
  <r>
    <s v="ORD-2024-10150"/>
    <s v="Unique"/>
    <x v="10"/>
    <n v="2024"/>
    <d v="2024-01-30T00:00:00"/>
    <d v="2024-01-30T00:00:00"/>
    <n v="0"/>
    <s v="Valid"/>
    <s v="CUST-5876"/>
    <s v="Aarav Sharma"/>
    <x v="1"/>
    <x v="3"/>
    <s v="Rajasthan"/>
    <m/>
    <x v="2"/>
    <x v="6"/>
    <s v="Eco Copiers 381"/>
    <x v="1"/>
    <n v="7"/>
    <n v="2527.61"/>
    <n v="13269.952499999999"/>
    <n v="0.25"/>
    <n v="0.25"/>
    <s v="Valid"/>
    <s v="Clean"/>
    <n v="13269.95"/>
    <n v="8977.1"/>
    <n v="4292.8524999999991"/>
    <n v="4292.8500000000004"/>
    <n v="0.32350159571060932"/>
    <s v="Paid"/>
    <x v="0"/>
  </r>
  <r>
    <s v="ORD-2024-10151"/>
    <s v="Unique"/>
    <x v="11"/>
    <n v="2024"/>
    <d v="2024-03-04T00:00:00"/>
    <d v="2024-03-12T00:00:00"/>
    <n v="8"/>
    <s v="Valid"/>
    <s v="CUST-4661"/>
    <s v="Arjun Bose"/>
    <x v="0"/>
    <x v="4"/>
    <s v="Gujarat"/>
    <m/>
    <x v="1"/>
    <x v="10"/>
    <s v="Max Bookcases 595"/>
    <x v="2"/>
    <n v="1"/>
    <n v="1554.12"/>
    <n v="1398.7079999999999"/>
    <n v="0.1"/>
    <n v="0.1"/>
    <s v="Valid"/>
    <s v="Clean"/>
    <n v="1398.71"/>
    <n v="1056.92"/>
    <n v="341.78799999999978"/>
    <n v="341.79"/>
    <n v="0.24436087537802689"/>
    <s v="Paid"/>
    <x v="0"/>
  </r>
  <r>
    <s v="ORD-2024-10152"/>
    <s v="Unique"/>
    <x v="2"/>
    <n v="2024"/>
    <d v="2024-06-27T00:00:00"/>
    <d v="2024-06-27T00:00:00"/>
    <n v="0"/>
    <s v="Valid"/>
    <s v="CUST-6011"/>
    <s v="Neha Gupta"/>
    <x v="3"/>
    <x v="4"/>
    <s v="Madhya Pradesh"/>
    <m/>
    <x v="2"/>
    <x v="6"/>
    <s v="Max Copiers 992"/>
    <x v="3"/>
    <n v="2"/>
    <n v="3859.11"/>
    <n v="7718.22"/>
    <n v="0"/>
    <n v="0"/>
    <s v="Valid"/>
    <s v="Clean"/>
    <n v="7718.22"/>
    <n v="5355.93"/>
    <n v="2362.29"/>
    <n v="2362.29"/>
    <n v="0.30606668376905555"/>
    <s v="Pending"/>
    <x v="2"/>
  </r>
  <r>
    <s v="ORD-2024-10153"/>
    <s v="Unique"/>
    <x v="2"/>
    <n v="2024"/>
    <d v="2024-06-14T00:00:00"/>
    <d v="2024-06-17T00:00:00"/>
    <n v="3"/>
    <s v="Valid"/>
    <s v="CUST-6160"/>
    <s v="Kabir Singh"/>
    <x v="1"/>
    <x v="2"/>
    <s v="Kerala"/>
    <m/>
    <x v="1"/>
    <x v="1"/>
    <s v="Pro Tables 407"/>
    <x v="0"/>
    <n v="6"/>
    <n v="1088.04"/>
    <n v="5875.4160000000002"/>
    <n v="0.1"/>
    <n v="0.1"/>
    <s v="Valid"/>
    <s v="Clean"/>
    <n v="5875.42"/>
    <n v="4380.55"/>
    <n v="1494.866"/>
    <n v="1494.87"/>
    <n v="0.25442776856803428"/>
    <s v="Pending"/>
    <x v="2"/>
  </r>
  <r>
    <s v="ORD-2025-10154"/>
    <s v="Unique"/>
    <x v="7"/>
    <n v="2025"/>
    <d v="2025-09-23T00:00:00"/>
    <d v="2025-09-25T00:00:00"/>
    <n v="2"/>
    <s v="Valid"/>
    <s v="CUST-6971"/>
    <s v="Aditi Sen"/>
    <x v="0"/>
    <x v="1"/>
    <s v="Odisha"/>
    <m/>
    <x v="0"/>
    <x v="7"/>
    <s v="Prime Labels 559"/>
    <x v="3"/>
    <n v="7"/>
    <n v="3280.31"/>
    <n v="22962.17"/>
    <n v="0"/>
    <n v="0"/>
    <s v="Valid"/>
    <s v="Clean"/>
    <n v="22962.17"/>
    <n v="15716.5"/>
    <n v="7245.6699999999983"/>
    <n v="7245.67"/>
    <n v="0.31554813852523522"/>
    <s v="Refunded"/>
    <x v="2"/>
  </r>
  <r>
    <s v="ORD-2024-10155"/>
    <s v="Unique"/>
    <x v="6"/>
    <n v="2024"/>
    <d v="2024-02-12T00:00:00"/>
    <d v="2024-02-11T00:00:00"/>
    <n v="-1"/>
    <s v="Invalid: Ship Date Before Order Date"/>
    <s v="CUST-7764"/>
    <s v="Priya Menon"/>
    <x v="0"/>
    <x v="2"/>
    <s v="Tamil Nadu"/>
    <m/>
    <x v="1"/>
    <x v="10"/>
    <s v="Classic Bookcases 847"/>
    <x v="1"/>
    <n v="1"/>
    <n v="2599.12"/>
    <n v="2209.252"/>
    <n v="0.15"/>
    <n v="0.15"/>
    <s v="Valid"/>
    <s v="Invalid"/>
    <n v="2209.25"/>
    <n v="1523.78"/>
    <n v="685.47199999999998"/>
    <n v="685.47"/>
    <n v="0.31027271698540232"/>
    <s v="Paid"/>
    <x v="0"/>
  </r>
  <r>
    <s v="ORD-2025-10156"/>
    <s v="Unique"/>
    <x v="10"/>
    <n v="2025"/>
    <d v="2025-01-26T00:00:00"/>
    <d v="2025-02-03T00:00:00"/>
    <n v="8"/>
    <s v="Valid"/>
    <s v="CUST-8327"/>
    <s v="Karan Malhotra"/>
    <x v="2"/>
    <x v="3"/>
    <s v="Rajasthan"/>
    <m/>
    <x v="1"/>
    <x v="3"/>
    <s v="Classic Furnishings 655"/>
    <x v="1"/>
    <n v="3"/>
    <n v="2859.32"/>
    <n v="7720.1640000000007"/>
    <n v="0.1"/>
    <n v="0.1"/>
    <s v="Valid"/>
    <s v="Clean"/>
    <n v="7720.16"/>
    <n v="5881"/>
    <n v="1839.1640000000007"/>
    <n v="1839.16"/>
    <n v="0.2382282232492591"/>
    <s v="Refunded"/>
    <x v="2"/>
  </r>
  <r>
    <s v="ORD-2025-10157"/>
    <s v="Unique"/>
    <x v="11"/>
    <n v="2025"/>
    <d v="2025-03-27T00:00:00"/>
    <d v="2025-03-27T00:00:00"/>
    <n v="0"/>
    <s v="Valid"/>
    <s v="CUST-4058"/>
    <s v="Vikram Iyer"/>
    <x v="1"/>
    <x v="1"/>
    <s v="Bihar"/>
    <m/>
    <x v="2"/>
    <x v="12"/>
    <s v="Eco Machines 657"/>
    <x v="0"/>
    <n v="7"/>
    <n v="2305.37"/>
    <n v="12103.192500000001"/>
    <n v="0.25"/>
    <n v="0.25"/>
    <s v="Valid"/>
    <s v="Clean"/>
    <n v="12103.19"/>
    <n v="6717.87"/>
    <n v="5385.3225000000011"/>
    <n v="5385.32"/>
    <n v="0.444950463472853"/>
    <s v="Paid"/>
    <x v="0"/>
  </r>
  <r>
    <s v="ORD-2024-10158"/>
    <s v="Unique"/>
    <x v="9"/>
    <n v="2024"/>
    <d v="2024-10-22T00:00:00"/>
    <d v="2024-10-24T00:00:00"/>
    <n v="2"/>
    <s v="Valid"/>
    <s v="CUST-1142"/>
    <s v="Rohan Mehta"/>
    <x v="1"/>
    <x v="2"/>
    <s v="Andhra Pradesh"/>
    <m/>
    <x v="1"/>
    <x v="10"/>
    <s v="Pro Bookcases 430"/>
    <x v="3"/>
    <n v="3"/>
    <n v="915.84"/>
    <n v="2335.3919999999998"/>
    <n v="0.15"/>
    <n v="0.15"/>
    <s v="Valid"/>
    <s v="Clean"/>
    <n v="2335.39"/>
    <n v="1466.15"/>
    <n v="869.24199999999973"/>
    <n v="869.24"/>
    <n v="0.37220335789739617"/>
    <s v="Paid"/>
    <x v="0"/>
  </r>
  <r>
    <s v="ORD-2024-10159"/>
    <s v="Unique"/>
    <x v="7"/>
    <n v="2024"/>
    <d v="2024-09-09T00:00:00"/>
    <d v="2024-09-11T00:00:00"/>
    <n v="2"/>
    <s v="Valid"/>
    <s v="CUST-2324"/>
    <s v="Neha Gupta"/>
    <x v="3"/>
    <x v="2"/>
    <s v="Telangana"/>
    <m/>
    <x v="1"/>
    <x v="10"/>
    <s v="Max Bookcases 881"/>
    <x v="2"/>
    <n v="1"/>
    <n v="4199.54"/>
    <n v="3989.5629999999996"/>
    <n v="0.05"/>
    <n v="0.05"/>
    <s v="Valid"/>
    <s v="Clean"/>
    <n v="3989.56"/>
    <n v="2381.38"/>
    <n v="1608.1829999999995"/>
    <n v="1608.18"/>
    <n v="0.40309708338764177"/>
    <s v="Paid"/>
    <x v="0"/>
  </r>
  <r>
    <s v="ORD-2025-10160"/>
    <s v="Unique"/>
    <x v="10"/>
    <n v="2025"/>
    <d v="2025-01-30T00:00:00"/>
    <d v="2025-02-04T00:00:00"/>
    <n v="5"/>
    <s v="Valid"/>
    <s v="CUST-7717"/>
    <s v="Priya Menon"/>
    <x v="2"/>
    <x v="0"/>
    <s v="Haryana"/>
    <m/>
    <x v="1"/>
    <x v="4"/>
    <s v="Elite Chairs 998"/>
    <x v="1"/>
    <n v="9"/>
    <n v="4430.5"/>
    <n v="33893.324999999997"/>
    <n v="0.15"/>
    <n v="0.15"/>
    <s v="Valid"/>
    <s v="Clean"/>
    <n v="33893.32"/>
    <n v="25750.35"/>
    <n v="8142.9749999999985"/>
    <n v="8142.97"/>
    <n v="0.24025294659832677"/>
    <s v="Pending"/>
    <x v="1"/>
  </r>
  <r>
    <s v="ORD-2025-10161"/>
    <s v="Unique"/>
    <x v="9"/>
    <n v="2025"/>
    <d v="2025-10-08T00:00:00"/>
    <d v="2025-10-06T00:00:00"/>
    <n v="-2"/>
    <s v="Invalid: Ship Date Before Order Date"/>
    <s v="CUST-4932"/>
    <s v="Vikram Iyer"/>
    <x v="1"/>
    <x v="3"/>
    <s v="Maharashtra"/>
    <m/>
    <x v="0"/>
    <x v="0"/>
    <s v="Max Paper 113"/>
    <x v="0"/>
    <n v="4"/>
    <n v="1260.42"/>
    <n v="4789.5960000000005"/>
    <n v="0.05"/>
    <n v="0.05"/>
    <s v="Valid"/>
    <s v="Invalid"/>
    <n v="4789.6000000000004"/>
    <n v="4037.64"/>
    <n v="751.95600000000059"/>
    <n v="751.96"/>
    <n v="0.15699849674294303"/>
    <s v="Pending"/>
    <x v="1"/>
  </r>
  <r>
    <s v="ORD-2025-10162"/>
    <s v="Unique"/>
    <x v="0"/>
    <n v="2025"/>
    <d v="2025-07-24T00:00:00"/>
    <d v="2025-07-30T00:00:00"/>
    <n v="6"/>
    <s v="Valid"/>
    <s v="CUST-2367"/>
    <s v="Arjun Bose"/>
    <x v="0"/>
    <x v="3"/>
    <s v="Rajasthan"/>
    <m/>
    <x v="0"/>
    <x v="9"/>
    <s v="Smart Binders 267"/>
    <x v="3"/>
    <n v="1"/>
    <n v="1643.41"/>
    <n v="1643.41"/>
    <n v="0"/>
    <n v="0"/>
    <s v="Valid"/>
    <s v="Clean"/>
    <n v="1643.41"/>
    <n v="907.4"/>
    <n v="736.0100000000001"/>
    <n v="736.01"/>
    <n v="0.4478553738872223"/>
    <s v="Pending"/>
    <x v="1"/>
  </r>
  <r>
    <s v="ORD-2024-10163"/>
    <s v="Unique"/>
    <x v="11"/>
    <n v="2024"/>
    <d v="2024-03-09T00:00:00"/>
    <d v="2024-03-14T00:00:00"/>
    <n v="5"/>
    <s v="Valid"/>
    <s v="CUST-4830"/>
    <s v="Neha Gupta"/>
    <x v="1"/>
    <x v="3"/>
    <s v="Goa"/>
    <m/>
    <x v="1"/>
    <x v="3"/>
    <s v="Pro Furnishings 108"/>
    <x v="0"/>
    <n v="8"/>
    <n v="4472.84"/>
    <n v="35782.720000000001"/>
    <n v="0"/>
    <n v="0"/>
    <s v="Valid"/>
    <s v="Clean"/>
    <n v="35997.620000000003"/>
    <n v="26424.41"/>
    <n v="9358.3100000000013"/>
    <n v="9358.31"/>
    <n v="0.25997024247714151"/>
    <s v="Pending"/>
    <x v="2"/>
  </r>
  <r>
    <s v="ORD-2025-10164"/>
    <s v="Unique"/>
    <x v="7"/>
    <n v="2025"/>
    <d v="2025-09-21T00:00:00"/>
    <d v="2025-09-26T00:00:00"/>
    <n v="5"/>
    <s v="Valid"/>
    <s v="CUST-2548"/>
    <s v="Rohan Mehta"/>
    <x v="3"/>
    <x v="3"/>
    <s v="Gujarat"/>
    <m/>
    <x v="1"/>
    <x v="1"/>
    <s v="Elite Tables 389"/>
    <x v="4"/>
    <n v="6"/>
    <n v="2903.58"/>
    <n v="15679.332"/>
    <n v="0.1"/>
    <n v="0.1"/>
    <s v="Valid"/>
    <s v="Clean"/>
    <n v="15679.33"/>
    <n v="12477.82"/>
    <n v="3201.5120000000006"/>
    <n v="3201.51"/>
    <n v="0.20418665848604503"/>
    <s v="Pending"/>
    <x v="2"/>
  </r>
  <r>
    <s v="ORD-2025-10165"/>
    <s v="Unique"/>
    <x v="7"/>
    <n v="2025"/>
    <d v="2025-09-09T00:00:00"/>
    <d v="2025-09-14T00:00:00"/>
    <n v="5"/>
    <s v="Valid"/>
    <s v="CUST-3833"/>
    <s v="Rahul Verma"/>
    <x v="1"/>
    <x v="1"/>
    <s v="West Bengal"/>
    <m/>
    <x v="1"/>
    <x v="10"/>
    <s v="Pro Bookcases 595"/>
    <x v="0"/>
    <n v="1"/>
    <n v="3154.42"/>
    <n v="2365.8150000000001"/>
    <n v="0.25"/>
    <n v="0.25"/>
    <s v="Valid"/>
    <s v="Clean"/>
    <n v="2365.8200000000002"/>
    <n v="1547.99"/>
    <n v="817.82500000000005"/>
    <n v="817.83"/>
    <n v="0.34568563965136823"/>
    <s v="Paid"/>
    <x v="0"/>
  </r>
  <r>
    <s v="ORD-2024-10166"/>
    <s v="Unique"/>
    <x v="3"/>
    <n v="2024"/>
    <d v="2024-11-22T00:00:00"/>
    <d v="2024-11-29T00:00:00"/>
    <n v="7"/>
    <s v="Valid"/>
    <s v="CUST-4598"/>
    <s v="Mira Das"/>
    <x v="3"/>
    <x v="1"/>
    <s v="Bihar"/>
    <m/>
    <x v="1"/>
    <x v="4"/>
    <s v="Max Chairs 148"/>
    <x v="3"/>
    <n v="4"/>
    <n v="3422.99"/>
    <n v="10268.969999999999"/>
    <n v="0.25"/>
    <n v="0.25"/>
    <s v="Valid"/>
    <s v="Clean"/>
    <n v="10268.969999999999"/>
    <n v="6470.92"/>
    <n v="3798.0499999999993"/>
    <n v="3798.05"/>
    <n v="0.36985695741637187"/>
    <s v="Paid"/>
    <x v="0"/>
  </r>
  <r>
    <s v="ORD-2025-10167"/>
    <s v="Unique"/>
    <x v="6"/>
    <n v="2025"/>
    <d v="2025-02-20T00:00:00"/>
    <d v="2025-02-26T00:00:00"/>
    <n v="6"/>
    <s v="Valid"/>
    <s v="CUST-7215"/>
    <s v="Karan Malhotra"/>
    <x v="1"/>
    <x v="3"/>
    <s v="Gujarat"/>
    <m/>
    <x v="0"/>
    <x v="7"/>
    <s v="Basic Labels 671"/>
    <x v="2"/>
    <n v="1"/>
    <n v="2557.85"/>
    <n v="2046.28"/>
    <n v="0.2"/>
    <n v="0.2"/>
    <s v="Valid"/>
    <s v="Clean"/>
    <n v="2046.28"/>
    <n v="1449.54"/>
    <n v="596.74"/>
    <n v="596.74"/>
    <n v="0.29162186992982386"/>
    <s v="Paid"/>
    <x v="0"/>
  </r>
  <r>
    <s v="ORD-2025-10168"/>
    <s v="Unique"/>
    <x v="1"/>
    <n v="2025"/>
    <d v="2025-08-18T00:00:00"/>
    <d v="2025-08-18T00:00:00"/>
    <n v="0"/>
    <s v="Valid"/>
    <s v="CUST-7770"/>
    <s v="Arjun Bose"/>
    <x v="3"/>
    <x v="2"/>
    <s v="Karnataka"/>
    <m/>
    <x v="0"/>
    <x v="8"/>
    <s v="Elite Storage 628"/>
    <x v="2"/>
    <n v="9"/>
    <n v="3030.93"/>
    <n v="23186.6145"/>
    <n v="0.15"/>
    <n v="0.15"/>
    <s v="Valid"/>
    <s v="Clean"/>
    <n v="23186.61"/>
    <n v="17906.54"/>
    <n v="5280.0744999999988"/>
    <n v="5280.07"/>
    <n v="0.22772065429142077"/>
    <s v="Paid"/>
    <x v="2"/>
  </r>
  <r>
    <s v="ORD-2025-10169"/>
    <s v="Unique"/>
    <x v="10"/>
    <n v="2025"/>
    <d v="2025-01-20T00:00:00"/>
    <d v="2025-01-23T00:00:00"/>
    <n v="3"/>
    <s v="Valid"/>
    <s v="CUST-9756"/>
    <s v="Kabir Singh"/>
    <x v="0"/>
    <x v="3"/>
    <s v="Maharashtra"/>
    <m/>
    <x v="2"/>
    <x v="5"/>
    <s v="Eco Accessories 590"/>
    <x v="1"/>
    <n v="5"/>
    <n v="639.27"/>
    <n v="2557.08"/>
    <n v="0.2"/>
    <n v="0.2"/>
    <s v="Valid"/>
    <s v="Clean"/>
    <n v="2557.08"/>
    <n v="2025.69"/>
    <n v="531.38999999999987"/>
    <n v="531.39"/>
    <n v="0.20781125346097892"/>
    <s v="Paid"/>
    <x v="1"/>
  </r>
  <r>
    <s v="ORD-2025-10170"/>
    <s v="Unique"/>
    <x v="7"/>
    <n v="2025"/>
    <d v="2025-09-13T00:00:00"/>
    <d v="2025-09-13T00:00:00"/>
    <n v="0"/>
    <s v="Valid"/>
    <s v="CUST-2261"/>
    <s v="Diya Patel"/>
    <x v="0"/>
    <x v="1"/>
    <s v="Assam"/>
    <m/>
    <x v="0"/>
    <x v="2"/>
    <s v="Pro Art 734"/>
    <x v="3"/>
    <n v="8"/>
    <n v="733.9"/>
    <n v="5577.6399999999994"/>
    <n v="0.05"/>
    <n v="0.05"/>
    <s v="Valid"/>
    <s v="Clean"/>
    <n v="5577.64"/>
    <n v="3541.29"/>
    <n v="2036.3499999999995"/>
    <n v="2036.35"/>
    <n v="0.36509168752375554"/>
    <s v="Pending"/>
    <x v="2"/>
  </r>
  <r>
    <s v="ORD-2025-10171"/>
    <s v="Duplicate Order ID"/>
    <x v="7"/>
    <n v="2025"/>
    <d v="2025-09-07T00:00:00"/>
    <d v="2025-09-15T00:00:00"/>
    <n v="8"/>
    <s v="Valid"/>
    <s v="CUST-3734"/>
    <s v="Rohan Mehta"/>
    <x v="2"/>
    <x v="1"/>
    <s v="Bihar"/>
    <m/>
    <x v="2"/>
    <x v="6"/>
    <s v="Eco Copiers 102"/>
    <x v="3"/>
    <n v="3"/>
    <n v="1711.32"/>
    <n v="5133.96"/>
    <n v="0"/>
    <n v="0"/>
    <s v="Valid"/>
    <s v="Clean"/>
    <n v="5133.96"/>
    <n v="3930"/>
    <n v="1203.96"/>
    <n v="1203.96"/>
    <n v="0.23450903396208775"/>
    <s v="Paid"/>
    <x v="0"/>
  </r>
  <r>
    <s v="ORD-2025-10172"/>
    <s v="Unique"/>
    <x v="6"/>
    <n v="2025"/>
    <d v="2025-02-23T00:00:00"/>
    <d v="2025-02-25T00:00:00"/>
    <n v="2"/>
    <s v="Valid"/>
    <s v="CUST-3436"/>
    <s v="Karan Malhotra"/>
    <x v="2"/>
    <x v="1"/>
    <s v="Bihar"/>
    <m/>
    <x v="0"/>
    <x v="7"/>
    <s v="Basic Labels 876"/>
    <x v="1"/>
    <n v="5"/>
    <n v="4246.2700000000004"/>
    <n v="15923.512500000001"/>
    <n v="0.25"/>
    <n v="0.25"/>
    <s v="Valid"/>
    <s v="Clean"/>
    <n v="15923.51"/>
    <n v="11291.8"/>
    <n v="4631.7125000000015"/>
    <n v="4631.71"/>
    <n v="0.29087242699630922"/>
    <s v="Paid"/>
    <x v="0"/>
  </r>
  <r>
    <s v="ORD-2025-10173"/>
    <s v="Unique"/>
    <x v="1"/>
    <n v="2025"/>
    <d v="2025-08-02T00:00:00"/>
    <d v="2025-08-10T00:00:00"/>
    <n v="8"/>
    <s v="Valid"/>
    <s v="CUST-4845"/>
    <s v="Karan Malhotra"/>
    <x v="2"/>
    <x v="0"/>
    <s v="Delhi"/>
    <m/>
    <x v="1"/>
    <x v="3"/>
    <s v="Prime Furnishings 381"/>
    <x v="1"/>
    <n v="9"/>
    <n v="2962.62"/>
    <n v="23997.221999999998"/>
    <n v="0.1"/>
    <n v="0.1"/>
    <s v="Valid"/>
    <s v="Clean"/>
    <n v="23997.22"/>
    <n v="16134.63"/>
    <n v="7862.5919999999987"/>
    <n v="7862.59"/>
    <n v="0.32764586897982351"/>
    <s v="Refunded"/>
    <x v="2"/>
  </r>
  <r>
    <s v="ORD-2024-10174"/>
    <s v="Unique"/>
    <x v="4"/>
    <n v="2024"/>
    <d v="2024-05-02T00:00:00"/>
    <d v="2024-05-08T00:00:00"/>
    <n v="6"/>
    <s v="Valid"/>
    <s v="CUST-6153"/>
    <s v="Priya Menon"/>
    <x v="3"/>
    <x v="0"/>
    <s v="Punjab"/>
    <m/>
    <x v="2"/>
    <x v="6"/>
    <s v="Prime Copiers 440"/>
    <x v="0"/>
    <n v="1"/>
    <n v="2312.25"/>
    <n v="1734.1875"/>
    <n v="0.25"/>
    <n v="0.25"/>
    <s v="Valid"/>
    <s v="Clean"/>
    <n v="1734.19"/>
    <n v="1386.07"/>
    <n v="348.11750000000006"/>
    <n v="348.12"/>
    <n v="0.20073925002450713"/>
    <s v="Paid"/>
    <x v="0"/>
  </r>
  <r>
    <s v="ORD-2025-10175"/>
    <s v="Unique"/>
    <x v="7"/>
    <n v="2025"/>
    <d v="2025-09-28T00:00:00"/>
    <d v="2025-10-04T00:00:00"/>
    <n v="6"/>
    <s v="Valid"/>
    <s v="CUST-5475"/>
    <s v="Karan Malhotra"/>
    <x v="1"/>
    <x v="2"/>
    <s v="Karnataka"/>
    <m/>
    <x v="1"/>
    <x v="10"/>
    <s v="Pro Bookcases 319"/>
    <x v="2"/>
    <n v="6"/>
    <n v="1620.53"/>
    <n v="8264.7029999999995"/>
    <n v="0.15"/>
    <n v="0.15"/>
    <s v="Valid"/>
    <s v="Clean"/>
    <n v="8264.7000000000007"/>
    <n v="4768.75"/>
    <n v="3495.9529999999995"/>
    <n v="3495.95"/>
    <n v="0.42299780996285402"/>
    <s v="Pending"/>
    <x v="2"/>
  </r>
  <r>
    <s v="ORD-2024-10176"/>
    <s v="Unique"/>
    <x v="10"/>
    <n v="2024"/>
    <d v="2024-01-27T00:00:00"/>
    <d v="2024-02-03T00:00:00"/>
    <n v="7"/>
    <s v="Valid"/>
    <s v="CUST-5580"/>
    <s v="Arjun Bose"/>
    <x v="1"/>
    <x v="1"/>
    <s v="Bihar"/>
    <m/>
    <x v="2"/>
    <x v="12"/>
    <s v="Basic Machines 584"/>
    <x v="1"/>
    <n v="7"/>
    <n v="2673.42"/>
    <n v="15906.849000000002"/>
    <n v="0.15"/>
    <n v="0.15"/>
    <s v="Valid"/>
    <s v="Clean"/>
    <n v="15906.85"/>
    <n v="11014.46"/>
    <n v="4892.3890000000029"/>
    <n v="4892.3900000000003"/>
    <n v="0.30756497986716413"/>
    <s v="Paid"/>
    <x v="2"/>
  </r>
  <r>
    <s v="ORD-2025-10177"/>
    <s v="Unique"/>
    <x v="11"/>
    <n v="2025"/>
    <d v="2025-03-18T00:00:00"/>
    <d v="2025-03-26T00:00:00"/>
    <n v="8"/>
    <s v="Valid"/>
    <s v="CUST-3027"/>
    <s v="Vikram Iyer"/>
    <x v="2"/>
    <x v="1"/>
    <s v="Jharkhand"/>
    <m/>
    <x v="1"/>
    <x v="10"/>
    <s v="Pro Bookcases 612"/>
    <x v="3"/>
    <n v="8"/>
    <n v="3563.09"/>
    <n v="24229.011999999999"/>
    <n v="0.15"/>
    <n v="0.15"/>
    <s v="Valid"/>
    <s v="Clean"/>
    <n v="24229.01"/>
    <n v="13910.64"/>
    <n v="10318.371999999999"/>
    <n v="10318.370000000001"/>
    <n v="0.42586841146212751"/>
    <s v="Paid"/>
    <x v="0"/>
  </r>
  <r>
    <s v="ORD-2024-10178"/>
    <s v="Unique"/>
    <x v="2"/>
    <n v="2024"/>
    <d v="2024-06-01T00:00:00"/>
    <d v="2024-06-03T00:00:00"/>
    <n v="2"/>
    <s v="Valid"/>
    <s v="CUST-4399"/>
    <s v="Sneha Kapoor"/>
    <x v="3"/>
    <x v="4"/>
    <s v="Bihar"/>
    <m/>
    <x v="0"/>
    <x v="2"/>
    <s v="Classic Art 573"/>
    <x v="1"/>
    <n v="8"/>
    <n v="3879.95"/>
    <n v="31039.599999999999"/>
    <n v="0"/>
    <n v="0"/>
    <s v="Valid"/>
    <s v="Clean"/>
    <n v="31039.599999999999"/>
    <n v="20866.72"/>
    <n v="10172.879999999997"/>
    <n v="10172.879999999999"/>
    <n v="0.3277387595200969"/>
    <s v="Paid"/>
    <x v="0"/>
  </r>
  <r>
    <s v="ORD-2024-10179"/>
    <s v="Unique"/>
    <x v="7"/>
    <n v="2024"/>
    <d v="2024-09-30T00:00:00"/>
    <d v="2024-09-30T00:00:00"/>
    <n v="0"/>
    <s v="Valid"/>
    <s v="CUST-3092"/>
    <s v="Isha Nair"/>
    <x v="2"/>
    <x v="2"/>
    <s v="Telangana"/>
    <m/>
    <x v="0"/>
    <x v="2"/>
    <s v="Eco Art 854"/>
    <x v="3"/>
    <n v="4"/>
    <n v="3281.74"/>
    <n v="13126.96"/>
    <n v="0"/>
    <n v="0"/>
    <s v="Valid"/>
    <s v="Clean"/>
    <n v="13126.96"/>
    <n v="10732.44"/>
    <n v="2394.5199999999986"/>
    <n v="2394.52"/>
    <n v="0.18241237879905173"/>
    <s v="Paid"/>
    <x v="0"/>
  </r>
  <r>
    <s v="ORD-2024-10180"/>
    <s v="Unique"/>
    <x v="11"/>
    <n v="2024"/>
    <d v="2024-03-15T00:00:00"/>
    <d v="2024-03-19T00:00:00"/>
    <n v="4"/>
    <s v="Valid"/>
    <s v="CUST-1778"/>
    <s v="Ananya Rao"/>
    <x v="1"/>
    <x v="2"/>
    <s v="Tamil Nadu"/>
    <m/>
    <x v="1"/>
    <x v="3"/>
    <s v="Classic Furnishings 996"/>
    <x v="3"/>
    <n v="4"/>
    <n v="3186.3"/>
    <n v="9558.9000000000015"/>
    <n v="0.25"/>
    <n v="0.25"/>
    <s v="Valid"/>
    <s v="Clean"/>
    <n v="9558.9"/>
    <n v="5516.76"/>
    <n v="4042.1400000000012"/>
    <n v="4042.14"/>
    <n v="0.4228666478360481"/>
    <s v="Refunded"/>
    <x v="2"/>
  </r>
  <r>
    <s v="ORD-2024-10181"/>
    <s v="Unique"/>
    <x v="1"/>
    <n v="2024"/>
    <d v="2024-08-26T00:00:00"/>
    <d v="2024-08-26T00:00:00"/>
    <n v="0"/>
    <s v="Valid"/>
    <s v="CUST-3787"/>
    <s v="Mira Das"/>
    <x v="3"/>
    <x v="0"/>
    <s v="Uttar Pradesh"/>
    <m/>
    <x v="0"/>
    <x v="9"/>
    <s v="Prime Binders 735"/>
    <x v="2"/>
    <n v="7"/>
    <n v="844.59"/>
    <n v="5320.9170000000004"/>
    <n v="0.1"/>
    <n v="0.1"/>
    <s v="Valid"/>
    <s v="Clean"/>
    <n v="5320.92"/>
    <n v="3041.5"/>
    <n v="2279.4170000000004"/>
    <n v="2279.42"/>
    <n v="0.42838832382369968"/>
    <s v="Paid"/>
    <x v="0"/>
  </r>
  <r>
    <s v="ORD-2025-10182"/>
    <s v="Unique"/>
    <x v="7"/>
    <n v="2025"/>
    <d v="2025-09-09T00:00:00"/>
    <d v="2025-09-10T00:00:00"/>
    <n v="1"/>
    <s v="Valid"/>
    <s v="CUST-5119"/>
    <s v="Priya Menon"/>
    <x v="3"/>
    <x v="2"/>
    <s v="Tamil Nadu"/>
    <m/>
    <x v="0"/>
    <x v="2"/>
    <s v="Pro Art 587"/>
    <x v="0"/>
    <n v="4"/>
    <n v="2551.4499999999998"/>
    <n v="10205.799999999999"/>
    <n v="0"/>
    <n v="0"/>
    <s v="Valid"/>
    <s v="Clean"/>
    <n v="10205.799999999999"/>
    <n v="5986.31"/>
    <n v="4219.4899999999989"/>
    <n v="4219.49"/>
    <n v="0.41344039663720628"/>
    <s v="Paid"/>
    <x v="0"/>
  </r>
  <r>
    <s v="ORD-2024-10183"/>
    <s v="Unique"/>
    <x v="9"/>
    <n v="2024"/>
    <d v="2024-10-16T00:00:00"/>
    <d v="2024-10-16T00:00:00"/>
    <n v="0"/>
    <s v="Valid"/>
    <s v="CUST-4121"/>
    <s v="Ananya Rao"/>
    <x v="3"/>
    <x v="1"/>
    <s v="Bihar"/>
    <m/>
    <x v="2"/>
    <x v="12"/>
    <s v="Basic Machines 575"/>
    <x v="3"/>
    <n v="7"/>
    <n v="775.77"/>
    <n v="5430.3899999999994"/>
    <n v="0"/>
    <n v="0"/>
    <s v="Valid"/>
    <s v="Clean"/>
    <n v="5430.39"/>
    <n v="3707.66"/>
    <n v="1722.7299999999996"/>
    <n v="1722.73"/>
    <n v="0.31723872502711592"/>
    <s v="Paid"/>
    <x v="0"/>
  </r>
  <r>
    <s v="ORD-2025-10184"/>
    <s v="Unique"/>
    <x v="2"/>
    <n v="2025"/>
    <d v="2025-06-24T00:00:00"/>
    <d v="2025-06-27T00:00:00"/>
    <n v="3"/>
    <s v="Valid"/>
    <s v="CUST-3366"/>
    <s v="Vikram Iyer"/>
    <x v="3"/>
    <x v="2"/>
    <s v="Telangana"/>
    <m/>
    <x v="2"/>
    <x v="6"/>
    <s v="Elite Copiers 788"/>
    <x v="3"/>
    <n v="7"/>
    <n v="2304.86"/>
    <n v="12907.216"/>
    <n v="0.2"/>
    <n v="0.2"/>
    <s v="Valid"/>
    <s v="Clean"/>
    <n v="12907.22"/>
    <n v="8327.89"/>
    <n v="4579.3260000000009"/>
    <n v="4579.33"/>
    <n v="0.35478825029712052"/>
    <s v="Paid"/>
    <x v="2"/>
  </r>
  <r>
    <s v="ORD-2024-10185"/>
    <s v="Unique"/>
    <x v="5"/>
    <n v="2024"/>
    <d v="2024-04-02T00:00:00"/>
    <d v="2024-04-06T00:00:00"/>
    <n v="4"/>
    <s v="Valid"/>
    <s v="CUST-1358"/>
    <s v="Vikram Iyer"/>
    <x v="2"/>
    <x v="3"/>
    <s v="Madhya Pradesh"/>
    <m/>
    <x v="1"/>
    <x v="10"/>
    <s v="Max Bookcases 472"/>
    <x v="3"/>
    <n v="2"/>
    <n v="888.98"/>
    <n v="1777.96"/>
    <n v="0"/>
    <n v="0"/>
    <s v="Valid"/>
    <s v="Clean"/>
    <n v="1777.96"/>
    <n v="1021.16"/>
    <n v="756.80000000000007"/>
    <n v="756.8"/>
    <n v="0.42565637022205222"/>
    <s v="Refunded"/>
    <x v="2"/>
  </r>
  <r>
    <s v="ORD-2024-10186"/>
    <s v="Unique"/>
    <x v="3"/>
    <n v="2024"/>
    <d v="2024-11-05T00:00:00"/>
    <d v="2024-11-13T00:00:00"/>
    <n v="8"/>
    <s v="Valid"/>
    <s v="CUST-4968"/>
    <s v="Arjun Bose"/>
    <x v="0"/>
    <x v="4"/>
    <s v="Punjab"/>
    <m/>
    <x v="0"/>
    <x v="7"/>
    <s v="Smart Labels 475"/>
    <x v="0"/>
    <n v="2"/>
    <n v="1003.17"/>
    <n v="1605.0720000000001"/>
    <n v="0.2"/>
    <n v="0.2"/>
    <s v="Valid"/>
    <s v="Clean"/>
    <n v="1605.07"/>
    <n v="1337.28"/>
    <n v="267.79200000000014"/>
    <n v="267.79000000000002"/>
    <n v="0.16684007551072541"/>
    <s v="Paid"/>
    <x v="0"/>
  </r>
  <r>
    <s v="ORD-2024-10187"/>
    <s v="Unique"/>
    <x v="0"/>
    <n v="2024"/>
    <d v="2024-07-19T00:00:00"/>
    <d v="2024-07-20T00:00:00"/>
    <n v="1"/>
    <s v="Valid"/>
    <s v="CUST-2778"/>
    <s v="Vikram Iyer"/>
    <x v="0"/>
    <x v="2"/>
    <s v="Tamil Nadu"/>
    <m/>
    <x v="1"/>
    <x v="1"/>
    <s v="Basic Tables 417"/>
    <x v="2"/>
    <n v="7"/>
    <n v="3608.43"/>
    <n v="23996.059499999996"/>
    <n v="0.05"/>
    <n v="0.05"/>
    <s v="Valid"/>
    <s v="Clean"/>
    <n v="23996.06"/>
    <n v="20167.28"/>
    <n v="3828.7794999999969"/>
    <n v="3828.78"/>
    <n v="0.15955869421896762"/>
    <s v="Paid"/>
    <x v="0"/>
  </r>
  <r>
    <s v="ORD-2025-10188"/>
    <s v="Unique"/>
    <x v="4"/>
    <n v="2025"/>
    <d v="2025-05-01T00:00:00"/>
    <d v="2025-05-02T00:00:00"/>
    <n v="1"/>
    <s v="Valid"/>
    <s v="CUST-3109"/>
    <s v="Mira Das"/>
    <x v="0"/>
    <x v="3"/>
    <s v="Madhya Pradesh"/>
    <m/>
    <x v="1"/>
    <x v="4"/>
    <s v="Pro Chairs 844"/>
    <x v="1"/>
    <n v="3"/>
    <n v="2905.74"/>
    <n v="8717.2199999999993"/>
    <n v="0"/>
    <n v="0"/>
    <s v="Valid"/>
    <s v="Clean"/>
    <n v="8717.2199999999993"/>
    <n v="6215.96"/>
    <n v="2501.2599999999993"/>
    <n v="2501.2600000000002"/>
    <n v="0.28693321953558593"/>
    <s v="Paid"/>
    <x v="2"/>
  </r>
  <r>
    <s v="ORD-2025-10189"/>
    <s v="Unique"/>
    <x v="4"/>
    <n v="2025"/>
    <d v="2025-05-21T00:00:00"/>
    <d v="2025-05-28T00:00:00"/>
    <n v="7"/>
    <s v="Valid"/>
    <s v="CUST-3422"/>
    <s v="Priya Menon"/>
    <x v="2"/>
    <x v="1"/>
    <s v="West Bengal"/>
    <m/>
    <x v="1"/>
    <x v="10"/>
    <s v="Elite Bookcases 883"/>
    <x v="1"/>
    <n v="2"/>
    <n v="3559.57"/>
    <n v="6407.2260000000006"/>
    <n v="0.1"/>
    <n v="0.1"/>
    <s v="Valid"/>
    <s v="Clean"/>
    <n v="6553.95"/>
    <n v="4923.09"/>
    <n v="1484.1360000000004"/>
    <n v="1484.14"/>
    <n v="0.22644969827356023"/>
    <s v="Paid"/>
    <x v="0"/>
  </r>
  <r>
    <s v="ORD-2025-10190"/>
    <s v="Unique"/>
    <x v="4"/>
    <n v="2025"/>
    <d v="2025-05-06T00:00:00"/>
    <d v="2025-05-07T00:00:00"/>
    <n v="1"/>
    <s v="Valid"/>
    <s v="CUST-3375"/>
    <s v="Arjun Bose"/>
    <x v="0"/>
    <x v="3"/>
    <s v="Rajasthan"/>
    <m/>
    <x v="1"/>
    <x v="10"/>
    <s v="Basic Bookcases 754"/>
    <x v="2"/>
    <n v="9"/>
    <n v="3318.24"/>
    <n v="29864.159999999996"/>
    <n v="0"/>
    <n v="0"/>
    <s v="Valid"/>
    <s v="Clean"/>
    <n v="25384.54"/>
    <n v="16872.39"/>
    <n v="12991.769999999997"/>
    <n v="8512.15"/>
    <n v="0.33532811703501419"/>
    <s v="Paid"/>
    <x v="0"/>
  </r>
  <r>
    <s v="ORD-2025-10191"/>
    <s v="Unique"/>
    <x v="5"/>
    <n v="2025"/>
    <d v="2025-04-20T00:00:00"/>
    <d v="2025-04-21T00:00:00"/>
    <n v="1"/>
    <s v="Valid"/>
    <s v="CUST-5138"/>
    <s v="Aditi Sen"/>
    <x v="0"/>
    <x v="2"/>
    <s v="Tamil Nadu"/>
    <m/>
    <x v="0"/>
    <x v="8"/>
    <s v="Eco Storage 158"/>
    <x v="2"/>
    <n v="3"/>
    <n v="540.09"/>
    <n v="1458.2429999999999"/>
    <n v="0.1"/>
    <n v="0.1"/>
    <s v="Valid"/>
    <s v="Clean"/>
    <n v="1458.24"/>
    <n v="943.32"/>
    <n v="514.92299999999989"/>
    <n v="514.91999999999996"/>
    <n v="0.35311059907834097"/>
    <s v="Paid"/>
    <x v="0"/>
  </r>
  <r>
    <s v="ORD-2024-10192"/>
    <s v="Unique"/>
    <x v="9"/>
    <n v="2024"/>
    <d v="2024-10-19T00:00:00"/>
    <d v="2024-10-24T00:00:00"/>
    <n v="5"/>
    <s v="Valid"/>
    <s v="CUST-7410"/>
    <s v="Sneha Kapoor"/>
    <x v="1"/>
    <x v="2"/>
    <s v="Tamil Nadu"/>
    <m/>
    <x v="1"/>
    <x v="10"/>
    <s v="Prime Bookcases 602"/>
    <x v="0"/>
    <n v="6"/>
    <n v="4308.3999999999996"/>
    <n v="9047.64"/>
    <n v="0.65"/>
    <n v="0.65"/>
    <s v="Valid"/>
    <s v="Clean"/>
    <n v="25850.400000000001"/>
    <n v="19397.68"/>
    <n v="-10350.040000000001"/>
    <n v="6452.72"/>
    <n v="0.24961780088509269"/>
    <s v="Paid"/>
    <x v="0"/>
  </r>
  <r>
    <s v="ORD-2024-10193"/>
    <s v="Unique"/>
    <x v="8"/>
    <n v="2024"/>
    <d v="2024-12-09T00:00:00"/>
    <d v="2024-12-16T00:00:00"/>
    <n v="7"/>
    <s v="Valid"/>
    <s v="CUST-7115"/>
    <s v="Isha Nair"/>
    <x v="3"/>
    <x v="3"/>
    <s v="Gujarat"/>
    <m/>
    <x v="1"/>
    <x v="4"/>
    <s v="Eco Chairs 438"/>
    <x v="2"/>
    <n v="4"/>
    <n v="2191.0300000000002"/>
    <n v="8764.1200000000008"/>
    <n v="0"/>
    <n v="0"/>
    <s v="Valid"/>
    <s v="Clean"/>
    <n v="8764.1200000000008"/>
    <n v="7220.05"/>
    <n v="1544.0700000000006"/>
    <n v="1544.07"/>
    <n v="0.17618083732308545"/>
    <s v="Paid"/>
    <x v="0"/>
  </r>
  <r>
    <s v="ORD-2024-10194"/>
    <s v="Unique"/>
    <x v="2"/>
    <n v="2024"/>
    <d v="2024-06-23T00:00:00"/>
    <d v="2024-06-28T00:00:00"/>
    <n v="5"/>
    <s v="Valid"/>
    <s v="CUST-9853"/>
    <s v="Priya Menon"/>
    <x v="1"/>
    <x v="0"/>
    <s v="Punjab"/>
    <m/>
    <x v="2"/>
    <x v="6"/>
    <s v="Prime Copiers 142"/>
    <x v="1"/>
    <n v="6"/>
    <n v="1956.63"/>
    <n v="9391.8240000000005"/>
    <n v="0.2"/>
    <n v="0.2"/>
    <s v="Valid"/>
    <s v="Clean"/>
    <n v="9391.82"/>
    <n v="6013.22"/>
    <n v="3378.6040000000003"/>
    <n v="3378.6"/>
    <n v="0.3597385810205051"/>
    <s v="Refunded"/>
    <x v="2"/>
  </r>
  <r>
    <s v="ORD-2025-10195"/>
    <s v="Unique"/>
    <x v="10"/>
    <n v="2025"/>
    <d v="2025-01-28T00:00:00"/>
    <d v="2025-01-31T00:00:00"/>
    <n v="3"/>
    <s v="Valid"/>
    <s v="CUST-3637"/>
    <s v="Priya Menon"/>
    <x v="0"/>
    <x v="3"/>
    <s v="Maharashtra"/>
    <m/>
    <x v="1"/>
    <x v="3"/>
    <s v="Prime Furnishings 433"/>
    <x v="2"/>
    <n v="9"/>
    <n v="858.39"/>
    <n v="7339.2344999999996"/>
    <n v="0.05"/>
    <n v="0.05"/>
    <s v="Valid"/>
    <s v="Clean"/>
    <n v="7339.23"/>
    <n v="5434.12"/>
    <n v="1905.1144999999997"/>
    <n v="1905.11"/>
    <n v="0.25957900215690199"/>
    <s v="Pending"/>
    <x v="2"/>
  </r>
  <r>
    <s v="ORD-2025-10196"/>
    <s v="Unique"/>
    <x v="0"/>
    <n v="2025"/>
    <d v="2025-07-22T00:00:00"/>
    <d v="2025-07-24T00:00:00"/>
    <n v="2"/>
    <s v="Valid"/>
    <s v="CUST-4328"/>
    <s v="Neha Gupta"/>
    <x v="3"/>
    <x v="2"/>
    <s v="Andhra Pradesh"/>
    <m/>
    <x v="1"/>
    <x v="3"/>
    <s v="Smart Furnishings 685"/>
    <x v="1"/>
    <n v="5"/>
    <n v="1922.83"/>
    <n v="9614.15"/>
    <n v="0"/>
    <n v="0"/>
    <s v="Valid"/>
    <s v="Clean"/>
    <n v="9614.15"/>
    <n v="7576.84"/>
    <n v="2037.3099999999995"/>
    <n v="2037.31"/>
    <n v="0.21190744891644087"/>
    <s v="Paid"/>
    <x v="0"/>
  </r>
  <r>
    <s v="ORD-2024-10197"/>
    <s v="Unique"/>
    <x v="10"/>
    <n v="2024"/>
    <d v="2024-01-22T00:00:00"/>
    <d v="2024-01-25T00:00:00"/>
    <n v="3"/>
    <s v="Valid"/>
    <s v="CUST-8028"/>
    <s v="Kabir Singh"/>
    <x v="3"/>
    <x v="0"/>
    <s v="Uttar Pradesh"/>
    <m/>
    <x v="0"/>
    <x v="8"/>
    <s v="Elite Storage 915"/>
    <x v="2"/>
    <n v="3"/>
    <n v="1212.03"/>
    <n v="3272.4810000000002"/>
    <n v="0.1"/>
    <n v="0.1"/>
    <s v="Valid"/>
    <s v="Clean"/>
    <n v="3272.48"/>
    <n v="2517.44"/>
    <n v="755.04100000000017"/>
    <n v="755.04"/>
    <n v="0.23072409915415831"/>
    <s v="Paid"/>
    <x v="0"/>
  </r>
  <r>
    <s v="ORD-2025-10198"/>
    <s v="Unique"/>
    <x v="11"/>
    <n v="2025"/>
    <d v="2025-03-31T00:00:00"/>
    <d v="2025-04-07T00:00:00"/>
    <n v="7"/>
    <s v="Valid"/>
    <s v="CUST-6106"/>
    <s v="Rahul Verma"/>
    <x v="1"/>
    <x v="1"/>
    <s v="Bihar"/>
    <m/>
    <x v="0"/>
    <x v="8"/>
    <s v="Basic Storage 961"/>
    <x v="0"/>
    <n v="5"/>
    <n v="4096.4399999999996"/>
    <n v="17409.869999999995"/>
    <n v="0.15"/>
    <n v="0.15"/>
    <s v="Valid"/>
    <s v="Clean"/>
    <n v="17409.87"/>
    <n v="14076.25"/>
    <n v="3333.6199999999953"/>
    <n v="3333.62"/>
    <n v="0.19147874165631334"/>
    <s v="Paid"/>
    <x v="0"/>
  </r>
  <r>
    <s v="ORD-2024-10199"/>
    <s v="Unique"/>
    <x v="2"/>
    <n v="2024"/>
    <d v="2024-06-05T00:00:00"/>
    <d v="2024-06-06T00:00:00"/>
    <n v="1"/>
    <s v="Valid"/>
    <s v="CUST-7820"/>
    <s v="Sneha Kapoor"/>
    <x v="0"/>
    <x v="3"/>
    <s v="Gujarat"/>
    <m/>
    <x v="0"/>
    <x v="2"/>
    <s v="Classic Art 968"/>
    <x v="0"/>
    <n v="1"/>
    <n v="1184.58"/>
    <n v="1125.3509999999999"/>
    <n v="0.05"/>
    <n v="0.05"/>
    <s v="Valid"/>
    <s v="Clean"/>
    <n v="1125.3499999999999"/>
    <n v="676.97"/>
    <n v="448.38099999999986"/>
    <n v="448.38"/>
    <n v="0.39843604212022932"/>
    <s v="Failed"/>
    <x v="1"/>
  </r>
  <r>
    <s v="ORD-2024-10200"/>
    <s v="Unique"/>
    <x v="11"/>
    <n v="2024"/>
    <d v="2024-03-12T00:00:00"/>
    <d v="2024-03-12T00:00:00"/>
    <n v="0"/>
    <s v="Valid"/>
    <s v="CUST-4536"/>
    <s v="Rahul Verma"/>
    <x v="3"/>
    <x v="1"/>
    <s v="Bihar"/>
    <m/>
    <x v="2"/>
    <x v="12"/>
    <s v="Prime Machines 806"/>
    <x v="4"/>
    <n v="6"/>
    <n v="2185.58"/>
    <n v="9835.11"/>
    <n v="0.25"/>
    <n v="0.25"/>
    <s v="Valid"/>
    <s v="Clean"/>
    <n v="9835.11"/>
    <n v="5437.64"/>
    <n v="4397.47"/>
    <n v="4397.47"/>
    <n v="0.44711955433136996"/>
    <s v="Paid"/>
    <x v="0"/>
  </r>
  <r>
    <s v="ORD-2025-10201"/>
    <s v="Unique"/>
    <x v="2"/>
    <n v="2025"/>
    <d v="2025-06-27T00:00:00"/>
    <d v="2025-07-05T00:00:00"/>
    <n v="8"/>
    <s v="Valid"/>
    <s v="CUST-7047"/>
    <s v="Priya Menon"/>
    <x v="1"/>
    <x v="0"/>
    <s v="Rajasthan"/>
    <m/>
    <x v="2"/>
    <x v="6"/>
    <s v="Classic Copiers 479"/>
    <x v="2"/>
    <n v="5"/>
    <n v="2868.44"/>
    <n v="12907.980000000001"/>
    <n v="0.1"/>
    <n v="0.1"/>
    <s v="Valid"/>
    <s v="Clean"/>
    <n v="12907.98"/>
    <n v="9197.08"/>
    <n v="3710.9000000000015"/>
    <n v="3710.9"/>
    <n v="0.28748882474252363"/>
    <s v="Pending"/>
    <x v="1"/>
  </r>
  <r>
    <s v="ORD-2025-10202"/>
    <s v="Unique"/>
    <x v="0"/>
    <n v="2025"/>
    <d v="2025-07-26T00:00:00"/>
    <d v="2025-08-03T00:00:00"/>
    <n v="8"/>
    <s v="Valid"/>
    <s v="CUST-8005"/>
    <s v="Vikram Iyer"/>
    <x v="0"/>
    <x v="3"/>
    <s v="Madhya Pradesh"/>
    <m/>
    <x v="0"/>
    <x v="7"/>
    <s v="Basic Labels 511"/>
    <x v="0"/>
    <n v="2"/>
    <n v="2503.5300000000002"/>
    <s v="Invalid"/>
    <n v="-0.16"/>
    <s v="Invalid"/>
    <s v="Invalid"/>
    <s v="Invalid"/>
    <n v="4756.71"/>
    <n v="2954.86"/>
    <s v="Invalid"/>
    <n v="1801.85"/>
    <n v="0.37880173481250695"/>
    <s v="Refunded"/>
    <x v="1"/>
  </r>
  <r>
    <s v="ORD-2025-10203"/>
    <s v="Unique"/>
    <x v="11"/>
    <n v="2025"/>
    <d v="2025-03-28T00:00:00"/>
    <d v="2025-03-28T00:00:00"/>
    <n v="0"/>
    <s v="Valid"/>
    <s v="CUST-9378"/>
    <s v="Sneha Kapoor"/>
    <x v="2"/>
    <x v="3"/>
    <s v="Goa"/>
    <m/>
    <x v="2"/>
    <x v="5"/>
    <s v="Prime Accessories 733"/>
    <x v="3"/>
    <n v="8"/>
    <n v="1740.94"/>
    <n v="13231.144"/>
    <n v="0.05"/>
    <n v="0.05"/>
    <s v="Valid"/>
    <s v="Clean"/>
    <n v="13231.14"/>
    <n v="11290.06"/>
    <n v="1941.0840000000007"/>
    <n v="1941.08"/>
    <n v="0.14670542372010273"/>
    <s v="Paid"/>
    <x v="0"/>
  </r>
  <r>
    <s v="ORD-2024-10204"/>
    <s v="Unique"/>
    <x v="11"/>
    <n v="2024"/>
    <d v="2024-03-28T00:00:00"/>
    <d v="2024-03-30T00:00:00"/>
    <n v="2"/>
    <s v="Valid"/>
    <s v="CUST-3384"/>
    <s v="Sneha Kapoor"/>
    <x v="2"/>
    <x v="3"/>
    <s v="Rajasthan"/>
    <m/>
    <x v="2"/>
    <x v="5"/>
    <s v="Max Accessories 186"/>
    <x v="0"/>
    <n v="1"/>
    <n v="570.34"/>
    <n v="484.78899999999999"/>
    <n v="0.15"/>
    <n v="0.15"/>
    <s v="Valid"/>
    <s v="Clean"/>
    <n v="484.79"/>
    <n v="333.54"/>
    <n v="151.24899999999997"/>
    <n v="151.25"/>
    <n v="0.31199075888529054"/>
    <s v="Paid"/>
    <x v="0"/>
  </r>
  <r>
    <s v="ORD-2025-10205"/>
    <s v="Unique"/>
    <x v="0"/>
    <n v="2025"/>
    <d v="2025-07-20T00:00:00"/>
    <d v="2025-07-23T00:00:00"/>
    <n v="3"/>
    <s v="Valid"/>
    <s v="CUST-1986"/>
    <s v="Mira Das"/>
    <x v="3"/>
    <x v="1"/>
    <s v="West Bengal"/>
    <m/>
    <x v="1"/>
    <x v="1"/>
    <s v="Elite Tables 318"/>
    <x v="0"/>
    <n v="4"/>
    <n v="477.69"/>
    <n v="1624.146"/>
    <n v="0.15"/>
    <n v="0.15"/>
    <s v="Valid"/>
    <s v="Clean"/>
    <n v="1624.15"/>
    <n v="1217.99"/>
    <n v="406.15599999999995"/>
    <n v="406.16"/>
    <n v="0.25007542406797401"/>
    <s v="Paid"/>
    <x v="0"/>
  </r>
  <r>
    <s v="ORD-2025-10206"/>
    <s v="Unique"/>
    <x v="5"/>
    <n v="2025"/>
    <d v="2025-04-21T00:00:00"/>
    <d v="2025-04-26T00:00:00"/>
    <n v="5"/>
    <s v="Valid"/>
    <s v="CUST-3338"/>
    <s v="Ananya Rao"/>
    <x v="0"/>
    <x v="3"/>
    <s v="Maharashtra"/>
    <m/>
    <x v="0"/>
    <x v="7"/>
    <s v="Smart Labels 354"/>
    <x v="1"/>
    <n v="6"/>
    <n v="873.59"/>
    <n v="4193.232"/>
    <n v="0.2"/>
    <n v="0.2"/>
    <s v="Valid"/>
    <s v="Clean"/>
    <n v="4193.2299999999996"/>
    <n v="3329.99"/>
    <n v="863.24200000000019"/>
    <n v="863.24"/>
    <n v="0.20586516837855307"/>
    <s v="Paid"/>
    <x v="0"/>
  </r>
  <r>
    <s v="ORD-2025-10207"/>
    <s v="Unique"/>
    <x v="4"/>
    <n v="2025"/>
    <d v="2025-05-18T00:00:00"/>
    <d v="2025-05-20T00:00:00"/>
    <n v="2"/>
    <s v="Valid"/>
    <s v="CUST-2343"/>
    <s v="Diya Patel"/>
    <x v="1"/>
    <x v="0"/>
    <s v="Uttar Pradesh"/>
    <m/>
    <x v="1"/>
    <x v="3"/>
    <s v="Pro Furnishings 981"/>
    <x v="2"/>
    <n v="2"/>
    <n v="215.13"/>
    <n v="430.26"/>
    <n v="0"/>
    <n v="0"/>
    <s v="Valid"/>
    <s v="Clean"/>
    <n v="430.26"/>
    <n v="286.38"/>
    <n v="143.88"/>
    <n v="143.88"/>
    <n v="0.33440245432994004"/>
    <s v="Paid"/>
    <x v="0"/>
  </r>
  <r>
    <s v="ORD-2024-10208"/>
    <s v="Unique"/>
    <x v="0"/>
    <n v="2024"/>
    <d v="2024-07-10T00:00:00"/>
    <d v="2024-07-16T00:00:00"/>
    <n v="6"/>
    <s v="Valid"/>
    <s v="CUST-3362"/>
    <s v="Aarav Sharma"/>
    <x v="3"/>
    <x v="3"/>
    <s v="Goa"/>
    <m/>
    <x v="1"/>
    <x v="10"/>
    <s v="Eco Bookcases 671"/>
    <x v="0"/>
    <n v="2"/>
    <n v="1095.45"/>
    <n v="1752.7200000000003"/>
    <n v="0.2"/>
    <n v="0.2"/>
    <s v="Valid"/>
    <s v="Clean"/>
    <n v="1752.72"/>
    <n v="996.41"/>
    <n v="756.31000000000029"/>
    <n v="756.31"/>
    <n v="0.43150645853302294"/>
    <s v="Paid"/>
    <x v="0"/>
  </r>
  <r>
    <s v="ORD-2025-10209"/>
    <s v="Unique"/>
    <x v="2"/>
    <n v="2025"/>
    <d v="2025-06-29T00:00:00"/>
    <d v="2025-07-05T00:00:00"/>
    <n v="6"/>
    <s v="Valid"/>
    <s v="CUST-3662"/>
    <s v="Diya Patel"/>
    <x v="0"/>
    <x v="0"/>
    <s v="Punjab"/>
    <m/>
    <x v="1"/>
    <x v="4"/>
    <s v="Max Chairs 151"/>
    <x v="1"/>
    <n v="1"/>
    <n v="999.83"/>
    <n v="999.83"/>
    <n v="0"/>
    <n v="0"/>
    <s v="Valid"/>
    <s v="Clean"/>
    <n v="999.83"/>
    <n v="634.91"/>
    <n v="364.92000000000007"/>
    <n v="364.92"/>
    <n v="0.36498204694798114"/>
    <s v="Paid"/>
    <x v="0"/>
  </r>
  <r>
    <s v="ORD-2025-10210"/>
    <s v="Unique"/>
    <x v="1"/>
    <n v="2025"/>
    <d v="2025-08-13T00:00:00"/>
    <d v="2025-08-14T00:00:00"/>
    <n v="1"/>
    <s v="Valid"/>
    <s v="CUST-4947"/>
    <s v="Rohan Mehta"/>
    <x v="1"/>
    <x v="2"/>
    <s v="Andhra Pradesh"/>
    <m/>
    <x v="0"/>
    <x v="0"/>
    <s v="Prime Paper 903"/>
    <x v="2"/>
    <n v="9"/>
    <n v="864.98"/>
    <n v="7006.3379999999997"/>
    <n v="0.1"/>
    <n v="0.1"/>
    <s v="Valid"/>
    <s v="Clean"/>
    <n v="7006.34"/>
    <n v="4640.88"/>
    <n v="2365.4579999999996"/>
    <n v="2365.46"/>
    <n v="0.33761707253715922"/>
    <s v="Paid"/>
    <x v="0"/>
  </r>
  <r>
    <s v="ORD-2024-10211"/>
    <s v="Unique"/>
    <x v="11"/>
    <n v="2024"/>
    <d v="2024-03-15T00:00:00"/>
    <d v="2024-03-18T00:00:00"/>
    <n v="3"/>
    <s v="Valid"/>
    <s v="CUST-3076"/>
    <s v="Kabir Singh"/>
    <x v="3"/>
    <x v="2"/>
    <s v="Karnataka"/>
    <m/>
    <x v="2"/>
    <x v="12"/>
    <s v="Classic Machines 944"/>
    <x v="0"/>
    <n v="1"/>
    <n v="4131.3599999999997"/>
    <n v="4131.3599999999997"/>
    <n v="0"/>
    <n v="0"/>
    <s v="Valid"/>
    <s v="Clean"/>
    <n v="4131.3599999999997"/>
    <n v="2937.07"/>
    <n v="1194.2899999999995"/>
    <n v="1194.29"/>
    <n v="0.28907914100925602"/>
    <s v="Failed"/>
    <x v="2"/>
  </r>
  <r>
    <s v="ORD-2024-10212"/>
    <s v="Unique"/>
    <x v="4"/>
    <n v="2024"/>
    <d v="2024-05-16T00:00:00"/>
    <d v="2024-05-17T00:00:00"/>
    <n v="1"/>
    <s v="Valid"/>
    <s v="CUST-2222"/>
    <s v="Rohan Mehta"/>
    <x v="2"/>
    <x v="1"/>
    <s v="West Bengal"/>
    <m/>
    <x v="2"/>
    <x v="6"/>
    <s v="Basic Copiers 222"/>
    <x v="0"/>
    <n v="8"/>
    <n v="4221.95"/>
    <n v="27020.48"/>
    <n v="0.2"/>
    <n v="0.2"/>
    <s v="Valid"/>
    <s v="Clean"/>
    <n v="27020.48"/>
    <n v="22885.24"/>
    <n v="4135.239999999998"/>
    <n v="4135.24"/>
    <n v="0.1530409526403676"/>
    <s v="Paid"/>
    <x v="0"/>
  </r>
  <r>
    <s v="ORD-2024-10213"/>
    <s v="Unique"/>
    <x v="7"/>
    <n v="2024"/>
    <d v="2024-09-21T00:00:00"/>
    <d v="2024-09-21T00:00:00"/>
    <n v="0"/>
    <s v="Valid"/>
    <s v="CUST-3610"/>
    <s v="Ananya Rao"/>
    <x v="1"/>
    <x v="1"/>
    <s v="Odisha"/>
    <m/>
    <x v="2"/>
    <x v="11"/>
    <s v="Max Phones 329"/>
    <x v="1"/>
    <n v="2"/>
    <n v="214.5"/>
    <n v="364.65"/>
    <n v="0.15"/>
    <n v="0.15"/>
    <s v="Valid"/>
    <s v="Clean"/>
    <n v="364.65"/>
    <n v="280.74"/>
    <n v="83.909999999999968"/>
    <n v="83.91"/>
    <n v="0.23011106540518306"/>
    <s v="Paid"/>
    <x v="0"/>
  </r>
  <r>
    <s v="ORD-2024-10214"/>
    <s v="Unique"/>
    <x v="4"/>
    <n v="2024"/>
    <d v="2024-05-15T00:00:00"/>
    <d v="2024-05-21T00:00:00"/>
    <n v="6"/>
    <s v="Valid"/>
    <s v="CUST-9136"/>
    <s v="Isha Nair"/>
    <x v="1"/>
    <x v="1"/>
    <s v="Bihar"/>
    <m/>
    <x v="2"/>
    <x v="5"/>
    <s v="Classic Accessories 840"/>
    <x v="0"/>
    <n v="4"/>
    <n v="4332.7299999999996"/>
    <n v="13864.735999999999"/>
    <n v="0.2"/>
    <n v="0.2"/>
    <s v="Valid"/>
    <s v="Clean"/>
    <n v="13864.74"/>
    <n v="11294.06"/>
    <n v="2570.6759999999995"/>
    <n v="2570.6799999999998"/>
    <n v="0.18541133840230686"/>
    <s v="Paid"/>
    <x v="0"/>
  </r>
  <r>
    <s v="ORD-2024-10215"/>
    <s v="Unique"/>
    <x v="11"/>
    <n v="2024"/>
    <d v="2024-03-17T00:00:00"/>
    <d v="2024-03-23T00:00:00"/>
    <n v="6"/>
    <s v="Valid"/>
    <s v="CUST-1301"/>
    <s v="Rahul Verma"/>
    <x v="0"/>
    <x v="0"/>
    <s v="Haryana"/>
    <m/>
    <x v="2"/>
    <x v="5"/>
    <s v="Classic Accessories 757"/>
    <x v="2"/>
    <n v="3"/>
    <n v="248.18"/>
    <n v="707.31299999999999"/>
    <n v="0.05"/>
    <n v="0.05"/>
    <s v="Valid"/>
    <s v="Clean"/>
    <n v="707.31"/>
    <n v="569"/>
    <n v="138.31299999999999"/>
    <n v="138.31"/>
    <n v="0.19554367957472679"/>
    <s v="Paid"/>
    <x v="0"/>
  </r>
  <r>
    <s v="ORD-2024-10216"/>
    <s v="Unique"/>
    <x v="11"/>
    <n v="2024"/>
    <d v="2024-03-01T00:00:00"/>
    <d v="2024-03-04T00:00:00"/>
    <n v="3"/>
    <s v="Valid"/>
    <s v="CUST-8603"/>
    <s v="Mira Das"/>
    <x v="0"/>
    <x v="3"/>
    <s v="Madhya Pradesh"/>
    <m/>
    <x v="0"/>
    <x v="0"/>
    <s v="Prime Paper 286"/>
    <x v="2"/>
    <n v="8"/>
    <n v="3202.4"/>
    <n v="19214.400000000001"/>
    <n v="0.25"/>
    <n v="0.25"/>
    <s v="Valid"/>
    <s v="Clean"/>
    <n v="19214.400000000001"/>
    <n v="10916.01"/>
    <n v="8298.3900000000012"/>
    <n v="8298.39"/>
    <n v="0.43188389957531848"/>
    <s v="Paid"/>
    <x v="0"/>
  </r>
  <r>
    <s v="ORD-2025-10217"/>
    <s v="Unique"/>
    <x v="5"/>
    <n v="2025"/>
    <d v="2025-04-10T00:00:00"/>
    <d v="2025-04-15T00:00:00"/>
    <n v="5"/>
    <s v="Valid"/>
    <s v="CUST-4330"/>
    <s v="Isha Nair"/>
    <x v="0"/>
    <x v="3"/>
    <s v="Gujarat"/>
    <m/>
    <x v="1"/>
    <x v="1"/>
    <s v="Basic Tables 400"/>
    <x v="3"/>
    <n v="8"/>
    <n v="1839.87"/>
    <n v="11039.22"/>
    <n v="0.25"/>
    <n v="0.25"/>
    <s v="Valid"/>
    <s v="Clean"/>
    <n v="11039.22"/>
    <n v="7642.91"/>
    <n v="3396.3099999999995"/>
    <n v="3396.31"/>
    <n v="0.30765851210502193"/>
    <s v="Failed"/>
    <x v="2"/>
  </r>
  <r>
    <s v="ORD-2025-10218"/>
    <s v="Unique"/>
    <x v="5"/>
    <n v="2025"/>
    <d v="2025-04-01T00:00:00"/>
    <d v="2025-04-08T00:00:00"/>
    <n v="7"/>
    <s v="Valid"/>
    <s v="CUST-4533"/>
    <s v="Aditi Sen"/>
    <x v="0"/>
    <x v="1"/>
    <s v="Odisha"/>
    <m/>
    <x v="1"/>
    <x v="10"/>
    <s v="Basic Bookcases 405"/>
    <x v="0"/>
    <n v="5"/>
    <n v="1021.28"/>
    <n v="4595.76"/>
    <n v="0.1"/>
    <n v="0.1"/>
    <s v="Valid"/>
    <s v="Clean"/>
    <n v="4595.76"/>
    <n v="3396.8"/>
    <n v="1198.96"/>
    <n v="1198.96"/>
    <n v="0.26088394520166414"/>
    <s v="Refunded"/>
    <x v="1"/>
  </r>
  <r>
    <s v="ORD-2025-10219"/>
    <s v="Unique"/>
    <x v="6"/>
    <n v="2025"/>
    <d v="2025-02-26T00:00:00"/>
    <d v="2025-02-27T00:00:00"/>
    <n v="1"/>
    <s v="Valid"/>
    <s v="CUST-8270"/>
    <s v="Priya Menon"/>
    <x v="2"/>
    <x v="3"/>
    <s v="Gujarat"/>
    <m/>
    <x v="1"/>
    <x v="10"/>
    <s v="Classic Bookcases 139"/>
    <x v="3"/>
    <n v="5"/>
    <n v="258.27999999999997"/>
    <n v="1291.3999999999999"/>
    <n v="0"/>
    <n v="0"/>
    <s v="Valid"/>
    <s v="Clean"/>
    <n v="1291.4000000000001"/>
    <n v="756.93"/>
    <n v="534.46999999999991"/>
    <n v="534.47"/>
    <n v="0.41386866966083319"/>
    <s v="Paid"/>
    <x v="0"/>
  </r>
  <r>
    <s v="ORD-2024-10220"/>
    <s v="Unique"/>
    <x v="2"/>
    <n v="2024"/>
    <d v="2024-06-18T00:00:00"/>
    <d v="2024-06-19T00:00:00"/>
    <n v="1"/>
    <s v="Valid"/>
    <s v="CUST-1472"/>
    <s v="Rahul Verma"/>
    <x v="0"/>
    <x v="1"/>
    <s v="Bihar"/>
    <m/>
    <x v="2"/>
    <x v="12"/>
    <s v="Elite Machines 290"/>
    <x v="2"/>
    <n v="2"/>
    <n v="121.49"/>
    <s v="Invalid"/>
    <s v="85%"/>
    <s v="Invalid"/>
    <s v="Invalid"/>
    <s v="Invalid"/>
    <n v="242.98"/>
    <n v="161.41999999999999"/>
    <s v="Invalid"/>
    <n v="81.56"/>
    <n v="0.33566548687134745"/>
    <s v="Paid"/>
    <x v="0"/>
  </r>
  <r>
    <s v="ORD-2024-10221"/>
    <s v="Unique"/>
    <x v="7"/>
    <n v="2024"/>
    <d v="2024-09-03T00:00:00"/>
    <d v="2024-09-03T00:00:00"/>
    <n v="0"/>
    <s v="Valid"/>
    <s v="CUST-1031"/>
    <s v="Sneha Kapoor"/>
    <x v="0"/>
    <x v="2"/>
    <s v="Kerala"/>
    <m/>
    <x v="0"/>
    <x v="8"/>
    <s v="Elite Storage 925"/>
    <x v="2"/>
    <n v="4"/>
    <n v="2810.17"/>
    <n v="9554.5779999999995"/>
    <n v="0.15"/>
    <n v="0.15"/>
    <s v="Valid"/>
    <s v="Clean"/>
    <n v="9554.58"/>
    <n v="6068.47"/>
    <n v="3486.1079999999993"/>
    <n v="3486.11"/>
    <n v="0.36486271505393225"/>
    <s v="Refunded"/>
    <x v="1"/>
  </r>
  <r>
    <s v="ORD-2025-10222"/>
    <s v="Unique"/>
    <x v="10"/>
    <n v="2025"/>
    <d v="2025-01-12T00:00:00"/>
    <d v="2025-01-15T00:00:00"/>
    <n v="3"/>
    <s v="Valid"/>
    <s v="CUST-2495"/>
    <s v="Mira Das"/>
    <x v="2"/>
    <x v="2"/>
    <s v="Karnataka"/>
    <m/>
    <x v="1"/>
    <x v="4"/>
    <s v="Classic Chairs 231"/>
    <x v="1"/>
    <n v="4"/>
    <n v="1531.53"/>
    <n v="4900.8959999999997"/>
    <n v="0.2"/>
    <n v="0.2"/>
    <s v="Valid"/>
    <s v="Clean"/>
    <n v="4900.8999999999996"/>
    <n v="3552.69"/>
    <n v="1348.2059999999997"/>
    <n v="1348.21"/>
    <n v="0.27509437042175927"/>
    <s v="Paid"/>
    <x v="0"/>
  </r>
  <r>
    <s v="ORD-2025-10223"/>
    <s v="Unique"/>
    <x v="5"/>
    <n v="2025"/>
    <d v="2025-04-29T00:00:00"/>
    <d v="2025-05-02T00:00:00"/>
    <n v="3"/>
    <s v="Valid"/>
    <s v="CUST-4583"/>
    <s v="Vikram Iyer"/>
    <x v="1"/>
    <x v="3"/>
    <s v="Goa"/>
    <m/>
    <x v="0"/>
    <x v="8"/>
    <s v="Prime Storage 818"/>
    <x v="2"/>
    <n v="6"/>
    <n v="4308.09"/>
    <n v="25848.54"/>
    <n v="0"/>
    <n v="0"/>
    <s v="Valid"/>
    <s v="Clean"/>
    <n v="25848.54"/>
    <n v="17729.09"/>
    <n v="8119.4500000000007"/>
    <n v="8119.45"/>
    <n v="0.31411638723115504"/>
    <s v="Paid"/>
    <x v="0"/>
  </r>
  <r>
    <s v="ORD-2025-10224"/>
    <s v="Unique"/>
    <x v="6"/>
    <n v="2025"/>
    <d v="2025-02-19T00:00:00"/>
    <d v="2025-02-26T00:00:00"/>
    <n v="7"/>
    <s v="Valid"/>
    <s v="CUST-5319"/>
    <s v="Mira Das"/>
    <x v="2"/>
    <x v="3"/>
    <s v="Maharashtra"/>
    <m/>
    <x v="1"/>
    <x v="3"/>
    <s v="Elite Furnishings 449"/>
    <x v="2"/>
    <n v="3"/>
    <n v="490.3"/>
    <n v="1176.72"/>
    <n v="0.2"/>
    <n v="0.2"/>
    <s v="Valid"/>
    <s v="Clean"/>
    <n v="1176.72"/>
    <n v="654.33000000000004"/>
    <n v="522.39"/>
    <n v="522.39"/>
    <n v="0.44393738527432181"/>
    <s v="Pending"/>
    <x v="2"/>
  </r>
  <r>
    <s v="ORD-2025-10225"/>
    <s v="Duplicate Order ID"/>
    <x v="9"/>
    <n v="2025"/>
    <d v="2025-10-02T00:00:00"/>
    <d v="2025-10-08T00:00:00"/>
    <n v="6"/>
    <s v="Valid"/>
    <s v="CUST-9871"/>
    <s v="Isha Nair"/>
    <x v="1"/>
    <x v="0"/>
    <s v="Punjab"/>
    <m/>
    <x v="1"/>
    <x v="3"/>
    <s v="Classic Furnishings 109"/>
    <x v="3"/>
    <n v="4"/>
    <n v="3944.64"/>
    <n v="11833.92"/>
    <n v="0.25"/>
    <n v="0.25"/>
    <s v="Valid"/>
    <s v="Clean"/>
    <n v="11833.92"/>
    <n v="6682.92"/>
    <n v="5151"/>
    <n v="5151"/>
    <n v="0.43527419485681834"/>
    <s v="Paid"/>
    <x v="1"/>
  </r>
  <r>
    <s v="ORD-2024-10226"/>
    <s v="Unique"/>
    <x v="7"/>
    <n v="2024"/>
    <d v="2024-09-02T00:00:00"/>
    <d v="2024-09-10T00:00:00"/>
    <n v="8"/>
    <s v="Valid"/>
    <s v="CUST-1266"/>
    <s v="Mira Das"/>
    <x v="2"/>
    <x v="3"/>
    <s v="Goa"/>
    <m/>
    <x v="2"/>
    <x v="11"/>
    <s v="Classic Phones 548"/>
    <x v="3"/>
    <n v="6"/>
    <n v="1032.47"/>
    <n v="5265.5969999999998"/>
    <n v="0.15"/>
    <n v="0.15"/>
    <s v="Valid"/>
    <s v="Clean"/>
    <n v="5265.6"/>
    <n v="4293.1099999999997"/>
    <n v="972.48700000000008"/>
    <n v="787.57"/>
    <n v="0.14956890003038589"/>
    <s v="Paid"/>
    <x v="0"/>
  </r>
  <r>
    <s v="ORD-2025-10227"/>
    <s v="Unique"/>
    <x v="5"/>
    <n v="2025"/>
    <d v="2025-04-10T00:00:00"/>
    <d v="2025-04-15T00:00:00"/>
    <n v="5"/>
    <s v="Valid"/>
    <s v="CUST-2545"/>
    <s v="Diya Patel"/>
    <x v="3"/>
    <x v="4"/>
    <s v="Kerala"/>
    <m/>
    <x v="2"/>
    <x v="6"/>
    <s v="Max Copiers 363"/>
    <x v="1"/>
    <n v="1"/>
    <n v="2208.27"/>
    <n v="1987.443"/>
    <n v="0.1"/>
    <n v="0.1"/>
    <s v="Valid"/>
    <s v="Clean"/>
    <n v="1987.44"/>
    <n v="1110.23"/>
    <n v="877.21299999999997"/>
    <n v="877.21"/>
    <n v="0.44137684659662685"/>
    <s v="Paid"/>
    <x v="0"/>
  </r>
  <r>
    <s v="ORD-2024-10228"/>
    <s v="Unique"/>
    <x v="0"/>
    <n v="2024"/>
    <d v="2024-07-05T00:00:00"/>
    <d v="2024-07-12T00:00:00"/>
    <n v="7"/>
    <s v="Valid"/>
    <s v="CUST-2819"/>
    <s v="Ananya Rao"/>
    <x v="1"/>
    <x v="3"/>
    <s v="Goa"/>
    <m/>
    <x v="0"/>
    <x v="9"/>
    <s v="Prime Binders 507"/>
    <x v="2"/>
    <n v="3"/>
    <n v="577.75"/>
    <n v="1473.2625"/>
    <n v="0.15"/>
    <n v="0.15"/>
    <s v="Valid"/>
    <s v="Clean"/>
    <n v="1473.26"/>
    <n v="899.86"/>
    <n v="573.40250000000003"/>
    <n v="573.4"/>
    <n v="0.38920489255121293"/>
    <s v="Paid"/>
    <x v="0"/>
  </r>
  <r>
    <s v="ORD-2024-10229"/>
    <s v="Unique"/>
    <x v="5"/>
    <n v="2024"/>
    <d v="2024-04-24T00:00:00"/>
    <d v="2024-04-28T00:00:00"/>
    <n v="4"/>
    <s v="Valid"/>
    <s v="CUST-1076"/>
    <s v="Karan Malhotra"/>
    <x v="1"/>
    <x v="2"/>
    <s v="Telangana"/>
    <m/>
    <x v="0"/>
    <x v="7"/>
    <s v="Smart Labels 914"/>
    <x v="0"/>
    <n v="1"/>
    <n v="3194.37"/>
    <n v="2715.2145"/>
    <n v="0.15"/>
    <n v="0.15"/>
    <s v="Valid"/>
    <s v="Clean"/>
    <n v="2715.21"/>
    <n v="1551.55"/>
    <n v="1163.6645000000001"/>
    <n v="1163.6600000000001"/>
    <n v="0.4285709024348025"/>
    <s v="Paid"/>
    <x v="0"/>
  </r>
  <r>
    <s v="ORD-2025-10230"/>
    <s v="Unique"/>
    <x v="2"/>
    <n v="2025"/>
    <d v="2025-06-28T00:00:00"/>
    <d v="2025-07-04T00:00:00"/>
    <n v="6"/>
    <s v="Valid"/>
    <s v="CUST-1943"/>
    <s v="Rohan Mehta"/>
    <x v="0"/>
    <x v="2"/>
    <s v="Telangana"/>
    <m/>
    <x v="1"/>
    <x v="10"/>
    <s v="Smart Bookcases 662"/>
    <x v="2"/>
    <n v="3"/>
    <n v="2886.23"/>
    <n v="8658.69"/>
    <n v="0"/>
    <n v="0"/>
    <s v="Valid"/>
    <s v="Clean"/>
    <n v="8658.69"/>
    <n v="5535.94"/>
    <n v="3122.7500000000009"/>
    <n v="3122.75"/>
    <n v="0.36064924370776641"/>
    <s v="Refunded"/>
    <x v="2"/>
  </r>
  <r>
    <s v="ORD-2024-10231"/>
    <s v="Unique"/>
    <x v="4"/>
    <n v="2024"/>
    <d v="2024-05-28T00:00:00"/>
    <d v="2024-06-03T00:00:00"/>
    <n v="6"/>
    <s v="Valid"/>
    <s v="CUST-3434"/>
    <s v="Neha Gupta"/>
    <x v="1"/>
    <x v="0"/>
    <s v="Rajasthan"/>
    <m/>
    <x v="0"/>
    <x v="0"/>
    <s v="Eco Paper 937"/>
    <x v="3"/>
    <n v="8"/>
    <n v="1540.33"/>
    <n v="11090.376"/>
    <n v="0.1"/>
    <n v="0.1"/>
    <s v="Valid"/>
    <s v="Clean"/>
    <n v="11090.38"/>
    <n v="8840.9500000000007"/>
    <n v="2249.4259999999995"/>
    <n v="2249.4299999999998"/>
    <n v="0.20282713486823717"/>
    <s v="Paid"/>
    <x v="0"/>
  </r>
  <r>
    <s v="ORD-2024-10232"/>
    <s v="Unique"/>
    <x v="4"/>
    <n v="2024"/>
    <d v="2024-05-02T00:00:00"/>
    <d v="2024-05-02T00:00:00"/>
    <n v="0"/>
    <s v="Valid"/>
    <s v="CUST-9139"/>
    <s v="Ananya Rao"/>
    <x v="2"/>
    <x v="0"/>
    <s v="Rajasthan"/>
    <m/>
    <x v="0"/>
    <x v="7"/>
    <s v="Max Labels 370"/>
    <x v="2"/>
    <n v="7"/>
    <n v="2183.38"/>
    <n v="11462.744999999999"/>
    <n v="0.25"/>
    <n v="0.25"/>
    <s v="Valid"/>
    <s v="Clean"/>
    <n v="11462.74"/>
    <n v="7163.54"/>
    <n v="4299.204999999999"/>
    <n v="4299.2"/>
    <n v="0.37505866834631163"/>
    <s v="Refunded"/>
    <x v="1"/>
  </r>
  <r>
    <s v="ORD-2025-10233"/>
    <s v="Unique"/>
    <x v="2"/>
    <n v="2025"/>
    <d v="2025-06-04T00:00:00"/>
    <d v="2025-06-10T00:00:00"/>
    <n v="6"/>
    <s v="Valid"/>
    <s v="CUST-5341"/>
    <s v="Rahul Verma"/>
    <x v="0"/>
    <x v="2"/>
    <s v="Andhra Pradesh"/>
    <m/>
    <x v="2"/>
    <x v="11"/>
    <s v="Classic Phones 530"/>
    <x v="3"/>
    <n v="4"/>
    <n v="223.37"/>
    <n v="670.11"/>
    <n v="0.25"/>
    <n v="0.25"/>
    <s v="Valid"/>
    <s v="Clean"/>
    <n v="670.11"/>
    <n v="559.57000000000005"/>
    <n v="110.53999999999996"/>
    <n v="110.54"/>
    <n v="0.16495799197146738"/>
    <s v="Paid"/>
    <x v="0"/>
  </r>
  <r>
    <s v="ORD-2024-10234"/>
    <s v="Unique"/>
    <x v="9"/>
    <n v="2024"/>
    <d v="2024-10-14T00:00:00"/>
    <d v="2024-10-14T00:00:00"/>
    <n v="0"/>
    <s v="Valid"/>
    <s v="CUST-3710"/>
    <s v="Vikram Iyer"/>
    <x v="2"/>
    <x v="2"/>
    <s v="Karnataka"/>
    <m/>
    <x v="1"/>
    <x v="10"/>
    <s v="Smart Bookcases 328"/>
    <x v="4"/>
    <n v="8"/>
    <n v="3904.59"/>
    <n v="31236.720000000001"/>
    <n v="0"/>
    <n v="0"/>
    <s v="Valid"/>
    <s v="Clean"/>
    <n v="31236.720000000001"/>
    <n v="26377.7"/>
    <n v="4859.0200000000004"/>
    <n v="4859.0200000000004"/>
    <n v="0.15555474454424154"/>
    <s v="Paid"/>
    <x v="0"/>
  </r>
  <r>
    <s v="ORD-2024-10235"/>
    <s v="Unique"/>
    <x v="7"/>
    <n v="2024"/>
    <d v="2024-09-02T00:00:00"/>
    <d v="2024-09-03T00:00:00"/>
    <n v="1"/>
    <s v="Valid"/>
    <s v="CUST-9754"/>
    <s v="Kabir Singh"/>
    <x v="3"/>
    <x v="0"/>
    <s v="Delhi"/>
    <m/>
    <x v="1"/>
    <x v="3"/>
    <s v="Eco Furnishings 981"/>
    <x v="2"/>
    <n v="9"/>
    <n v="1353.61"/>
    <n v="10964.241"/>
    <n v="0.1"/>
    <n v="0.1"/>
    <s v="Valid"/>
    <s v="Clean"/>
    <n v="10964.24"/>
    <n v="9262.4699999999993"/>
    <n v="1701.7710000000006"/>
    <n v="1701.77"/>
    <n v="0.15521094029317126"/>
    <s v="Paid"/>
    <x v="0"/>
  </r>
  <r>
    <s v="ORD-2024-10236"/>
    <s v="Unique"/>
    <x v="3"/>
    <n v="2024"/>
    <d v="2024-11-02T00:00:00"/>
    <d v="2024-11-03T00:00:00"/>
    <n v="1"/>
    <s v="Valid"/>
    <s v="CUST-6256"/>
    <s v="Rahul Verma"/>
    <x v="1"/>
    <x v="3"/>
    <s v="Rajasthan"/>
    <m/>
    <x v="0"/>
    <x v="8"/>
    <s v="Basic Storage 195"/>
    <x v="3"/>
    <n v="6"/>
    <n v="2671.29"/>
    <n v="15226.352999999999"/>
    <n v="0.05"/>
    <n v="0.05"/>
    <s v="Valid"/>
    <s v="Clean"/>
    <n v="15226.35"/>
    <n v="11145.28"/>
    <n v="4081.0729999999985"/>
    <n v="4081.07"/>
    <n v="0.26802680878871166"/>
    <s v="Paid"/>
    <x v="0"/>
  </r>
  <r>
    <s v="ORD-2024-10237"/>
    <s v="Unique"/>
    <x v="9"/>
    <n v="2024"/>
    <d v="2024-10-14T00:00:00"/>
    <d v="2024-10-21T00:00:00"/>
    <n v="7"/>
    <s v="Valid"/>
    <s v="CUST-7113"/>
    <s v="Priya Menon"/>
    <x v="2"/>
    <x v="0"/>
    <s v="Uttar Pradesh"/>
    <m/>
    <x v="1"/>
    <x v="10"/>
    <s v="Elite Bookcases 907"/>
    <x v="2"/>
    <n v="6"/>
    <n v="4062.78"/>
    <n v="24376.68"/>
    <n v="0"/>
    <n v="0"/>
    <s v="Valid"/>
    <s v="Clean"/>
    <n v="24376.68"/>
    <n v="18533.39"/>
    <n v="5843.2900000000009"/>
    <n v="5843.29"/>
    <n v="0.23970819652224995"/>
    <s v="Paid"/>
    <x v="0"/>
  </r>
  <r>
    <s v="ORD-2024-10238"/>
    <s v="Unique"/>
    <x v="1"/>
    <n v="2024"/>
    <d v="2024-08-27T00:00:00"/>
    <d v="2024-08-27T00:00:00"/>
    <n v="0"/>
    <s v="Valid"/>
    <s v="CUST-3827"/>
    <s v="Mira Das"/>
    <x v="0"/>
    <x v="0"/>
    <s v="Haryana"/>
    <m/>
    <x v="2"/>
    <x v="6"/>
    <s v="Smart Copiers 471"/>
    <x v="3"/>
    <n v="9"/>
    <n v="2330.3000000000002"/>
    <n v="20972.7"/>
    <n v="0"/>
    <n v="0"/>
    <s v="Valid"/>
    <s v="Clean"/>
    <n v="20972.7"/>
    <n v="13504.88"/>
    <n v="7467.8200000000015"/>
    <n v="7467.82"/>
    <n v="0.35607337157352176"/>
    <s v="Paid"/>
    <x v="0"/>
  </r>
  <r>
    <s v="ORD-2024-10239"/>
    <s v="Unique"/>
    <x v="10"/>
    <n v="2024"/>
    <d v="2024-01-12T00:00:00"/>
    <d v="2024-01-17T00:00:00"/>
    <n v="5"/>
    <s v="Valid"/>
    <s v="CUST-2375"/>
    <s v="Arjun Bose"/>
    <x v="0"/>
    <x v="2"/>
    <s v="Andhra Pradesh"/>
    <m/>
    <x v="0"/>
    <x v="8"/>
    <s v="Prime Storage 625"/>
    <x v="2"/>
    <n v="7"/>
    <n v="4005.05"/>
    <n v="12615.907499999999"/>
    <n v="0.55000000000000004"/>
    <n v="0.55000000000000004"/>
    <s v="Valid"/>
    <s v="Clean"/>
    <n v="26633.58"/>
    <n v="18838.75"/>
    <n v="-6222.8425000000007"/>
    <n v="7794.83"/>
    <n v="0.29266925437736868"/>
    <s v="Paid"/>
    <x v="0"/>
  </r>
  <r>
    <s v="ORD-2024-10240"/>
    <s v="Unique"/>
    <x v="7"/>
    <n v="2024"/>
    <d v="2024-09-21T00:00:00"/>
    <d v="2024-09-21T00:00:00"/>
    <n v="0"/>
    <s v="Valid"/>
    <s v="CUST-2233"/>
    <s v="Kabir Singh"/>
    <x v="2"/>
    <x v="2"/>
    <s v="Karnataka"/>
    <m/>
    <x v="2"/>
    <x v="12"/>
    <s v="Smart Machines 801"/>
    <x v="2"/>
    <n v="2"/>
    <n v="1960.06"/>
    <n v="3136.096"/>
    <n v="0.2"/>
    <n v="0.2"/>
    <s v="Valid"/>
    <s v="Clean"/>
    <n v="3136.1"/>
    <n v="2279.4899999999998"/>
    <n v="856.60600000000022"/>
    <n v="856.61"/>
    <n v="0.2731449889990753"/>
    <s v="Paid"/>
    <x v="0"/>
  </r>
  <r>
    <s v="ORD-2024-10241"/>
    <s v="Unique"/>
    <x v="8"/>
    <n v="2024"/>
    <d v="2024-12-17T00:00:00"/>
    <d v="2024-12-23T00:00:00"/>
    <n v="6"/>
    <s v="Valid"/>
    <s v="CUST-9778"/>
    <s v="Aarav Sharma"/>
    <x v="2"/>
    <x v="2"/>
    <s v="Telangana"/>
    <m/>
    <x v="0"/>
    <x v="9"/>
    <s v="Max Binders 170"/>
    <x v="2"/>
    <n v="9"/>
    <n v="2315.1"/>
    <n v="20835.899999999998"/>
    <n v="0"/>
    <n v="0"/>
    <s v="Valid"/>
    <s v="Clean"/>
    <n v="20835.900000000001"/>
    <n v="13928.19"/>
    <n v="6907.7099999999973"/>
    <n v="6907.71"/>
    <n v="0.33152923559817427"/>
    <s v="Paid"/>
    <x v="0"/>
  </r>
  <r>
    <s v="ORD-2025-10242"/>
    <s v="Unique"/>
    <x v="0"/>
    <n v="2025"/>
    <d v="2025-07-06T00:00:00"/>
    <d v="2025-07-06T00:00:00"/>
    <n v="0"/>
    <s v="Valid"/>
    <s v="CUST-6949"/>
    <s v="Sneha Kapoor"/>
    <x v="2"/>
    <x v="0"/>
    <s v="Haryana"/>
    <m/>
    <x v="0"/>
    <x v="8"/>
    <s v="Basic Storage 737"/>
    <x v="3"/>
    <n v="1"/>
    <n v="1617.2"/>
    <n v="1212.9000000000001"/>
    <n v="0.25"/>
    <n v="0.25"/>
    <s v="Valid"/>
    <s v="Clean"/>
    <n v="1212.9000000000001"/>
    <n v="690.52"/>
    <n v="522.38000000000011"/>
    <n v="522.38"/>
    <n v="0.43068678374144609"/>
    <s v="Pending"/>
    <x v="2"/>
  </r>
  <r>
    <s v="ORD-2025-10243"/>
    <s v="Unique"/>
    <x v="6"/>
    <n v="2025"/>
    <d v="2025-02-07T00:00:00"/>
    <d v="2025-02-07T00:00:00"/>
    <n v="0"/>
    <s v="Valid"/>
    <s v="CUST-3430"/>
    <s v="Arjun Bose"/>
    <x v="0"/>
    <x v="0"/>
    <s v="Uttar Pradesh"/>
    <m/>
    <x v="0"/>
    <x v="2"/>
    <s v="Classic Art 126"/>
    <x v="0"/>
    <n v="3"/>
    <n v="1999.24"/>
    <n v="5697.8339999999998"/>
    <n v="0.05"/>
    <n v="0.05"/>
    <s v="Valid"/>
    <s v="Clean"/>
    <n v="5697.83"/>
    <n v="4251.5"/>
    <n v="1446.3339999999998"/>
    <n v="1446.33"/>
    <n v="0.2538387421176132"/>
    <s v="Paid"/>
    <x v="0"/>
  </r>
  <r>
    <s v="ORD-2025-10244"/>
    <s v="Unique"/>
    <x v="0"/>
    <n v="2025"/>
    <d v="2025-07-29T00:00:00"/>
    <d v="2025-08-02T00:00:00"/>
    <n v="4"/>
    <s v="Valid"/>
    <s v="CUST-6310"/>
    <s v="Sneha Kapoor"/>
    <x v="1"/>
    <x v="4"/>
    <s v="Madhya Pradesh"/>
    <m/>
    <x v="2"/>
    <x v="5"/>
    <s v="Prime Accessories 243"/>
    <x v="2"/>
    <n v="1"/>
    <n v="4499.46"/>
    <n v="4049.5140000000001"/>
    <n v="0.1"/>
    <n v="0.1"/>
    <s v="Valid"/>
    <s v="Clean"/>
    <n v="4049.51"/>
    <n v="2509.1999999999998"/>
    <n v="1540.3140000000003"/>
    <n v="1540.31"/>
    <n v="0.38036947680089689"/>
    <s v="Paid"/>
    <x v="0"/>
  </r>
  <r>
    <s v="ORD-2024-10245"/>
    <s v="Unique"/>
    <x v="1"/>
    <n v="2024"/>
    <d v="2024-08-23T00:00:00"/>
    <d v="2024-08-24T00:00:00"/>
    <n v="1"/>
    <s v="Valid"/>
    <s v="CUST-6008"/>
    <s v="Neha Gupta"/>
    <x v="0"/>
    <x v="2"/>
    <s v="Telangana"/>
    <m/>
    <x v="1"/>
    <x v="10"/>
    <s v="Eco Bookcases 768"/>
    <x v="1"/>
    <n v="6"/>
    <n v="1021.89"/>
    <n v="6131.34"/>
    <n v="0"/>
    <n v="0"/>
    <s v="Valid"/>
    <s v="Clean"/>
    <n v="6131.34"/>
    <n v="4060.88"/>
    <n v="2070.46"/>
    <n v="2070.46"/>
    <n v="0.33768474754295147"/>
    <s v="Paid"/>
    <x v="0"/>
  </r>
  <r>
    <s v="ORD-2024-10246"/>
    <s v="Unique"/>
    <x v="9"/>
    <n v="2024"/>
    <d v="2024-10-18T00:00:00"/>
    <d v="2024-10-24T00:00:00"/>
    <n v="6"/>
    <s v="Valid"/>
    <s v="CUST-1704"/>
    <s v="Neha Gupta"/>
    <x v="3"/>
    <x v="2"/>
    <s v="Kerala"/>
    <m/>
    <x v="1"/>
    <x v="4"/>
    <s v="Pro Chairs 316"/>
    <x v="0"/>
    <n v="3"/>
    <n v="3275.93"/>
    <n v="9827.7899999999991"/>
    <n v="0"/>
    <n v="0"/>
    <s v="Valid"/>
    <s v="Clean"/>
    <n v="9827.7900000000009"/>
    <n v="5478.28"/>
    <n v="4349.5099999999993"/>
    <n v="4349.51"/>
    <n v="0.44257254174132737"/>
    <s v="Paid"/>
    <x v="0"/>
  </r>
  <r>
    <s v="ORD-2024-10247"/>
    <s v="Unique"/>
    <x v="4"/>
    <n v="2024"/>
    <d v="2024-05-04T00:00:00"/>
    <d v="2024-05-09T00:00:00"/>
    <n v="5"/>
    <s v="Valid"/>
    <s v="CUST-1827"/>
    <s v="Ananya Rao"/>
    <x v="2"/>
    <x v="0"/>
    <s v="Punjab"/>
    <m/>
    <x v="2"/>
    <x v="12"/>
    <s v="Classic Machines 819"/>
    <x v="1"/>
    <n v="3"/>
    <n v="231.95"/>
    <n v="521.88749999999993"/>
    <n v="0.25"/>
    <n v="0.25"/>
    <s v="Valid"/>
    <s v="Clean"/>
    <n v="521.89"/>
    <n v="444.52"/>
    <n v="77.36749999999995"/>
    <n v="77.37"/>
    <n v="0.14824963114832629"/>
    <s v="Refunded"/>
    <x v="1"/>
  </r>
  <r>
    <s v="ORD-2024-10248"/>
    <s v="Unique"/>
    <x v="0"/>
    <n v="2024"/>
    <d v="2024-07-25T00:00:00"/>
    <d v="2024-08-01T00:00:00"/>
    <n v="7"/>
    <s v="Valid"/>
    <s v="CUST-6663"/>
    <s v="Rahul Verma"/>
    <x v="2"/>
    <x v="0"/>
    <s v="Rajasthan"/>
    <m/>
    <x v="2"/>
    <x v="5"/>
    <s v="Smart Accessories 572"/>
    <x v="0"/>
    <n v="8"/>
    <n v="2493.4"/>
    <n v="14960.400000000001"/>
    <n v="0.25"/>
    <n v="0.25"/>
    <s v="Valid"/>
    <s v="Clean"/>
    <n v="14960.4"/>
    <n v="12500.84"/>
    <n v="2459.5600000000013"/>
    <n v="2459.56"/>
    <n v="0.16440469506162936"/>
    <s v="Paid"/>
    <x v="0"/>
  </r>
  <r>
    <s v="ORD-2024-10249"/>
    <s v="Unique"/>
    <x v="2"/>
    <n v="2024"/>
    <d v="2024-06-02T00:00:00"/>
    <d v="2024-06-07T00:00:00"/>
    <n v="5"/>
    <s v="Valid"/>
    <s v="CUST-6278"/>
    <s v="Rohan Mehta"/>
    <x v="3"/>
    <x v="1"/>
    <s v="Odisha"/>
    <m/>
    <x v="0"/>
    <x v="7"/>
    <s v="Basic Labels 432"/>
    <x v="0"/>
    <n v="9"/>
    <n v="787.91"/>
    <n v="6027.5114999999996"/>
    <n v="0.15"/>
    <n v="0.15"/>
    <s v="Valid"/>
    <s v="Clean"/>
    <n v="6027.51"/>
    <n v="4883.82"/>
    <n v="1143.6914999999999"/>
    <n v="1143.69"/>
    <n v="0.1897450190874839"/>
    <s v="Paid"/>
    <x v="0"/>
  </r>
  <r>
    <s v="ORD-2025-10250"/>
    <s v="Unique"/>
    <x v="1"/>
    <n v="2025"/>
    <d v="2025-08-01T00:00:00"/>
    <d v="2025-08-02T00:00:00"/>
    <n v="1"/>
    <s v="Valid"/>
    <s v="CUST-2305"/>
    <s v="Mira Das"/>
    <x v="2"/>
    <x v="0"/>
    <s v="Rajasthan"/>
    <m/>
    <x v="1"/>
    <x v="3"/>
    <s v="Classic Furnishings 378"/>
    <x v="2"/>
    <n v="4"/>
    <n v="2790.29"/>
    <n v="8928.9279999999999"/>
    <n v="0.2"/>
    <n v="0.2"/>
    <s v="Valid"/>
    <s v="Clean"/>
    <n v="8928.93"/>
    <n v="5634.38"/>
    <n v="3294.5479999999998"/>
    <n v="3294.55"/>
    <n v="0.36897478197275596"/>
    <s v="Paid"/>
    <x v="0"/>
  </r>
  <r>
    <s v="ORD-2024-10251"/>
    <s v="Unique"/>
    <x v="6"/>
    <n v="2024"/>
    <d v="2024-02-21T00:00:00"/>
    <d v="2024-02-27T00:00:00"/>
    <n v="6"/>
    <s v="Valid"/>
    <s v="CUST-5351"/>
    <s v="Arjun Bose"/>
    <x v="1"/>
    <x v="1"/>
    <s v="West Bengal"/>
    <m/>
    <x v="1"/>
    <x v="3"/>
    <s v="Prime Furnishings 781"/>
    <x v="3"/>
    <n v="5"/>
    <n v="3373.86"/>
    <n v="14338.904999999999"/>
    <n v="0.15"/>
    <n v="0.15"/>
    <s v="Valid"/>
    <s v="Clean"/>
    <n v="14338.9"/>
    <n v="11897.65"/>
    <n v="2441.2549999999992"/>
    <n v="2441.25"/>
    <n v="0.17025364567714399"/>
    <s v="Pending"/>
    <x v="2"/>
  </r>
  <r>
    <s v="ORD-2025-10252"/>
    <s v="Unique"/>
    <x v="5"/>
    <n v="2025"/>
    <d v="2025-04-06T00:00:00"/>
    <d v="2025-04-10T00:00:00"/>
    <n v="4"/>
    <s v="Valid"/>
    <s v="CUST-6268"/>
    <s v="Ananya Rao"/>
    <x v="2"/>
    <x v="3"/>
    <s v="Gujarat"/>
    <m/>
    <x v="1"/>
    <x v="1"/>
    <s v="Prime Tables 263"/>
    <x v="0"/>
    <n v="6"/>
    <n v="1022.16"/>
    <n v="6132.96"/>
    <n v="0"/>
    <n v="0"/>
    <s v="Valid"/>
    <s v="Clean"/>
    <n v="6132.96"/>
    <n v="4881.1000000000004"/>
    <n v="1251.8599999999997"/>
    <n v="1251.8599999999999"/>
    <n v="0.20412003339333698"/>
    <s v="Paid"/>
    <x v="0"/>
  </r>
  <r>
    <s v="ORD-2025-10253"/>
    <s v="Unique"/>
    <x v="2"/>
    <n v="2025"/>
    <d v="2025-06-25T00:00:00"/>
    <d v="2025-06-28T00:00:00"/>
    <n v="3"/>
    <s v="Valid"/>
    <s v="CUST-2103"/>
    <s v="Arjun Bose"/>
    <x v="2"/>
    <x v="0"/>
    <s v="Haryana"/>
    <m/>
    <x v="0"/>
    <x v="8"/>
    <s v="Basic Storage 269"/>
    <x v="2"/>
    <n v="2"/>
    <n v="1455.92"/>
    <n v="2329.4720000000002"/>
    <n v="0.2"/>
    <n v="0.2"/>
    <s v="Valid"/>
    <s v="Clean"/>
    <n v="2329.4699999999998"/>
    <n v="1603.62"/>
    <n v="725.85200000000032"/>
    <n v="725.85"/>
    <n v="0.31159448286520114"/>
    <s v="Pending"/>
    <x v="2"/>
  </r>
  <r>
    <s v="ORD-2024-10254"/>
    <s v="Unique"/>
    <x v="7"/>
    <n v="2024"/>
    <d v="2024-09-12T00:00:00"/>
    <d v="2024-09-13T00:00:00"/>
    <n v="1"/>
    <s v="Valid"/>
    <s v="CUST-5394"/>
    <s v="Priya Menon"/>
    <x v="1"/>
    <x v="0"/>
    <s v="Rajasthan"/>
    <m/>
    <x v="2"/>
    <x v="11"/>
    <s v="Classic Phones 442"/>
    <x v="1"/>
    <n v="6"/>
    <n v="832.79"/>
    <n v="4746.9029999999993"/>
    <n v="0.05"/>
    <n v="0.05"/>
    <s v="Valid"/>
    <s v="Clean"/>
    <n v="4746.8999999999996"/>
    <n v="2825.38"/>
    <n v="1921.5229999999992"/>
    <n v="1472.89"/>
    <n v="0.31028460679601427"/>
    <s v="Refunded"/>
    <x v="1"/>
  </r>
  <r>
    <s v="ORD-2025-10255"/>
    <s v="Unique"/>
    <x v="10"/>
    <n v="2025"/>
    <d v="2025-01-01T00:00:00"/>
    <d v="2025-01-03T00:00:00"/>
    <n v="2"/>
    <s v="Valid"/>
    <s v="CUST-6853"/>
    <s v="Ananya Rao"/>
    <x v="0"/>
    <x v="3"/>
    <s v="Madhya Pradesh"/>
    <m/>
    <x v="2"/>
    <x v="5"/>
    <s v="Elite Accessories 978"/>
    <x v="1"/>
    <n v="7"/>
    <n v="1000.55"/>
    <n v="5603.08"/>
    <n v="0.2"/>
    <n v="0.2"/>
    <s v="Valid"/>
    <s v="Clean"/>
    <n v="5603.08"/>
    <n v="3132.52"/>
    <n v="2470.56"/>
    <n v="2470.56"/>
    <n v="0.44092891766671188"/>
    <s v="Paid"/>
    <x v="2"/>
  </r>
  <r>
    <s v="ORD-2025-10256"/>
    <s v="Unique"/>
    <x v="6"/>
    <n v="2025"/>
    <d v="2025-02-04T00:00:00"/>
    <d v="2025-02-10T00:00:00"/>
    <n v="6"/>
    <s v="Valid"/>
    <s v="CUST-1549"/>
    <s v="Isha Nair"/>
    <x v="2"/>
    <x v="3"/>
    <s v="Maharashtra"/>
    <m/>
    <x v="2"/>
    <x v="11"/>
    <s v="Eco Phones 132"/>
    <x v="2"/>
    <n v="7"/>
    <n v="1830"/>
    <n v="12810"/>
    <n v="0"/>
    <n v="0"/>
    <s v="Valid"/>
    <s v="Clean"/>
    <n v="12810"/>
    <n v="9334.1200000000008"/>
    <n v="3475.8799999999992"/>
    <n v="3475.88"/>
    <n v="0.27134113973458235"/>
    <s v="Paid"/>
    <x v="0"/>
  </r>
  <r>
    <s v="ORD-2024-10257"/>
    <s v="Unique"/>
    <x v="3"/>
    <n v="2024"/>
    <d v="2024-11-05T00:00:00"/>
    <d v="2024-11-03T00:00:00"/>
    <n v="-2"/>
    <s v="Invalid: Ship Date Before Order Date"/>
    <s v="CUST-8411"/>
    <s v="Ananya Rao"/>
    <x v="0"/>
    <x v="1"/>
    <s v="West Bengal"/>
    <m/>
    <x v="1"/>
    <x v="1"/>
    <s v="Prime Tables 481"/>
    <x v="2"/>
    <n v="9"/>
    <n v="2260.61"/>
    <n v="19328.215500000002"/>
    <n v="0.05"/>
    <n v="0.05"/>
    <s v="Valid"/>
    <s v="Invalid"/>
    <n v="19328.22"/>
    <n v="12039.5"/>
    <n v="7288.7155000000021"/>
    <n v="7288.72"/>
    <n v="0.37710249572904281"/>
    <s v="Paid"/>
    <x v="0"/>
  </r>
  <r>
    <s v="ORD-2025-10258"/>
    <s v="Unique"/>
    <x v="1"/>
    <n v="2025"/>
    <d v="2025-08-09T00:00:00"/>
    <d v="2025-08-12T00:00:00"/>
    <n v="3"/>
    <s v="Valid"/>
    <s v="CUST-5615"/>
    <s v="Diya Patel"/>
    <x v="2"/>
    <x v="2"/>
    <s v="Karnataka"/>
    <m/>
    <x v="2"/>
    <x v="5"/>
    <s v="Smart Accessories 180"/>
    <x v="0"/>
    <n v="2"/>
    <n v="3237.27"/>
    <n v="6474.54"/>
    <n v="0"/>
    <n v="0"/>
    <s v="Valid"/>
    <s v="Clean"/>
    <n v="6474.54"/>
    <n v="5095.91"/>
    <n v="1378.63"/>
    <n v="1378.63"/>
    <n v="0.21293095725719513"/>
    <s v="Paid"/>
    <x v="1"/>
  </r>
  <r>
    <s v="ORD-2024-10259"/>
    <s v="Unique"/>
    <x v="8"/>
    <n v="2024"/>
    <d v="2024-12-30T00:00:00"/>
    <d v="2025-01-04T00:00:00"/>
    <n v="5"/>
    <s v="Valid"/>
    <s v="CUST-8467"/>
    <s v="Sneha Kapoor"/>
    <x v="2"/>
    <x v="2"/>
    <s v="Tamil Nadu"/>
    <m/>
    <x v="1"/>
    <x v="1"/>
    <s v="Smart Tables 774"/>
    <x v="1"/>
    <n v="2"/>
    <n v="3720.07"/>
    <n v="5580.1050000000005"/>
    <n v="0.25"/>
    <n v="0.25"/>
    <s v="Valid"/>
    <s v="Clean"/>
    <n v="5580.11"/>
    <n v="4307.01"/>
    <n v="1273.0950000000003"/>
    <n v="1273.0999999999999"/>
    <n v="0.22814962429056057"/>
    <s v="Paid"/>
    <x v="0"/>
  </r>
  <r>
    <s v="ORD-2024-10260"/>
    <s v="Unique"/>
    <x v="2"/>
    <n v="2024"/>
    <d v="2024-06-21T00:00:00"/>
    <d v="2024-06-29T00:00:00"/>
    <n v="8"/>
    <s v="Valid"/>
    <s v="CUST-5174"/>
    <s v="Neha Gupta"/>
    <x v="0"/>
    <x v="2"/>
    <s v="Tamil Nadu"/>
    <m/>
    <x v="2"/>
    <x v="12"/>
    <s v="Prime Machines 793"/>
    <x v="3"/>
    <n v="8"/>
    <n v="2853.92"/>
    <n v="18265.088"/>
    <n v="0.2"/>
    <n v="0.2"/>
    <s v="Valid"/>
    <s v="Clean"/>
    <n v="18265.09"/>
    <n v="10437.14"/>
    <n v="7827.9480000000003"/>
    <n v="7827.95"/>
    <n v="0.42857440067363478"/>
    <s v="Paid"/>
    <x v="0"/>
  </r>
  <r>
    <s v="ORD-2025-10261"/>
    <s v="Unique"/>
    <x v="7"/>
    <n v="2025"/>
    <d v="2025-09-23T00:00:00"/>
    <d v="2025-09-27T00:00:00"/>
    <n v="4"/>
    <s v="Valid"/>
    <s v="CUST-3543"/>
    <s v="Aditi Sen"/>
    <x v="2"/>
    <x v="1"/>
    <s v="West Bengal"/>
    <m/>
    <x v="0"/>
    <x v="9"/>
    <s v="Elite Binders 827"/>
    <x v="1"/>
    <n v="7"/>
    <n v="2897.12"/>
    <n v="15209.880000000001"/>
    <n v="0.25"/>
    <n v="0.25"/>
    <s v="Valid"/>
    <s v="Clean"/>
    <n v="15209.88"/>
    <n v="10891.15"/>
    <n v="4318.7300000000014"/>
    <n v="4318.7299999999996"/>
    <n v="0.28394241111698448"/>
    <s v="Failed"/>
    <x v="2"/>
  </r>
  <r>
    <s v="ORD-2025-10262"/>
    <s v="Unique"/>
    <x v="2"/>
    <n v="2025"/>
    <d v="2025-06-18T00:00:00"/>
    <d v="2025-06-24T00:00:00"/>
    <n v="6"/>
    <s v="Valid"/>
    <s v="CUST-7623"/>
    <s v="Sneha Kapoor"/>
    <x v="2"/>
    <x v="0"/>
    <s v="Rajasthan"/>
    <m/>
    <x v="0"/>
    <x v="7"/>
    <s v="Prime Labels 326"/>
    <x v="3"/>
    <n v="3"/>
    <n v="686.74"/>
    <n v="1648.1760000000004"/>
    <n v="0.2"/>
    <n v="0.2"/>
    <s v="Valid"/>
    <s v="Clean"/>
    <n v="1648.18"/>
    <n v="987.91"/>
    <n v="660.26600000000042"/>
    <n v="660.27"/>
    <n v="0.40060551638777314"/>
    <s v="Failed"/>
    <x v="1"/>
  </r>
  <r>
    <s v="ORD-2025-10263"/>
    <s v="Unique"/>
    <x v="4"/>
    <n v="2025"/>
    <d v="2025-05-26T00:00:00"/>
    <d v="2025-06-01T00:00:00"/>
    <n v="6"/>
    <s v="Valid"/>
    <s v="CUST-6153"/>
    <s v="Arjun Bose"/>
    <x v="1"/>
    <x v="0"/>
    <s v="Delhi"/>
    <m/>
    <x v="2"/>
    <x v="11"/>
    <s v="Eco Phones 245"/>
    <x v="1"/>
    <n v="4"/>
    <n v="3349.86"/>
    <n v="13399.44"/>
    <n v="0"/>
    <n v="0"/>
    <s v="Valid"/>
    <s v="Clean"/>
    <n v="13399.44"/>
    <n v="8581.35"/>
    <n v="4818.09"/>
    <n v="4818.09"/>
    <n v="0.3595739821962709"/>
    <s v="Pending"/>
    <x v="2"/>
  </r>
  <r>
    <s v="ORD-2025-10264"/>
    <s v="Unique"/>
    <x v="1"/>
    <n v="2025"/>
    <d v="2025-08-06T00:00:00"/>
    <d v="2025-08-10T00:00:00"/>
    <n v="4"/>
    <s v="Valid"/>
    <s v="CUST-8265"/>
    <s v="Rohan Mehta"/>
    <x v="1"/>
    <x v="0"/>
    <s v="Delhi"/>
    <m/>
    <x v="0"/>
    <x v="9"/>
    <s v="Smart Binders 905"/>
    <x v="0"/>
    <n v="9"/>
    <n v="4042.45"/>
    <n v="32743.844999999998"/>
    <n v="0.1"/>
    <n v="0.1"/>
    <s v="Valid"/>
    <s v="Clean"/>
    <n v="32743.84"/>
    <n v="22452.05"/>
    <n v="10291.794999999998"/>
    <n v="10291.790000000001"/>
    <n v="0.31431224926581613"/>
    <s v="Pending"/>
    <x v="2"/>
  </r>
  <r>
    <s v="ORD-2024-10265"/>
    <s v="Unique"/>
    <x v="4"/>
    <n v="2024"/>
    <d v="2024-05-16T00:00:00"/>
    <d v="2024-05-21T00:00:00"/>
    <n v="5"/>
    <s v="Valid"/>
    <s v="CUST-4750"/>
    <s v="Diya Patel"/>
    <x v="1"/>
    <x v="1"/>
    <s v="Bihar"/>
    <m/>
    <x v="2"/>
    <x v="6"/>
    <s v="Pro Copiers 599"/>
    <x v="3"/>
    <n v="4"/>
    <n v="1503.07"/>
    <n v="6012.28"/>
    <n v="0"/>
    <n v="0"/>
    <s v="Valid"/>
    <s v="Clean"/>
    <n v="6012.28"/>
    <n v="3927.64"/>
    <n v="2084.64"/>
    <n v="2084.64"/>
    <n v="0.34673035853286938"/>
    <s v="Paid"/>
    <x v="0"/>
  </r>
  <r>
    <s v="ORD-2024-10266"/>
    <s v="Unique"/>
    <x v="3"/>
    <n v="2024"/>
    <d v="2024-11-14T00:00:00"/>
    <d v="2024-11-22T00:00:00"/>
    <n v="8"/>
    <s v="Valid"/>
    <s v="CUST-3974"/>
    <s v="Priya Menon"/>
    <x v="2"/>
    <x v="1"/>
    <s v="Bihar"/>
    <m/>
    <x v="1"/>
    <x v="10"/>
    <s v="Basic Bookcases 570"/>
    <x v="1"/>
    <n v="1"/>
    <n v="582.37"/>
    <n v="495.0145"/>
    <n v="0.15"/>
    <n v="0.15"/>
    <s v="Valid"/>
    <s v="Clean"/>
    <n v="495.01"/>
    <n v="285.13"/>
    <n v="209.8845"/>
    <n v="209.88"/>
    <n v="0.42399143451647442"/>
    <s v="Refunded"/>
    <x v="1"/>
  </r>
  <r>
    <s v="ORD-2025-10267"/>
    <s v="Unique"/>
    <x v="4"/>
    <n v="2025"/>
    <d v="2025-05-03T00:00:00"/>
    <d v="2025-05-10T00:00:00"/>
    <n v="7"/>
    <s v="Valid"/>
    <s v="CUST-7114"/>
    <s v="Neha Gupta"/>
    <x v="3"/>
    <x v="3"/>
    <s v="Maharashtra"/>
    <m/>
    <x v="0"/>
    <x v="8"/>
    <s v="Classic Storage 926"/>
    <x v="0"/>
    <n v="3"/>
    <n v="4339.24"/>
    <n v="13017.72"/>
    <n v="0"/>
    <n v="0"/>
    <s v="Valid"/>
    <s v="Clean"/>
    <n v="13017.72"/>
    <n v="10170.57"/>
    <n v="2847.1499999999996"/>
    <n v="2847.15"/>
    <n v="0.21871341525244054"/>
    <s v="Paid"/>
    <x v="0"/>
  </r>
  <r>
    <s v="ORD-2025-10268"/>
    <s v="Unique"/>
    <x v="4"/>
    <n v="2025"/>
    <d v="2025-05-28T00:00:00"/>
    <d v="2025-06-04T00:00:00"/>
    <n v="7"/>
    <s v="Valid"/>
    <s v="CUST-4431"/>
    <s v="Diya Patel"/>
    <x v="2"/>
    <x v="1"/>
    <s v="Jharkhand"/>
    <m/>
    <x v="1"/>
    <x v="3"/>
    <s v="Basic Furnishings 372"/>
    <x v="2"/>
    <n v="4"/>
    <n v="261.8"/>
    <n v="785.40000000000009"/>
    <n v="0.25"/>
    <n v="0.25"/>
    <s v="Valid"/>
    <s v="Clean"/>
    <n v="785.4"/>
    <n v="557.22"/>
    <n v="228.18000000000006"/>
    <n v="228.18"/>
    <n v="0.29052711993888464"/>
    <s v="Paid"/>
    <x v="0"/>
  </r>
  <r>
    <s v="ORD-2025-10269"/>
    <s v="Unique"/>
    <x v="1"/>
    <n v="2025"/>
    <d v="2025-08-17T00:00:00"/>
    <d v="2025-08-17T00:00:00"/>
    <n v="0"/>
    <s v="Valid"/>
    <s v="CUST-1488"/>
    <s v="Aarav Sharma"/>
    <x v="3"/>
    <x v="0"/>
    <s v="Punjab"/>
    <m/>
    <x v="2"/>
    <x v="5"/>
    <s v="Prime Accessories 367"/>
    <x v="2"/>
    <n v="7"/>
    <n v="632.20000000000005"/>
    <n v="3319.05"/>
    <n v="0.25"/>
    <n v="0.25"/>
    <s v="Valid"/>
    <s v="Clean"/>
    <n v="3319.05"/>
    <n v="2124.6"/>
    <n v="1194.4500000000003"/>
    <n v="1194.45"/>
    <n v="0.35987707325891444"/>
    <s v="Paid"/>
    <x v="0"/>
  </r>
  <r>
    <s v="ORD-2025-10270"/>
    <s v="Unique"/>
    <x v="6"/>
    <n v="2025"/>
    <d v="2025-02-10T00:00:00"/>
    <d v="2025-02-12T00:00:00"/>
    <n v="2"/>
    <s v="Valid"/>
    <s v="CUST-1586"/>
    <s v="Rahul Verma"/>
    <x v="1"/>
    <x v="3"/>
    <s v="Rajasthan"/>
    <m/>
    <x v="1"/>
    <x v="1"/>
    <s v="Max Tables 526"/>
    <x v="1"/>
    <n v="1"/>
    <n v="1925.86"/>
    <n v="1925.86"/>
    <n v="0"/>
    <n v="0"/>
    <s v="Valid"/>
    <s v="Clean"/>
    <n v="1925.86"/>
    <n v="1321.89"/>
    <n v="603.9699999999998"/>
    <n v="603.97"/>
    <n v="0.3136105428224274"/>
    <s v="Paid"/>
    <x v="0"/>
  </r>
  <r>
    <s v="ORD-2024-10271"/>
    <s v="Unique"/>
    <x v="10"/>
    <n v="2024"/>
    <d v="2024-01-12T00:00:00"/>
    <d v="2024-01-13T00:00:00"/>
    <n v="1"/>
    <s v="Valid"/>
    <s v="CUST-2487"/>
    <s v="Aditi Sen"/>
    <x v="2"/>
    <x v="0"/>
    <s v="Uttar Pradesh"/>
    <m/>
    <x v="2"/>
    <x v="12"/>
    <s v="Prime Machines 794"/>
    <x v="1"/>
    <n v="3"/>
    <n v="827.44"/>
    <n v="2482.3200000000002"/>
    <n v="0"/>
    <n v="0"/>
    <s v="Valid"/>
    <s v="Clean"/>
    <n v="2482.3200000000002"/>
    <n v="1520.21"/>
    <n v="962.11000000000013"/>
    <n v="962.11"/>
    <n v="0.38758500112797706"/>
    <s v="Paid"/>
    <x v="0"/>
  </r>
  <r>
    <s v="ORD-2024-10272"/>
    <s v="Unique"/>
    <x v="8"/>
    <n v="2024"/>
    <d v="2024-12-21T00:00:00"/>
    <d v="2024-12-25T00:00:00"/>
    <n v="4"/>
    <s v="Valid"/>
    <s v="CUST-8009"/>
    <s v="Aditi Sen"/>
    <x v="0"/>
    <x v="2"/>
    <s v="Telangana"/>
    <m/>
    <x v="0"/>
    <x v="9"/>
    <s v="Max Binders 927"/>
    <x v="3"/>
    <n v="7"/>
    <n v="1667.75"/>
    <n v="11674.25"/>
    <n v="0"/>
    <n v="0"/>
    <s v="Valid"/>
    <s v="Clean"/>
    <n v="11674.25"/>
    <n v="9621.19"/>
    <n v="2053.0599999999995"/>
    <n v="2053.06"/>
    <n v="0.17586226095894811"/>
    <s v="Failed"/>
    <x v="1"/>
  </r>
  <r>
    <s v="ORD-2024-10273"/>
    <s v="Duplicate Order ID"/>
    <x v="1"/>
    <n v="2024"/>
    <d v="2024-08-18T00:00:00"/>
    <d v="2024-08-24T00:00:00"/>
    <n v="6"/>
    <s v="Valid"/>
    <s v="CUST-7389"/>
    <s v="Arjun Bose"/>
    <x v="0"/>
    <x v="2"/>
    <s v="Andhra Pradesh"/>
    <m/>
    <x v="1"/>
    <x v="4"/>
    <s v="Eco Chairs 314"/>
    <x v="2"/>
    <n v="7"/>
    <n v="557.21"/>
    <n v="3510.4230000000002"/>
    <n v="0.1"/>
    <n v="0.1"/>
    <s v="Valid"/>
    <s v="Clean"/>
    <n v="3510.42"/>
    <n v="2191.5"/>
    <n v="1318.9230000000002"/>
    <n v="1213.48"/>
    <n v="0.34567943436967657"/>
    <s v="Paid"/>
    <x v="0"/>
  </r>
  <r>
    <s v="ORD-2025-10274"/>
    <s v="Unique"/>
    <x v="6"/>
    <n v="2025"/>
    <d v="2025-02-13T00:00:00"/>
    <d v="2025-02-13T00:00:00"/>
    <n v="0"/>
    <s v="Valid"/>
    <s v="CUST-8249"/>
    <s v="Isha Nair"/>
    <x v="0"/>
    <x v="1"/>
    <s v="Bihar"/>
    <m/>
    <x v="0"/>
    <x v="0"/>
    <s v="Basic Paper 657"/>
    <x v="0"/>
    <n v="9"/>
    <n v="2521.63"/>
    <n v="22694.670000000002"/>
    <n v="0"/>
    <n v="0"/>
    <s v="Valid"/>
    <s v="Clean"/>
    <n v="22694.67"/>
    <n v="15405.36"/>
    <n v="7289.3100000000013"/>
    <n v="7289.31"/>
    <n v="0.32119039404406413"/>
    <s v="Paid"/>
    <x v="2"/>
  </r>
  <r>
    <s v="ORD-2024-10275"/>
    <s v="Unique"/>
    <x v="5"/>
    <n v="2024"/>
    <d v="2024-04-07T00:00:00"/>
    <d v="2024-04-14T00:00:00"/>
    <n v="7"/>
    <s v="Valid"/>
    <s v="CUST-4202"/>
    <s v="Rohan Mehta"/>
    <x v="0"/>
    <x v="2"/>
    <s v="Kerala"/>
    <m/>
    <x v="2"/>
    <x v="6"/>
    <s v="Pro Copiers 406"/>
    <x v="3"/>
    <n v="6"/>
    <n v="4246.71"/>
    <n v="21658.221000000001"/>
    <n v="0.15"/>
    <n v="0.15"/>
    <s v="Valid"/>
    <s v="Clean"/>
    <n v="21658.22"/>
    <n v="15490.69"/>
    <n v="6167.5310000000009"/>
    <n v="6167.53"/>
    <n v="0.28476624579489906"/>
    <s v="Failed"/>
    <x v="2"/>
  </r>
  <r>
    <s v="ORD-2024-10276"/>
    <s v="Unique"/>
    <x v="6"/>
    <n v="2024"/>
    <d v="2024-02-15T00:00:00"/>
    <d v="2024-02-22T00:00:00"/>
    <n v="7"/>
    <s v="Valid"/>
    <s v="CUST-2875"/>
    <s v="Priya Menon"/>
    <x v="1"/>
    <x v="1"/>
    <s v="West Bengal"/>
    <m/>
    <x v="1"/>
    <x v="3"/>
    <s v="Eco Furnishings 678"/>
    <x v="1"/>
    <n v="1"/>
    <n v="980.51"/>
    <n v="980.51"/>
    <n v="0"/>
    <n v="0"/>
    <s v="Valid"/>
    <s v="Clean"/>
    <n v="980.51"/>
    <n v="660.92"/>
    <n v="319.59000000000003"/>
    <n v="319.58999999999997"/>
    <n v="0.32594262169687199"/>
    <s v="Paid"/>
    <x v="0"/>
  </r>
  <r>
    <s v="ORD-2024-10277"/>
    <s v="Unique"/>
    <x v="10"/>
    <n v="2024"/>
    <d v="2024-01-22T00:00:00"/>
    <d v="2024-01-23T00:00:00"/>
    <n v="1"/>
    <s v="Valid"/>
    <s v="CUST-7039"/>
    <s v="Aarav Sharma"/>
    <x v="1"/>
    <x v="4"/>
    <s v="Assam"/>
    <m/>
    <x v="1"/>
    <x v="4"/>
    <s v="Basic Chairs 141"/>
    <x v="0"/>
    <n v="6"/>
    <n v="3391.53"/>
    <s v="Invalid"/>
    <n v="-0.14000000000000001"/>
    <s v="Invalid"/>
    <s v="Invalid"/>
    <s v="Invalid"/>
    <n v="15261.89"/>
    <n v="8413.5300000000007"/>
    <s v="Invalid"/>
    <n v="6848.36"/>
    <n v="0.44872293012202291"/>
    <s v="Paid"/>
    <x v="0"/>
  </r>
  <r>
    <s v="ORD-2025-10278"/>
    <s v="Unique"/>
    <x v="2"/>
    <n v="2025"/>
    <d v="2025-06-04T00:00:00"/>
    <d v="2025-06-04T00:00:00"/>
    <n v="0"/>
    <s v="Valid"/>
    <s v="CUST-2819"/>
    <s v="Isha Nair"/>
    <x v="2"/>
    <x v="0"/>
    <s v="Haryana"/>
    <m/>
    <x v="2"/>
    <x v="5"/>
    <s v="Elite Accessories 291"/>
    <x v="0"/>
    <n v="1"/>
    <n v="2133.73"/>
    <n v="1813.6704999999999"/>
    <n v="0.15"/>
    <n v="0.15"/>
    <s v="Valid"/>
    <s v="Clean"/>
    <n v="2008.39"/>
    <n v="1002.57"/>
    <n v="811.1004999999999"/>
    <n v="811.1"/>
    <n v="0.40385582481490145"/>
    <s v="Pending"/>
    <x v="1"/>
  </r>
  <r>
    <s v="ORD-2025-10279"/>
    <s v="Unique"/>
    <x v="11"/>
    <n v="2025"/>
    <d v="2025-03-07T00:00:00"/>
    <d v="2025-03-14T00:00:00"/>
    <n v="7"/>
    <s v="Valid"/>
    <s v="CUST-8242"/>
    <s v="Priya Menon"/>
    <x v="1"/>
    <x v="0"/>
    <s v="Delhi"/>
    <m/>
    <x v="2"/>
    <x v="5"/>
    <s v="Pro Accessories 207"/>
    <x v="1"/>
    <n v="1"/>
    <n v="3979.64"/>
    <n v="3780.6579999999999"/>
    <n v="0.05"/>
    <n v="0.05"/>
    <s v="Valid"/>
    <s v="Clean"/>
    <n v="3780.66"/>
    <n v="2148.31"/>
    <n v="1632.348"/>
    <n v="1632.35"/>
    <n v="0.43176323710674858"/>
    <s v="Paid"/>
    <x v="2"/>
  </r>
  <r>
    <s v="ORD-2024-10280"/>
    <s v="Unique"/>
    <x v="5"/>
    <n v="2024"/>
    <d v="2024-04-09T00:00:00"/>
    <d v="2024-04-10T00:00:00"/>
    <n v="1"/>
    <s v="Valid"/>
    <s v="CUST-4571"/>
    <s v="Rohan Mehta"/>
    <x v="1"/>
    <x v="3"/>
    <s v="Maharashtra"/>
    <m/>
    <x v="0"/>
    <x v="8"/>
    <s v="Max Storage 564"/>
    <x v="2"/>
    <n v="1"/>
    <n v="4359.12"/>
    <n v="4141.1639999999998"/>
    <n v="0.05"/>
    <n v="0.05"/>
    <s v="Valid"/>
    <s v="Clean"/>
    <n v="4141.16"/>
    <n v="2754.17"/>
    <n v="1386.9939999999997"/>
    <n v="1386.99"/>
    <n v="0.33492789459958083"/>
    <s v="Paid"/>
    <x v="0"/>
  </r>
  <r>
    <s v="ORD-2024-10281"/>
    <s v="Unique"/>
    <x v="8"/>
    <n v="2024"/>
    <d v="2024-12-23T00:00:00"/>
    <d v="2024-12-26T00:00:00"/>
    <n v="3"/>
    <s v="Valid"/>
    <s v="CUST-4098"/>
    <s v="Aditi Sen"/>
    <x v="0"/>
    <x v="2"/>
    <s v="Karnataka"/>
    <m/>
    <x v="2"/>
    <x v="6"/>
    <s v="Prime Copiers 961"/>
    <x v="3"/>
    <n v="9"/>
    <n v="993.67"/>
    <n v="8943.0299999999988"/>
    <n v="0"/>
    <n v="0"/>
    <s v="Valid"/>
    <s v="Clean"/>
    <n v="8943.0300000000007"/>
    <n v="5165.38"/>
    <n v="3777.6499999999987"/>
    <n v="3777.65"/>
    <n v="0.42241276167026165"/>
    <s v="Paid"/>
    <x v="0"/>
  </r>
  <r>
    <s v="ORD-2025-10282"/>
    <s v="Unique"/>
    <x v="0"/>
    <n v="2025"/>
    <d v="2025-07-25T00:00:00"/>
    <d v="2025-07-27T00:00:00"/>
    <n v="2"/>
    <s v="Valid"/>
    <s v="CUST-2052"/>
    <s v="Kabir Singh"/>
    <x v="0"/>
    <x v="1"/>
    <s v="Jharkhand"/>
    <m/>
    <x v="0"/>
    <x v="9"/>
    <s v="Basic Binders 637"/>
    <x v="0"/>
    <n v="6"/>
    <n v="3438.38"/>
    <n v="16504.223999999998"/>
    <n v="0.2"/>
    <n v="0.2"/>
    <s v="Valid"/>
    <s v="Clean"/>
    <n v="16504.22"/>
    <n v="11262.71"/>
    <n v="5241.5139999999992"/>
    <n v="5241.51"/>
    <n v="0.31758604768962118"/>
    <s v="Paid"/>
    <x v="0"/>
  </r>
  <r>
    <s v="ORD-2024-10283"/>
    <s v="Unique"/>
    <x v="9"/>
    <n v="2024"/>
    <d v="2024-10-01T00:00:00"/>
    <d v="2024-10-02T00:00:00"/>
    <n v="1"/>
    <s v="Valid"/>
    <s v="CUST-9445"/>
    <s v="Karan Malhotra"/>
    <x v="3"/>
    <x v="1"/>
    <s v="Assam"/>
    <m/>
    <x v="1"/>
    <x v="1"/>
    <s v="Classic Tables 811"/>
    <x v="0"/>
    <n v="2"/>
    <n v="2298"/>
    <n v="4596"/>
    <n v="0"/>
    <n v="0"/>
    <s v="Valid"/>
    <s v="Clean"/>
    <n v="4596"/>
    <n v="3220.33"/>
    <n v="1375.67"/>
    <n v="1375.67"/>
    <n v="0.29931897302001742"/>
    <s v="Paid"/>
    <x v="0"/>
  </r>
  <r>
    <s v="ORD-2025-10284"/>
    <s v="Unique"/>
    <x v="11"/>
    <n v="2025"/>
    <d v="2025-03-13T00:00:00"/>
    <d v="2025-03-20T00:00:00"/>
    <n v="7"/>
    <s v="Valid"/>
    <s v="CUST-6568"/>
    <s v="Vikram Iyer"/>
    <x v="0"/>
    <x v="3"/>
    <s v="Maharashtra"/>
    <m/>
    <x v="1"/>
    <x v="3"/>
    <s v="Classic Furnishings 819"/>
    <x v="2"/>
    <n v="1"/>
    <n v="1814.01"/>
    <n v="1814.01"/>
    <n v="0"/>
    <n v="0"/>
    <s v="Valid"/>
    <s v="Clean"/>
    <n v="1814.01"/>
    <n v="1033.47"/>
    <n v="780.54"/>
    <n v="780.54"/>
    <n v="0.43028428729720342"/>
    <s v="Paid"/>
    <x v="0"/>
  </r>
  <r>
    <s v="ORD-2024-10285"/>
    <s v="Unique"/>
    <x v="8"/>
    <n v="2024"/>
    <d v="2024-12-08T00:00:00"/>
    <d v="2024-12-14T00:00:00"/>
    <n v="6"/>
    <s v="Valid"/>
    <s v="CUST-2076"/>
    <s v="Karan Malhotra"/>
    <x v="0"/>
    <x v="1"/>
    <s v="Odisha"/>
    <m/>
    <x v="1"/>
    <x v="1"/>
    <s v="Prime Tables 542"/>
    <x v="1"/>
    <n v="3"/>
    <n v="1576.92"/>
    <n v="4730.76"/>
    <n v="0"/>
    <n v="0"/>
    <s v="Valid"/>
    <s v="Clean"/>
    <n v="4730.76"/>
    <n v="3139.73"/>
    <n v="1591.0300000000002"/>
    <n v="1591.03"/>
    <n v="0.3363159407790714"/>
    <s v="Paid"/>
    <x v="2"/>
  </r>
  <r>
    <s v="ORD-2025-10286"/>
    <s v="Unique"/>
    <x v="1"/>
    <n v="2025"/>
    <d v="2025-08-15T00:00:00"/>
    <d v="2025-08-20T00:00:00"/>
    <n v="5"/>
    <s v="Valid"/>
    <s v="CUST-5610"/>
    <s v="Neha Gupta"/>
    <x v="3"/>
    <x v="0"/>
    <s v="Rajasthan"/>
    <m/>
    <x v="0"/>
    <x v="8"/>
    <s v="Basic Storage 771"/>
    <x v="3"/>
    <n v="9"/>
    <n v="4081.77"/>
    <n v="36735.93"/>
    <n v="0"/>
    <n v="0"/>
    <s v="Valid"/>
    <s v="Clean"/>
    <n v="36735.93"/>
    <n v="30820.84"/>
    <n v="5915.09"/>
    <n v="5915.09"/>
    <n v="0.16101647624001897"/>
    <s v="Paid"/>
    <x v="0"/>
  </r>
  <r>
    <s v="ORD-2024-10287"/>
    <s v="Unique"/>
    <x v="6"/>
    <n v="2024"/>
    <d v="2024-02-28T00:00:00"/>
    <d v="2024-03-02T00:00:00"/>
    <n v="3"/>
    <s v="Valid"/>
    <s v="CUST-5823"/>
    <s v="Priya Menon"/>
    <x v="1"/>
    <x v="0"/>
    <s v="Delhi"/>
    <m/>
    <x v="1"/>
    <x v="3"/>
    <s v="Pro Furnishings 848"/>
    <x v="2"/>
    <n v="7"/>
    <n v="701.8"/>
    <n v="4421.3399999999992"/>
    <n v="0.1"/>
    <n v="0.1"/>
    <s v="Valid"/>
    <s v="Clean"/>
    <n v="4421.34"/>
    <n v="2489.98"/>
    <n v="1931.3599999999992"/>
    <n v="1931.36"/>
    <n v="0.43682684435035529"/>
    <s v="Pending"/>
    <x v="2"/>
  </r>
  <r>
    <s v="ORD-2024-10288"/>
    <s v="Unique"/>
    <x v="7"/>
    <n v="2024"/>
    <d v="2024-09-05T00:00:00"/>
    <d v="2024-09-07T00:00:00"/>
    <n v="2"/>
    <s v="Valid"/>
    <s v="CUST-7095"/>
    <s v="Neha Gupta"/>
    <x v="1"/>
    <x v="2"/>
    <s v="Tamil Nadu"/>
    <m/>
    <x v="2"/>
    <x v="6"/>
    <s v="Prime Copiers 924"/>
    <x v="3"/>
    <n v="3"/>
    <n v="2555.66"/>
    <n v="6516.9329999999991"/>
    <n v="0.15"/>
    <n v="0.15"/>
    <s v="Valid"/>
    <s v="Clean"/>
    <n v="6516.93"/>
    <n v="4511.54"/>
    <n v="2005.3929999999991"/>
    <n v="2005.39"/>
    <n v="0.30772004609532405"/>
    <s v="Paid"/>
    <x v="1"/>
  </r>
  <r>
    <s v="ORD-2024-10289"/>
    <s v="Unique"/>
    <x v="2"/>
    <n v="2024"/>
    <d v="2024-06-24T00:00:00"/>
    <d v="2024-06-24T00:00:00"/>
    <n v="0"/>
    <s v="Valid"/>
    <s v="CUST-4805"/>
    <s v="Rohan Mehta"/>
    <x v="1"/>
    <x v="1"/>
    <s v="Bihar"/>
    <m/>
    <x v="0"/>
    <x v="9"/>
    <s v="Classic Binders 721"/>
    <x v="1"/>
    <n v="2"/>
    <n v="4359.8999999999996"/>
    <n v="7411.829999999999"/>
    <n v="0.15"/>
    <n v="0.15"/>
    <s v="Valid"/>
    <s v="Clean"/>
    <n v="7411.83"/>
    <n v="4904.63"/>
    <n v="2507.1999999999989"/>
    <n v="2507.1999999999998"/>
    <n v="0.33827003587508075"/>
    <s v="Paid"/>
    <x v="0"/>
  </r>
  <r>
    <s v="ORD-2025-10290"/>
    <s v="Unique"/>
    <x v="2"/>
    <n v="2025"/>
    <d v="2025-06-19T00:00:00"/>
    <d v="2025-06-27T00:00:00"/>
    <n v="8"/>
    <s v="Valid"/>
    <s v="CUST-9114"/>
    <s v="Karan Malhotra"/>
    <x v="3"/>
    <x v="2"/>
    <s v="Tamil Nadu"/>
    <m/>
    <x v="1"/>
    <x v="10"/>
    <s v="Basic Bookcases 823"/>
    <x v="2"/>
    <n v="2"/>
    <n v="4346.6899999999996"/>
    <n v="8258.7109999999993"/>
    <n v="0.05"/>
    <n v="0.05"/>
    <s v="Valid"/>
    <s v="Clean"/>
    <n v="8258.7099999999991"/>
    <n v="7018.97"/>
    <n v="1239.7409999999991"/>
    <n v="1239.74"/>
    <n v="0.15011303218057059"/>
    <s v="Paid"/>
    <x v="0"/>
  </r>
  <r>
    <s v="ORD-2025-10291"/>
    <s v="Unique"/>
    <x v="1"/>
    <n v="2025"/>
    <d v="2025-08-22T00:00:00"/>
    <d v="2025-08-26T00:00:00"/>
    <n v="4"/>
    <s v="Valid"/>
    <s v="CUST-8557"/>
    <s v="Diya Patel"/>
    <x v="3"/>
    <x v="1"/>
    <s v="Jharkhand"/>
    <m/>
    <x v="1"/>
    <x v="1"/>
    <s v="Classic Tables 178"/>
    <x v="3"/>
    <n v="1"/>
    <n v="1842.63"/>
    <n v="1658.3670000000002"/>
    <n v="0.1"/>
    <n v="0.1"/>
    <s v="Valid"/>
    <s v="Clean"/>
    <n v="1658.37"/>
    <n v="971.12"/>
    <n v="687.24700000000018"/>
    <n v="687.25"/>
    <n v="0.41441294765341874"/>
    <s v="Paid"/>
    <x v="0"/>
  </r>
  <r>
    <s v="ORD-2024-10292"/>
    <s v="Unique"/>
    <x v="5"/>
    <n v="2024"/>
    <d v="2024-04-05T00:00:00"/>
    <d v="2024-04-10T00:00:00"/>
    <n v="5"/>
    <s v="Valid"/>
    <s v="CUST-2860"/>
    <s v="Priya Menon"/>
    <x v="3"/>
    <x v="0"/>
    <s v="Rajasthan"/>
    <m/>
    <x v="0"/>
    <x v="9"/>
    <s v="Eco Binders 153"/>
    <x v="3"/>
    <n v="4"/>
    <n v="3228.66"/>
    <n v="9685.98"/>
    <n v="0.25"/>
    <n v="0.25"/>
    <s v="Valid"/>
    <s v="Clean"/>
    <n v="9685.98"/>
    <n v="7730.04"/>
    <n v="1955.9399999999996"/>
    <n v="1955.94"/>
    <n v="0.20193516815025431"/>
    <s v="Paid"/>
    <x v="0"/>
  </r>
  <r>
    <s v="ORD-2025-10293"/>
    <s v="Unique"/>
    <x v="6"/>
    <n v="2025"/>
    <d v="2025-02-28T00:00:00"/>
    <d v="2025-03-03T00:00:00"/>
    <n v="3"/>
    <s v="Valid"/>
    <s v="CUST-7837"/>
    <s v="Kabir Singh"/>
    <x v="3"/>
    <x v="0"/>
    <s v="Haryana"/>
    <m/>
    <x v="0"/>
    <x v="2"/>
    <s v="Classic Art 183"/>
    <x v="1"/>
    <n v="9"/>
    <n v="3748.95"/>
    <n v="33740.549999999996"/>
    <n v="0"/>
    <n v="0"/>
    <s v="Valid"/>
    <s v="Clean"/>
    <n v="33740.550000000003"/>
    <n v="24621.89"/>
    <n v="9118.6599999999962"/>
    <n v="9118.66"/>
    <n v="0.27025819081194585"/>
    <s v="Pending"/>
    <x v="1"/>
  </r>
  <r>
    <s v="ORD-2024-10294"/>
    <s v="Unique"/>
    <x v="11"/>
    <n v="2024"/>
    <d v="2024-03-07T00:00:00"/>
    <d v="2024-03-11T00:00:00"/>
    <n v="4"/>
    <s v="Valid"/>
    <s v="CUST-7010"/>
    <s v="Arjun Bose"/>
    <x v="3"/>
    <x v="2"/>
    <s v="Telangana"/>
    <m/>
    <x v="2"/>
    <x v="11"/>
    <s v="Pro Phones 455"/>
    <x v="2"/>
    <n v="2"/>
    <n v="4401.51"/>
    <n v="3081.0569999999998"/>
    <n v="0.65"/>
    <n v="0.65"/>
    <s v="Valid"/>
    <s v="Clean"/>
    <n v="8362.8700000000008"/>
    <n v="6541.04"/>
    <n v="-3459.9830000000002"/>
    <n v="1821.83"/>
    <n v="0.21784746145760961"/>
    <s v="Paid"/>
    <x v="0"/>
  </r>
  <r>
    <s v="ORD-2025-10295"/>
    <s v="Unique"/>
    <x v="0"/>
    <n v="2025"/>
    <d v="2025-07-16T00:00:00"/>
    <d v="2025-07-22T00:00:00"/>
    <n v="6"/>
    <s v="Valid"/>
    <s v="CUST-4755"/>
    <s v="Priya Menon"/>
    <x v="0"/>
    <x v="1"/>
    <s v="Odisha"/>
    <m/>
    <x v="2"/>
    <x v="11"/>
    <s v="Basic Phones 326"/>
    <x v="0"/>
    <n v="6"/>
    <n v="4159.33"/>
    <n v="18716.985000000001"/>
    <n v="0.25"/>
    <n v="0.25"/>
    <s v="Valid"/>
    <s v="Clean"/>
    <n v="18716.990000000002"/>
    <n v="12282.43"/>
    <n v="6434.5550000000003"/>
    <n v="6434.56"/>
    <n v="0.34378177260339404"/>
    <s v="Paid"/>
    <x v="2"/>
  </r>
  <r>
    <s v="ORD-2025-10296"/>
    <s v="Unique"/>
    <x v="2"/>
    <n v="2025"/>
    <d v="2025-06-25T00:00:00"/>
    <d v="2025-06-28T00:00:00"/>
    <n v="3"/>
    <s v="Valid"/>
    <s v="CUST-6778"/>
    <s v="Aditi Sen"/>
    <x v="1"/>
    <x v="1"/>
    <s v="Assam"/>
    <m/>
    <x v="0"/>
    <x v="9"/>
    <s v="Max Binders 587"/>
    <x v="3"/>
    <n v="3"/>
    <n v="3476.05"/>
    <n v="9385.3350000000009"/>
    <n v="0.1"/>
    <n v="0.1"/>
    <s v="Valid"/>
    <s v="Clean"/>
    <n v="9385.34"/>
    <n v="5828.54"/>
    <n v="3556.795000000001"/>
    <n v="3556.8"/>
    <n v="0.37897401692426702"/>
    <s v="Paid"/>
    <x v="0"/>
  </r>
  <r>
    <s v="ORD-2025-10297"/>
    <s v="Unique"/>
    <x v="4"/>
    <n v="2025"/>
    <d v="2025-05-24T00:00:00"/>
    <d v="2025-05-26T00:00:00"/>
    <n v="2"/>
    <s v="Valid"/>
    <s v="CUST-7629"/>
    <s v="Aditi Sen"/>
    <x v="3"/>
    <x v="0"/>
    <s v="Haryana"/>
    <m/>
    <x v="1"/>
    <x v="3"/>
    <s v="Basic Furnishings 617"/>
    <x v="1"/>
    <n v="6"/>
    <n v="3495.41"/>
    <n v="17826.591"/>
    <n v="0.15"/>
    <n v="0.15"/>
    <s v="Valid"/>
    <s v="Clean"/>
    <n v="17826.59"/>
    <n v="10855.35"/>
    <n v="6971.241"/>
    <n v="6971.24"/>
    <n v="0.39105852549478054"/>
    <s v="Paid"/>
    <x v="0"/>
  </r>
  <r>
    <s v="ORD-2024-10298"/>
    <s v="Unique"/>
    <x v="9"/>
    <n v="2024"/>
    <d v="2024-10-29T00:00:00"/>
    <d v="2024-11-06T00:00:00"/>
    <n v="8"/>
    <s v="Valid"/>
    <s v="CUST-6724"/>
    <s v="Sneha Kapoor"/>
    <x v="2"/>
    <x v="2"/>
    <s v="Tamil Nadu"/>
    <m/>
    <x v="2"/>
    <x v="6"/>
    <s v="Prime Copiers 669"/>
    <x v="1"/>
    <n v="6"/>
    <n v="1169.92"/>
    <n v="5966.5920000000006"/>
    <n v="0.15"/>
    <n v="0.15"/>
    <s v="Valid"/>
    <s v="Clean"/>
    <n v="5966.59"/>
    <n v="3994.72"/>
    <n v="1971.8720000000008"/>
    <n v="1971.87"/>
    <n v="0.33048525204513801"/>
    <s v="Paid"/>
    <x v="0"/>
  </r>
  <r>
    <s v="ORD-2025-10299"/>
    <s v="Unique"/>
    <x v="10"/>
    <n v="2025"/>
    <d v="2025-01-23T00:00:00"/>
    <d v="2025-01-26T00:00:00"/>
    <n v="3"/>
    <s v="Valid"/>
    <s v="CUST-2141"/>
    <s v="Isha Nair"/>
    <x v="0"/>
    <x v="2"/>
    <s v="Kerala"/>
    <m/>
    <x v="2"/>
    <x v="6"/>
    <s v="Eco Copiers 894"/>
    <x v="2"/>
    <n v="7"/>
    <n v="348.49"/>
    <n v="1951.5440000000003"/>
    <n v="0.2"/>
    <n v="0.2"/>
    <s v="Valid"/>
    <s v="Clean"/>
    <n v="1951.54"/>
    <n v="1609.95"/>
    <n v="341.59400000000028"/>
    <n v="341.59"/>
    <n v="0.17503612531641677"/>
    <s v="Failed"/>
    <x v="2"/>
  </r>
  <r>
    <s v="ORD-2024-10300"/>
    <s v="Unique"/>
    <x v="3"/>
    <n v="2024"/>
    <d v="2024-11-06T00:00:00"/>
    <d v="2024-11-12T00:00:00"/>
    <n v="6"/>
    <s v="Valid"/>
    <s v="CUST-7264"/>
    <s v="Rahul Verma"/>
    <x v="1"/>
    <x v="3"/>
    <s v="Gujarat"/>
    <m/>
    <x v="2"/>
    <x v="5"/>
    <s v="Max Accessories 145"/>
    <x v="3"/>
    <n v="7"/>
    <n v="1719.05"/>
    <n v="10830.015000000001"/>
    <n v="0.1"/>
    <n v="0.1"/>
    <s v="Valid"/>
    <s v="Clean"/>
    <n v="10830.02"/>
    <n v="7055.31"/>
    <n v="3774.7050000000008"/>
    <n v="3774.71"/>
    <n v="0.3485413692680161"/>
    <s v="Paid"/>
    <x v="0"/>
  </r>
  <r>
    <s v="ORD-2024-10301"/>
    <s v="Unique"/>
    <x v="5"/>
    <n v="2024"/>
    <d v="2024-04-15T00:00:00"/>
    <d v="2024-04-23T00:00:00"/>
    <n v="8"/>
    <s v="Valid"/>
    <s v="CUST-2668"/>
    <s v="Diya Patel"/>
    <x v="1"/>
    <x v="0"/>
    <s v="Punjab"/>
    <m/>
    <x v="2"/>
    <x v="5"/>
    <s v="Classic Accessories 126"/>
    <x v="0"/>
    <n v="9"/>
    <n v="3893.74"/>
    <n v="31539.293999999998"/>
    <n v="0.1"/>
    <n v="0.1"/>
    <s v="Valid"/>
    <s v="Clean"/>
    <n v="31539.29"/>
    <n v="22100.14"/>
    <n v="9439.1539999999986"/>
    <n v="9439.15"/>
    <n v="0.29928226031721067"/>
    <s v="Paid"/>
    <x v="0"/>
  </r>
  <r>
    <s v="ORD-2025-10302"/>
    <s v="Unique"/>
    <x v="4"/>
    <n v="2025"/>
    <d v="2025-05-28T00:00:00"/>
    <d v="2025-06-01T00:00:00"/>
    <n v="4"/>
    <s v="Valid"/>
    <s v="CUST-5599"/>
    <s v="Isha Nair"/>
    <x v="3"/>
    <x v="1"/>
    <s v="Bihar"/>
    <m/>
    <x v="2"/>
    <x v="11"/>
    <s v="Elite Phones 202"/>
    <x v="1"/>
    <n v="4"/>
    <n v="1654.11"/>
    <n v="6285.6179999999995"/>
    <n v="0.05"/>
    <n v="0.05"/>
    <s v="Valid"/>
    <s v="Clean"/>
    <n v="6285.62"/>
    <n v="3705.38"/>
    <n v="2580.2379999999994"/>
    <n v="2580.2399999999998"/>
    <n v="0.41049888475599861"/>
    <s v="Paid"/>
    <x v="0"/>
  </r>
  <r>
    <s v="ORD-2025-10303"/>
    <s v="Unique"/>
    <x v="2"/>
    <n v="2025"/>
    <d v="2025-06-04T00:00:00"/>
    <d v="2025-06-12T00:00:00"/>
    <n v="8"/>
    <s v="Valid"/>
    <s v="CUST-1623"/>
    <s v="Neha Gupta"/>
    <x v="0"/>
    <x v="3"/>
    <s v="Goa"/>
    <m/>
    <x v="0"/>
    <x v="8"/>
    <s v="Elite Storage 535"/>
    <x v="1"/>
    <n v="2"/>
    <n v="2703.28"/>
    <n v="4054.92"/>
    <n v="0.25"/>
    <n v="0.25"/>
    <s v="Valid"/>
    <s v="Clean"/>
    <n v="4054.92"/>
    <n v="2424.83"/>
    <n v="1630.0900000000001"/>
    <n v="1630.09"/>
    <n v="0.4020029988261174"/>
    <s v="Paid"/>
    <x v="0"/>
  </r>
  <r>
    <s v="ORD-2024-10304"/>
    <s v="Unique"/>
    <x v="2"/>
    <n v="2024"/>
    <d v="2024-06-23T00:00:00"/>
    <d v="2024-06-28T00:00:00"/>
    <n v="5"/>
    <s v="Valid"/>
    <s v="CUST-9035"/>
    <s v="Diya Patel"/>
    <x v="3"/>
    <x v="3"/>
    <s v="Gujarat"/>
    <m/>
    <x v="1"/>
    <x v="4"/>
    <s v="Elite Chairs 107"/>
    <x v="3"/>
    <n v="2"/>
    <n v="1313.14"/>
    <n v="2363.652"/>
    <n v="0.1"/>
    <n v="0.1"/>
    <s v="Valid"/>
    <s v="Clean"/>
    <n v="2363.65"/>
    <n v="1876.1"/>
    <n v="487.55200000000013"/>
    <n v="487.55"/>
    <n v="0.20626996382713175"/>
    <s v="Pending"/>
    <x v="2"/>
  </r>
  <r>
    <s v="ORD-2024-10305"/>
    <s v="Unique"/>
    <x v="11"/>
    <n v="2024"/>
    <d v="2024-03-06T00:00:00"/>
    <d v="2024-03-13T00:00:00"/>
    <n v="7"/>
    <s v="Valid"/>
    <s v="CUST-6286"/>
    <s v="Karan Malhotra"/>
    <x v="0"/>
    <x v="0"/>
    <s v="Punjab"/>
    <m/>
    <x v="1"/>
    <x v="3"/>
    <s v="Pro Furnishings 991"/>
    <x v="3"/>
    <n v="6"/>
    <n v="2403.0500000000002"/>
    <n v="12976.470000000001"/>
    <n v="0.1"/>
    <n v="0.1"/>
    <s v="Valid"/>
    <s v="Clean"/>
    <n v="12976.47"/>
    <n v="10019.98"/>
    <n v="2956.4900000000016"/>
    <n v="2956.49"/>
    <n v="0.2278346884784537"/>
    <s v="Paid"/>
    <x v="0"/>
  </r>
  <r>
    <s v="ORD-2024-10306"/>
    <s v="Unique"/>
    <x v="4"/>
    <n v="2024"/>
    <d v="2024-05-01T00:00:00"/>
    <d v="2024-05-02T00:00:00"/>
    <n v="1"/>
    <s v="Valid"/>
    <s v="CUST-7246"/>
    <s v="Ananya Rao"/>
    <x v="0"/>
    <x v="1"/>
    <s v="Assam"/>
    <m/>
    <x v="1"/>
    <x v="4"/>
    <s v="Eco Chairs 105"/>
    <x v="2"/>
    <n v="4"/>
    <n v="4156.0600000000004"/>
    <n v="7480.9080000000004"/>
    <n v="0.55000000000000004"/>
    <n v="0.55000000000000004"/>
    <s v="Valid"/>
    <s v="Clean"/>
    <n v="13299.39"/>
    <n v="9851.91"/>
    <n v="-2371.0019999999995"/>
    <n v="3447.48"/>
    <n v="0.25922091163579686"/>
    <s v="Paid"/>
    <x v="1"/>
  </r>
  <r>
    <s v="ORD-2025-10307"/>
    <s v="Unique"/>
    <x v="6"/>
    <n v="2025"/>
    <d v="2025-02-20T00:00:00"/>
    <d v="2025-02-23T00:00:00"/>
    <n v="3"/>
    <s v="Valid"/>
    <s v="CUST-2589"/>
    <s v="Aarav Sharma"/>
    <x v="0"/>
    <x v="0"/>
    <s v="Rajasthan"/>
    <m/>
    <x v="2"/>
    <x v="11"/>
    <s v="Pro Phones 530"/>
    <x v="0"/>
    <n v="4"/>
    <n v="3673.11"/>
    <n v="14692.44"/>
    <n v="0"/>
    <n v="0"/>
    <s v="Valid"/>
    <s v="Clean"/>
    <n v="14692.44"/>
    <n v="10082.19"/>
    <n v="4610.25"/>
    <n v="4610.25"/>
    <n v="0.31378382351740075"/>
    <s v="Paid"/>
    <x v="0"/>
  </r>
  <r>
    <s v="ORD-2025-10308"/>
    <s v="Unique"/>
    <x v="0"/>
    <n v="2025"/>
    <d v="2025-07-12T00:00:00"/>
    <d v="2025-07-19T00:00:00"/>
    <n v="7"/>
    <s v="Valid"/>
    <s v="CUST-4153"/>
    <s v="Ananya Rao"/>
    <x v="2"/>
    <x v="0"/>
    <s v="Uttar Pradesh"/>
    <m/>
    <x v="1"/>
    <x v="1"/>
    <s v="Basic Tables 911"/>
    <x v="2"/>
    <n v="9"/>
    <n v="4093.04"/>
    <n v="29469.888000000003"/>
    <n v="0.2"/>
    <n v="0.2"/>
    <s v="Valid"/>
    <s v="Clean"/>
    <n v="29469.89"/>
    <n v="18935.509999999998"/>
    <n v="10534.378000000004"/>
    <n v="10534.38"/>
    <n v="0.35746248119690976"/>
    <s v="Pending"/>
    <x v="1"/>
  </r>
  <r>
    <s v="ORD-2025-10309"/>
    <s v="Unique"/>
    <x v="2"/>
    <n v="2025"/>
    <d v="2025-06-13T00:00:00"/>
    <d v="2025-06-19T00:00:00"/>
    <n v="6"/>
    <s v="Valid"/>
    <s v="CUST-6727"/>
    <s v="Rohan Mehta"/>
    <x v="0"/>
    <x v="0"/>
    <s v="Rajasthan"/>
    <m/>
    <x v="1"/>
    <x v="1"/>
    <s v="Classic Tables 224"/>
    <x v="2"/>
    <n v="4"/>
    <n v="731.57"/>
    <n v="2341.0240000000003"/>
    <n v="0.2"/>
    <n v="0.2"/>
    <s v="Valid"/>
    <s v="Clean"/>
    <n v="2341.02"/>
    <n v="1565.49"/>
    <n v="775.53400000000033"/>
    <n v="775.53"/>
    <n v="0.33127867339877487"/>
    <s v="Paid"/>
    <x v="0"/>
  </r>
  <r>
    <s v="ORD-2024-10310"/>
    <s v="Unique"/>
    <x v="0"/>
    <n v="2024"/>
    <d v="2024-07-20T00:00:00"/>
    <d v="2024-07-22T00:00:00"/>
    <n v="2"/>
    <s v="Valid"/>
    <s v="CUST-8860"/>
    <s v="Ananya Rao"/>
    <x v="0"/>
    <x v="2"/>
    <s v="Tamil Nadu"/>
    <m/>
    <x v="1"/>
    <x v="1"/>
    <s v="Prime Tables 214"/>
    <x v="2"/>
    <n v="7"/>
    <n v="2060.73"/>
    <n v="12982.599"/>
    <n v="0.1"/>
    <n v="0.1"/>
    <s v="Valid"/>
    <s v="Clean"/>
    <n v="12982.6"/>
    <n v="7246.36"/>
    <n v="5736.2390000000005"/>
    <n v="5736.24"/>
    <n v="0.44184061744180669"/>
    <s v="Paid"/>
    <x v="1"/>
  </r>
  <r>
    <s v="ORD-2024-10311"/>
    <s v="Unique"/>
    <x v="0"/>
    <n v="2024"/>
    <d v="2024-07-04T00:00:00"/>
    <d v="2024-07-08T00:00:00"/>
    <n v="4"/>
    <s v="Valid"/>
    <s v="CUST-3784"/>
    <s v="Rohan Mehta"/>
    <x v="1"/>
    <x v="2"/>
    <s v="Tamil Nadu"/>
    <m/>
    <x v="2"/>
    <x v="12"/>
    <s v="Max Machines 988"/>
    <x v="2"/>
    <n v="8"/>
    <n v="2034.25"/>
    <n v="16274"/>
    <n v="0"/>
    <n v="0"/>
    <s v="Valid"/>
    <s v="Clean"/>
    <n v="16274"/>
    <n v="9424.25"/>
    <n v="6849.75"/>
    <n v="6849.75"/>
    <n v="0.42090143787636719"/>
    <s v="Paid"/>
    <x v="0"/>
  </r>
  <r>
    <s v="ORD-2024-10312"/>
    <s v="Unique"/>
    <x v="5"/>
    <n v="2024"/>
    <d v="2024-04-27T00:00:00"/>
    <d v="2024-05-02T00:00:00"/>
    <n v="5"/>
    <s v="Valid"/>
    <s v="CUST-3545"/>
    <s v="Mira Das"/>
    <x v="2"/>
    <x v="2"/>
    <s v="Karnataka"/>
    <m/>
    <x v="0"/>
    <x v="9"/>
    <s v="Max Binders 425"/>
    <x v="0"/>
    <n v="5"/>
    <n v="554.04"/>
    <n v="2493.1799999999998"/>
    <n v="0.1"/>
    <n v="0.1"/>
    <s v="Valid"/>
    <s v="Clean"/>
    <n v="2493.1799999999998"/>
    <n v="1764"/>
    <n v="729.17999999999984"/>
    <n v="729.18"/>
    <n v="0.29246985777200202"/>
    <s v="Paid"/>
    <x v="0"/>
  </r>
  <r>
    <s v="ORD-2024-10313"/>
    <s v="Unique"/>
    <x v="0"/>
    <n v="2024"/>
    <d v="2024-07-31T00:00:00"/>
    <d v="2024-08-04T00:00:00"/>
    <n v="4"/>
    <s v="Valid"/>
    <s v="CUST-4851"/>
    <s v="Karan Malhotra"/>
    <x v="1"/>
    <x v="1"/>
    <s v="Assam"/>
    <m/>
    <x v="2"/>
    <x v="11"/>
    <s v="Elite Phones 679"/>
    <x v="3"/>
    <n v="8"/>
    <n v="2614.7399999999998"/>
    <n v="20917.919999999998"/>
    <n v="0"/>
    <n v="0"/>
    <s v="Valid"/>
    <s v="Clean"/>
    <n v="15688.44"/>
    <n v="10047.33"/>
    <n v="10870.589999999998"/>
    <n v="5641.11"/>
    <n v="0.35957112370637229"/>
    <s v="Paid"/>
    <x v="1"/>
  </r>
  <r>
    <s v="ORD-2025-10314"/>
    <s v="Unique"/>
    <x v="4"/>
    <n v="2025"/>
    <d v="2025-05-30T00:00:00"/>
    <d v="2025-05-31T00:00:00"/>
    <n v="1"/>
    <s v="Valid"/>
    <s v="CUST-4770"/>
    <s v="Rahul Verma"/>
    <x v="2"/>
    <x v="0"/>
    <s v="Uttar Pradesh"/>
    <m/>
    <x v="2"/>
    <x v="11"/>
    <s v="Pro Phones 764"/>
    <x v="2"/>
    <n v="8"/>
    <n v="2081.4299999999998"/>
    <n v="12488.579999999998"/>
    <n v="0.25"/>
    <n v="0.25"/>
    <s v="Valid"/>
    <s v="Clean"/>
    <n v="12488.58"/>
    <n v="10717.4"/>
    <n v="1771.1799999999985"/>
    <n v="1771.18"/>
    <n v="0.14182397037933858"/>
    <s v="Refunded"/>
    <x v="1"/>
  </r>
  <r>
    <s v="ORD-2025-10315"/>
    <s v="Duplicate Order ID"/>
    <x v="4"/>
    <n v="2025"/>
    <d v="2025-05-18T00:00:00"/>
    <d v="2025-05-20T00:00:00"/>
    <n v="2"/>
    <s v="Valid"/>
    <s v="CUST-1945"/>
    <s v="Isha Nair"/>
    <x v="2"/>
    <x v="3"/>
    <s v="Madhya Pradesh"/>
    <m/>
    <x v="0"/>
    <x v="7"/>
    <s v="Elite Labels 544"/>
    <x v="3"/>
    <n v="9"/>
    <n v="847.76"/>
    <n v="6485.3639999999996"/>
    <n v="0.15"/>
    <n v="0.15"/>
    <s v="Valid"/>
    <s v="Clean"/>
    <n v="6485.36"/>
    <n v="5376.17"/>
    <n v="1109.1939999999995"/>
    <n v="1109.19"/>
    <n v="0.17102982717998694"/>
    <s v="Failed"/>
    <x v="2"/>
  </r>
  <r>
    <s v="ORD-2024-10316"/>
    <s v="Unique"/>
    <x v="0"/>
    <n v="2024"/>
    <d v="2024-07-02T00:00:00"/>
    <d v="2024-07-08T00:00:00"/>
    <n v="6"/>
    <s v="Valid"/>
    <s v="CUST-7565"/>
    <s v="Rohan Mehta"/>
    <x v="0"/>
    <x v="0"/>
    <s v="Delhi"/>
    <m/>
    <x v="0"/>
    <x v="0"/>
    <s v="Smart Paper 817"/>
    <x v="3"/>
    <n v="9"/>
    <n v="3450.4"/>
    <n v="29500.920000000002"/>
    <n v="0.05"/>
    <n v="0.05"/>
    <s v="Valid"/>
    <s v="Clean"/>
    <n v="29500.92"/>
    <n v="17989.68"/>
    <n v="11511.240000000002"/>
    <n v="11511.24"/>
    <n v="0.39019935649464493"/>
    <s v="Pending"/>
    <x v="2"/>
  </r>
  <r>
    <s v="ORD-2024-10317"/>
    <s v="Unique"/>
    <x v="6"/>
    <n v="2024"/>
    <d v="2024-02-16T00:00:00"/>
    <d v="2024-02-18T00:00:00"/>
    <n v="2"/>
    <s v="Valid"/>
    <s v="CUST-9913"/>
    <s v="Karan Malhotra"/>
    <x v="2"/>
    <x v="0"/>
    <s v="Punjab"/>
    <m/>
    <x v="0"/>
    <x v="7"/>
    <s v="Classic Labels 466"/>
    <x v="3"/>
    <n v="2"/>
    <n v="1947.53"/>
    <n v="3116.0480000000002"/>
    <n v="0.2"/>
    <n v="0.2"/>
    <s v="Valid"/>
    <s v="Clean"/>
    <n v="3116.05"/>
    <n v="1956.63"/>
    <n v="1159.4180000000001"/>
    <n v="1159.42"/>
    <n v="0.37208003722661703"/>
    <s v="Paid"/>
    <x v="1"/>
  </r>
  <r>
    <s v="ORD-2025-10318"/>
    <s v="Unique"/>
    <x v="1"/>
    <n v="2025"/>
    <d v="2025-08-29T00:00:00"/>
    <d v="2025-09-04T00:00:00"/>
    <n v="6"/>
    <s v="Valid"/>
    <s v="CUST-7992"/>
    <s v="Neha Gupta"/>
    <x v="2"/>
    <x v="2"/>
    <s v="Kerala"/>
    <m/>
    <x v="1"/>
    <x v="1"/>
    <s v="Pro Tables 778"/>
    <x v="2"/>
    <n v="9"/>
    <n v="2996.97"/>
    <n v="22926.820499999998"/>
    <n v="0.15"/>
    <n v="0.15"/>
    <s v="Valid"/>
    <s v="Clean"/>
    <n v="22926.82"/>
    <n v="14621.59"/>
    <n v="8305.2304999999978"/>
    <n v="8305.23"/>
    <n v="0.36224954005832471"/>
    <s v="Paid"/>
    <x v="0"/>
  </r>
  <r>
    <s v="ORD-2024-10319"/>
    <s v="Unique"/>
    <x v="5"/>
    <n v="2024"/>
    <d v="2024-04-25T00:00:00"/>
    <d v="2024-04-30T00:00:00"/>
    <n v="5"/>
    <s v="Valid"/>
    <s v="CUST-8877"/>
    <s v="Mira Das"/>
    <x v="1"/>
    <x v="2"/>
    <s v="Karnataka"/>
    <m/>
    <x v="2"/>
    <x v="11"/>
    <s v="Basic Phones 789"/>
    <x v="3"/>
    <n v="3"/>
    <n v="4149.46"/>
    <n v="11203.542000000001"/>
    <n v="0.1"/>
    <n v="0.1"/>
    <s v="Valid"/>
    <s v="Clean"/>
    <n v="11203.54"/>
    <n v="8452.93"/>
    <n v="2750.612000000001"/>
    <n v="2750.61"/>
    <n v="0.24551257905983287"/>
    <s v="Paid"/>
    <x v="0"/>
  </r>
  <r>
    <s v="ORD-2024-10320"/>
    <s v="Unique"/>
    <x v="1"/>
    <n v="2024"/>
    <d v="2024-08-21T00:00:00"/>
    <d v="2024-08-25T00:00:00"/>
    <n v="4"/>
    <s v="Valid"/>
    <s v="CUST-4589"/>
    <s v="Diya Patel"/>
    <x v="0"/>
    <x v="3"/>
    <s v="Gujarat"/>
    <m/>
    <x v="0"/>
    <x v="9"/>
    <s v="Prime Binders 554"/>
    <x v="2"/>
    <n v="1"/>
    <n v="270.27999999999997"/>
    <n v="270.27999999999997"/>
    <n v="0"/>
    <n v="0"/>
    <s v="Valid"/>
    <s v="Clean"/>
    <n v="270.27999999999997"/>
    <n v="156.34"/>
    <n v="113.93999999999997"/>
    <n v="113.94"/>
    <n v="0.42156282373834547"/>
    <s v="Paid"/>
    <x v="0"/>
  </r>
  <r>
    <s v="ORD-2024-10321"/>
    <s v="Unique"/>
    <x v="8"/>
    <n v="2024"/>
    <d v="2024-12-04T00:00:00"/>
    <d v="2024-12-06T00:00:00"/>
    <n v="2"/>
    <s v="Valid"/>
    <s v="CUST-4667"/>
    <s v="Aarav Sharma"/>
    <x v="3"/>
    <x v="1"/>
    <s v="West Bengal"/>
    <m/>
    <x v="0"/>
    <x v="2"/>
    <s v="Classic Art 299"/>
    <x v="0"/>
    <n v="3"/>
    <n v="876.14"/>
    <s v="Invalid"/>
    <s v="70%"/>
    <s v="Invalid"/>
    <s v="Invalid"/>
    <s v="Invalid"/>
    <n v="2628.42"/>
    <n v="1541.54"/>
    <s v="Invalid"/>
    <n v="1086.8800000000001"/>
    <n v="0.41351077833831734"/>
    <s v="Pending"/>
    <x v="2"/>
  </r>
  <r>
    <s v="ORD-2024-10322"/>
    <s v="Unique"/>
    <x v="2"/>
    <n v="2024"/>
    <d v="2024-06-23T00:00:00"/>
    <d v="2024-06-30T00:00:00"/>
    <n v="7"/>
    <s v="Valid"/>
    <s v="CUST-7821"/>
    <s v="Neha Gupta"/>
    <x v="1"/>
    <x v="3"/>
    <s v="Goa"/>
    <m/>
    <x v="2"/>
    <x v="5"/>
    <s v="Eco Accessories 220"/>
    <x v="1"/>
    <n v="4"/>
    <n v="674.82"/>
    <n v="2699.28"/>
    <n v="0"/>
    <n v="0"/>
    <s v="Valid"/>
    <s v="Clean"/>
    <n v="2699.28"/>
    <n v="1759.76"/>
    <n v="939.52000000000021"/>
    <n v="939.52"/>
    <n v="0.34806318722029578"/>
    <s v="Failed"/>
    <x v="1"/>
  </r>
  <r>
    <s v="ORD-2024-10323"/>
    <s v="Unique"/>
    <x v="3"/>
    <n v="2024"/>
    <d v="2024-11-12T00:00:00"/>
    <d v="2024-11-12T00:00:00"/>
    <n v="0"/>
    <s v="Valid"/>
    <s v="CUST-8579"/>
    <s v="Isha Nair"/>
    <x v="0"/>
    <x v="0"/>
    <s v="Uttar Pradesh"/>
    <m/>
    <x v="2"/>
    <x v="11"/>
    <s v="Max Phones 422"/>
    <x v="0"/>
    <n v="6"/>
    <n v="1369.48"/>
    <n v="6984.3480000000009"/>
    <n v="0.15"/>
    <n v="0.15"/>
    <s v="Valid"/>
    <s v="Clean"/>
    <n v="6984.35"/>
    <n v="4023.63"/>
    <n v="2960.7180000000008"/>
    <n v="2960.72"/>
    <n v="0.42390773658250225"/>
    <s v="Paid"/>
    <x v="0"/>
  </r>
  <r>
    <s v="ORD-2024-10324"/>
    <s v="Unique"/>
    <x v="6"/>
    <n v="2024"/>
    <d v="2024-02-25T00:00:00"/>
    <d v="2024-02-29T00:00:00"/>
    <n v="4"/>
    <s v="Valid"/>
    <s v="CUST-6909"/>
    <s v="Isha Nair"/>
    <x v="1"/>
    <x v="3"/>
    <s v="Goa"/>
    <m/>
    <x v="1"/>
    <x v="3"/>
    <s v="Eco Furnishings 897"/>
    <x v="3"/>
    <n v="9"/>
    <n v="1331.46"/>
    <n v="10185.669"/>
    <n v="0.15"/>
    <n v="0.15"/>
    <s v="Valid"/>
    <s v="Clean"/>
    <n v="10185.67"/>
    <n v="6479.31"/>
    <n v="3706.3589999999995"/>
    <n v="3706.36"/>
    <n v="0.36387984295583897"/>
    <s v="Paid"/>
    <x v="0"/>
  </r>
  <r>
    <s v="ORD-2025-10325"/>
    <s v="Unique"/>
    <x v="0"/>
    <n v="2025"/>
    <d v="2025-07-31T00:00:00"/>
    <d v="2025-08-02T00:00:00"/>
    <n v="2"/>
    <s v="Valid"/>
    <s v="CUST-7212"/>
    <s v="Rohan Mehta"/>
    <x v="3"/>
    <x v="2"/>
    <s v="Andhra Pradesh"/>
    <m/>
    <x v="0"/>
    <x v="7"/>
    <s v="Basic Labels 102"/>
    <x v="1"/>
    <n v="1"/>
    <n v="1947.88"/>
    <n v="1655.6980000000001"/>
    <n v="0.15"/>
    <n v="0.15"/>
    <s v="Valid"/>
    <s v="Clean"/>
    <n v="1655.7"/>
    <n v="1354.8"/>
    <n v="300.89800000000014"/>
    <n v="300.89999999999998"/>
    <n v="0.18173582170683092"/>
    <s v="Paid"/>
    <x v="2"/>
  </r>
  <r>
    <s v="ORD-2025-10326"/>
    <s v="Unique"/>
    <x v="7"/>
    <n v="2025"/>
    <d v="2025-09-16T00:00:00"/>
    <d v="2025-09-22T00:00:00"/>
    <n v="6"/>
    <s v="Valid"/>
    <s v="CUST-7980"/>
    <s v="Sneha Kapoor"/>
    <x v="3"/>
    <x v="1"/>
    <s v="West Bengal"/>
    <m/>
    <x v="2"/>
    <x v="6"/>
    <s v="Prime Copiers 170"/>
    <x v="0"/>
    <n v="5"/>
    <n v="3671.2"/>
    <n v="15602.6"/>
    <n v="0.15"/>
    <n v="0.15"/>
    <s v="Valid"/>
    <s v="Clean"/>
    <n v="15602.6"/>
    <n v="11908.52"/>
    <n v="3694.08"/>
    <n v="3694.08"/>
    <n v="0.236760539910015"/>
    <s v="Paid"/>
    <x v="0"/>
  </r>
  <r>
    <s v="ORD-2025-10327"/>
    <s v="Unique"/>
    <x v="0"/>
    <n v="2025"/>
    <d v="2025-07-22T00:00:00"/>
    <d v="2025-07-22T00:00:00"/>
    <n v="0"/>
    <s v="Valid"/>
    <s v="CUST-1966"/>
    <s v="Sneha Kapoor"/>
    <x v="2"/>
    <x v="1"/>
    <s v="Jharkhand"/>
    <m/>
    <x v="1"/>
    <x v="3"/>
    <s v="Smart Furnishings 533"/>
    <x v="1"/>
    <n v="5"/>
    <n v="3187.05"/>
    <n v="15138.487499999999"/>
    <n v="0.05"/>
    <n v="0.05"/>
    <s v="Valid"/>
    <s v="Clean"/>
    <n v="15138.49"/>
    <n v="11235.72"/>
    <n v="3902.7674999999999"/>
    <n v="3902.77"/>
    <n v="0.25780444416847387"/>
    <s v="Paid"/>
    <x v="0"/>
  </r>
  <r>
    <s v="ORD-2024-10328"/>
    <s v="Unique"/>
    <x v="0"/>
    <n v="2024"/>
    <d v="2024-07-24T00:00:00"/>
    <d v="2024-07-27T00:00:00"/>
    <n v="3"/>
    <s v="Valid"/>
    <s v="CUST-6163"/>
    <s v="Isha Nair"/>
    <x v="0"/>
    <x v="3"/>
    <s v="Rajasthan"/>
    <m/>
    <x v="2"/>
    <x v="5"/>
    <s v="Classic Accessories 489"/>
    <x v="0"/>
    <n v="3"/>
    <n v="1834.55"/>
    <n v="4402.92"/>
    <n v="0.2"/>
    <n v="0.2"/>
    <s v="Valid"/>
    <s v="Clean"/>
    <n v="4402.92"/>
    <n v="2993.94"/>
    <n v="1408.98"/>
    <n v="1408.98"/>
    <n v="0.32001035676323897"/>
    <s v="Pending"/>
    <x v="1"/>
  </r>
  <r>
    <s v="ORD-2025-10329"/>
    <s v="Unique"/>
    <x v="4"/>
    <n v="2025"/>
    <d v="2025-05-29T00:00:00"/>
    <d v="2025-06-04T00:00:00"/>
    <n v="6"/>
    <s v="Valid"/>
    <s v="CUST-7239"/>
    <s v="Diya Patel"/>
    <x v="0"/>
    <x v="3"/>
    <s v="Maharashtra"/>
    <m/>
    <x v="0"/>
    <x v="8"/>
    <s v="Smart Storage 439"/>
    <x v="2"/>
    <n v="6"/>
    <n v="3100.68"/>
    <n v="18604.079999999998"/>
    <n v="0"/>
    <n v="0"/>
    <s v="Valid"/>
    <s v="Clean"/>
    <n v="18604.080000000002"/>
    <n v="15834.3"/>
    <n v="2769.7799999999988"/>
    <n v="2769.78"/>
    <n v="0.14888024562354063"/>
    <s v="Paid"/>
    <x v="0"/>
  </r>
  <r>
    <s v="ORD-2025-10330"/>
    <s v="Unique"/>
    <x v="4"/>
    <n v="2025"/>
    <d v="2025-05-12T00:00:00"/>
    <d v="2025-05-18T00:00:00"/>
    <n v="6"/>
    <s v="Valid"/>
    <s v="CUST-9718"/>
    <s v="Neha Gupta"/>
    <x v="1"/>
    <x v="3"/>
    <s v="Maharashtra"/>
    <m/>
    <x v="0"/>
    <x v="8"/>
    <s v="Prime Storage 232"/>
    <x v="3"/>
    <n v="4"/>
    <n v="4053.03"/>
    <n v="15401.513999999999"/>
    <n v="0.05"/>
    <n v="0.05"/>
    <s v="Valid"/>
    <s v="Clean"/>
    <n v="15401.51"/>
    <n v="8650.42"/>
    <n v="6751.0939999999991"/>
    <n v="6751.09"/>
    <n v="0.4383394874918109"/>
    <s v="Paid"/>
    <x v="0"/>
  </r>
  <r>
    <s v="ORD-2024-10331"/>
    <s v="Unique"/>
    <x v="4"/>
    <n v="2024"/>
    <d v="2024-05-16T00:00:00"/>
    <d v="2024-05-24T00:00:00"/>
    <n v="8"/>
    <s v="Valid"/>
    <s v="CUST-1116"/>
    <s v="Arjun Bose"/>
    <x v="3"/>
    <x v="0"/>
    <s v="Punjab"/>
    <m/>
    <x v="2"/>
    <x v="5"/>
    <s v="Prime Accessories 335"/>
    <x v="1"/>
    <n v="1"/>
    <n v="783.09"/>
    <n v="783.09"/>
    <n v="0"/>
    <n v="0"/>
    <s v="Valid"/>
    <s v="Clean"/>
    <n v="783.09"/>
    <n v="503.89"/>
    <n v="279.20000000000005"/>
    <n v="279.2"/>
    <n v="0.35653628573982554"/>
    <s v="Failed"/>
    <x v="1"/>
  </r>
  <r>
    <s v="ORD-2024-10332"/>
    <s v="Duplicate Order ID"/>
    <x v="8"/>
    <n v="2024"/>
    <d v="2024-12-04T00:00:00"/>
    <d v="2024-12-06T00:00:00"/>
    <n v="2"/>
    <s v="Valid"/>
    <s v="CUST-9346"/>
    <s v="Sneha Kapoor"/>
    <x v="3"/>
    <x v="1"/>
    <s v="Odisha"/>
    <m/>
    <x v="0"/>
    <x v="9"/>
    <s v="Smart Binders 939"/>
    <x v="0"/>
    <n v="4"/>
    <n v="2685.66"/>
    <n v="10742.64"/>
    <n v="0"/>
    <n v="0"/>
    <s v="Valid"/>
    <s v="Clean"/>
    <n v="10742.64"/>
    <n v="6477.37"/>
    <n v="4265.2699999999995"/>
    <n v="4265.2700000000004"/>
    <n v="0.3970411370017054"/>
    <s v="Paid"/>
    <x v="2"/>
  </r>
  <r>
    <s v="ORD-2025-10333"/>
    <s v="Unique"/>
    <x v="4"/>
    <n v="2025"/>
    <d v="2025-05-27T00:00:00"/>
    <d v="2025-05-28T00:00:00"/>
    <n v="1"/>
    <s v="Valid"/>
    <s v="CUST-5332"/>
    <s v="Aarav Sharma"/>
    <x v="0"/>
    <x v="2"/>
    <s v="Andhra Pradesh"/>
    <m/>
    <x v="2"/>
    <x v="12"/>
    <s v="Basic Machines 601"/>
    <x v="0"/>
    <n v="2"/>
    <n v="3911.96"/>
    <n v="7823.92"/>
    <n v="0"/>
    <n v="0"/>
    <s v="Valid"/>
    <s v="Clean"/>
    <n v="7823.92"/>
    <n v="6034.63"/>
    <n v="1789.29"/>
    <n v="1789.29"/>
    <n v="0.22869482305545047"/>
    <s v="Paid"/>
    <x v="0"/>
  </r>
  <r>
    <s v="ORD-2025-10334"/>
    <s v="Unique"/>
    <x v="2"/>
    <n v="2025"/>
    <d v="2025-06-22T00:00:00"/>
    <d v="2025-06-27T00:00:00"/>
    <n v="5"/>
    <s v="Valid"/>
    <s v="CUST-8081"/>
    <s v="Rohan Mehta"/>
    <x v="3"/>
    <x v="4"/>
    <s v="Delhi"/>
    <m/>
    <x v="2"/>
    <x v="11"/>
    <s v="Pro Phones 968"/>
    <x v="2"/>
    <n v="2"/>
    <n v="1468.05"/>
    <n v="2936.1"/>
    <n v="0"/>
    <n v="0"/>
    <s v="Valid"/>
    <s v="Clean"/>
    <n v="2936.1"/>
    <n v="1923.1"/>
    <n v="1013"/>
    <n v="1013"/>
    <n v="0.34501549674738602"/>
    <s v="Paid"/>
    <x v="0"/>
  </r>
  <r>
    <s v="ORD-2024-10335"/>
    <s v="Unique"/>
    <x v="7"/>
    <n v="2024"/>
    <d v="2024-09-12T00:00:00"/>
    <d v="2024-09-17T00:00:00"/>
    <n v="5"/>
    <s v="Valid"/>
    <s v="CUST-3062"/>
    <s v="Ananya Rao"/>
    <x v="0"/>
    <x v="1"/>
    <s v="Jharkhand"/>
    <m/>
    <x v="0"/>
    <x v="8"/>
    <s v="Pro Storage 563"/>
    <x v="2"/>
    <n v="9"/>
    <n v="1921.47"/>
    <n v="12969.922500000001"/>
    <n v="0.25"/>
    <n v="0.25"/>
    <s v="Valid"/>
    <s v="Clean"/>
    <n v="12969.92"/>
    <n v="9398.4599999999991"/>
    <n v="3571.4625000000015"/>
    <n v="3571.46"/>
    <n v="0.27536484419333351"/>
    <s v="Paid"/>
    <x v="0"/>
  </r>
  <r>
    <s v="ORD-2025-10336"/>
    <s v="Duplicate Order ID"/>
    <x v="2"/>
    <n v="2025"/>
    <d v="2025-06-16T00:00:00"/>
    <d v="2025-06-18T00:00:00"/>
    <n v="2"/>
    <s v="Valid"/>
    <s v="CUST-3621"/>
    <s v="Rahul Verma"/>
    <x v="3"/>
    <x v="3"/>
    <s v="Madhya Pradesh"/>
    <m/>
    <x v="0"/>
    <x v="0"/>
    <s v="Prime Paper 559"/>
    <x v="2"/>
    <n v="3"/>
    <n v="4289.37"/>
    <n v="11581.299000000001"/>
    <n v="0.1"/>
    <n v="0.1"/>
    <s v="Valid"/>
    <s v="Clean"/>
    <n v="11581.3"/>
    <n v="6829.43"/>
    <n v="4751.8690000000006"/>
    <n v="4751.87"/>
    <n v="0.41030540612884564"/>
    <s v="Paid"/>
    <x v="0"/>
  </r>
  <r>
    <s v="ORD-2024-10337"/>
    <s v="Unique"/>
    <x v="11"/>
    <n v="2024"/>
    <d v="2024-03-17T00:00:00"/>
    <d v="2024-03-21T00:00:00"/>
    <n v="4"/>
    <s v="Valid"/>
    <s v="CUST-2103"/>
    <s v="Aarav Sharma"/>
    <x v="0"/>
    <x v="0"/>
    <s v="Rajasthan"/>
    <m/>
    <x v="2"/>
    <x v="6"/>
    <s v="Pro Copiers 999"/>
    <x v="2"/>
    <n v="8"/>
    <n v="1992.57"/>
    <n v="15940.56"/>
    <n v="0"/>
    <n v="0"/>
    <s v="Valid"/>
    <s v="Clean"/>
    <n v="15940.56"/>
    <n v="12347.15"/>
    <n v="3593.41"/>
    <n v="3593.41"/>
    <n v="0.2254255810335396"/>
    <s v="Paid"/>
    <x v="0"/>
  </r>
  <r>
    <s v="ORD-2024-10338"/>
    <s v="Unique"/>
    <x v="1"/>
    <n v="2024"/>
    <d v="2024-08-12T00:00:00"/>
    <d v="2024-08-18T00:00:00"/>
    <n v="6"/>
    <s v="Valid"/>
    <s v="CUST-4599"/>
    <s v="Ananya Rao"/>
    <x v="0"/>
    <x v="1"/>
    <s v="Assam"/>
    <m/>
    <x v="0"/>
    <x v="7"/>
    <s v="Classic Labels 206"/>
    <x v="1"/>
    <n v="6"/>
    <n v="1181.74"/>
    <n v="7090.4400000000005"/>
    <n v="0"/>
    <n v="0"/>
    <s v="Valid"/>
    <s v="Clean"/>
    <n v="7090.44"/>
    <n v="5672.27"/>
    <n v="1418.17"/>
    <n v="1262.8699999999999"/>
    <n v="0.17810883386644552"/>
    <s v="Paid"/>
    <x v="0"/>
  </r>
  <r>
    <s v="ORD-2024-10339"/>
    <s v="Unique"/>
    <x v="8"/>
    <n v="2024"/>
    <d v="2024-12-08T00:00:00"/>
    <d v="2024-12-08T00:00:00"/>
    <n v="0"/>
    <s v="Valid"/>
    <s v="CUST-3066"/>
    <s v="Arjun Bose"/>
    <x v="1"/>
    <x v="2"/>
    <s v="Andhra Pradesh"/>
    <m/>
    <x v="2"/>
    <x v="5"/>
    <s v="Eco Accessories 315"/>
    <x v="2"/>
    <n v="8"/>
    <n v="4402.3599999999997"/>
    <n v="26414.159999999996"/>
    <n v="0.25"/>
    <n v="0.25"/>
    <s v="Valid"/>
    <s v="Clean"/>
    <n v="26414.16"/>
    <n v="21822.53"/>
    <n v="4591.6299999999974"/>
    <n v="4591.63"/>
    <n v="0.17383214154832105"/>
    <s v="Paid"/>
    <x v="0"/>
  </r>
  <r>
    <s v="ORD-2025-10340"/>
    <s v="Unique"/>
    <x v="6"/>
    <n v="2025"/>
    <d v="2025-02-20T00:00:00"/>
    <d v="2025-02-22T00:00:00"/>
    <n v="2"/>
    <s v="Valid"/>
    <s v="CUST-2752"/>
    <s v="Neha Gupta"/>
    <x v="2"/>
    <x v="1"/>
    <s v="Jharkhand"/>
    <m/>
    <x v="1"/>
    <x v="10"/>
    <s v="Elite Bookcases 988"/>
    <x v="3"/>
    <n v="8"/>
    <n v="3265.76"/>
    <n v="20900.864000000001"/>
    <n v="0.2"/>
    <n v="0.2"/>
    <s v="Valid"/>
    <s v="Clean"/>
    <n v="20900.86"/>
    <n v="12513.14"/>
    <n v="8387.724000000002"/>
    <n v="8387.7199999999993"/>
    <n v="0.40130980256314808"/>
    <s v="Paid"/>
    <x v="0"/>
  </r>
  <r>
    <s v="ORD-2024-10341"/>
    <s v="Unique"/>
    <x v="10"/>
    <n v="2024"/>
    <d v="2024-01-21T00:00:00"/>
    <d v="2024-01-29T00:00:00"/>
    <n v="8"/>
    <s v="Valid"/>
    <s v="CUST-6291"/>
    <s v="Neha Gupta"/>
    <x v="0"/>
    <x v="2"/>
    <s v="Karnataka"/>
    <m/>
    <x v="0"/>
    <x v="9"/>
    <s v="Smart Binders 414"/>
    <x v="3"/>
    <n v="5"/>
    <n v="4058.08"/>
    <n v="18261.36"/>
    <n v="0.1"/>
    <n v="0.1"/>
    <s v="Valid"/>
    <s v="Clean"/>
    <n v="18261.36"/>
    <n v="11399.94"/>
    <n v="6861.42"/>
    <n v="6861.42"/>
    <n v="0.3757343374206521"/>
    <s v="Paid"/>
    <x v="0"/>
  </r>
  <r>
    <s v="ORD-2025-10342"/>
    <s v="Unique"/>
    <x v="7"/>
    <n v="2025"/>
    <d v="2025-09-08T00:00:00"/>
    <d v="2025-09-09T00:00:00"/>
    <n v="1"/>
    <s v="Valid"/>
    <s v="CUST-9969"/>
    <s v="Rohan Mehta"/>
    <x v="3"/>
    <x v="3"/>
    <s v="Gujarat"/>
    <m/>
    <x v="1"/>
    <x v="4"/>
    <s v="Eco Chairs 552"/>
    <x v="0"/>
    <n v="2"/>
    <n v="3960.33"/>
    <n v="7524.6269999999995"/>
    <n v="0.05"/>
    <n v="0.05"/>
    <s v="Valid"/>
    <s v="Clean"/>
    <n v="7524.63"/>
    <n v="6229.6"/>
    <n v="1295.0269999999991"/>
    <n v="1295.03"/>
    <n v="0.17210547229564777"/>
    <s v="Paid"/>
    <x v="0"/>
  </r>
  <r>
    <s v="ORD-2025-10343"/>
    <s v="Unique"/>
    <x v="0"/>
    <n v="2025"/>
    <d v="2025-07-24T00:00:00"/>
    <d v="2025-08-01T00:00:00"/>
    <n v="8"/>
    <s v="Valid"/>
    <s v="CUST-3335"/>
    <s v="Kabir Singh"/>
    <x v="1"/>
    <x v="1"/>
    <s v="Jharkhand"/>
    <m/>
    <x v="0"/>
    <x v="9"/>
    <s v="Smart Binders 574"/>
    <x v="2"/>
    <n v="8"/>
    <n v="1528.92"/>
    <n v="12231.36"/>
    <n v="0"/>
    <n v="0"/>
    <s v="Valid"/>
    <s v="Clean"/>
    <n v="12231.36"/>
    <n v="8766.9"/>
    <n v="3464.4600000000009"/>
    <n v="3464.46"/>
    <n v="0.28324405462679536"/>
    <s v="Paid"/>
    <x v="0"/>
  </r>
  <r>
    <s v="ORD-2025-10344"/>
    <s v="Unique"/>
    <x v="9"/>
    <n v="2025"/>
    <d v="2025-10-03T00:00:00"/>
    <d v="2025-10-08T00:00:00"/>
    <n v="5"/>
    <s v="Valid"/>
    <s v="CUST-7358"/>
    <s v="Aarav Sharma"/>
    <x v="2"/>
    <x v="3"/>
    <s v="Madhya Pradesh"/>
    <m/>
    <x v="2"/>
    <x v="12"/>
    <s v="Pro Machines 444"/>
    <x v="1"/>
    <n v="9"/>
    <n v="3837"/>
    <n v="31079.7"/>
    <n v="0.1"/>
    <n v="0.1"/>
    <s v="Valid"/>
    <s v="Clean"/>
    <n v="31079.7"/>
    <n v="17758.25"/>
    <n v="13321.45"/>
    <n v="13321.45"/>
    <n v="0.4286222196481948"/>
    <s v="Paid"/>
    <x v="0"/>
  </r>
  <r>
    <s v="ORD-2024-10345"/>
    <s v="Unique"/>
    <x v="11"/>
    <n v="2024"/>
    <d v="2024-03-11T00:00:00"/>
    <d v="2024-03-11T00:00:00"/>
    <n v="0"/>
    <s v="Valid"/>
    <s v="CUST-8025"/>
    <s v="Priya Menon"/>
    <x v="0"/>
    <x v="0"/>
    <s v="Punjab"/>
    <m/>
    <x v="1"/>
    <x v="10"/>
    <s v="Elite Bookcases 184"/>
    <x v="1"/>
    <n v="9"/>
    <n v="3456.38"/>
    <n v="31107.420000000002"/>
    <n v="0"/>
    <n v="0"/>
    <s v="Valid"/>
    <s v="Clean"/>
    <n v="31107.42"/>
    <n v="20146.66"/>
    <n v="10960.760000000002"/>
    <n v="10960.76"/>
    <n v="0.3523519468988428"/>
    <s v="Pending"/>
    <x v="2"/>
  </r>
  <r>
    <s v="ORD-2024-10346"/>
    <s v="Unique"/>
    <x v="7"/>
    <n v="2024"/>
    <d v="2024-09-14T00:00:00"/>
    <d v="2024-09-22T00:00:00"/>
    <n v="8"/>
    <s v="Valid"/>
    <s v="CUST-4634"/>
    <s v="Karan Malhotra"/>
    <x v="0"/>
    <x v="3"/>
    <s v="Madhya Pradesh"/>
    <m/>
    <x v="1"/>
    <x v="3"/>
    <s v="Elite Furnishings 138"/>
    <x v="0"/>
    <n v="2"/>
    <n v="2765.3"/>
    <n v="5530.6"/>
    <n v="0"/>
    <n v="0"/>
    <s v="Valid"/>
    <s v="Clean"/>
    <n v="5530.6"/>
    <n v="4453.1099999999997"/>
    <n v="1077.4900000000007"/>
    <n v="1077.49"/>
    <n v="0.1948233464723538"/>
    <s v="Paid"/>
    <x v="0"/>
  </r>
  <r>
    <s v="ORD-2025-10347"/>
    <s v="Unique"/>
    <x v="0"/>
    <n v="2025"/>
    <d v="2025-07-22T00:00:00"/>
    <d v="2025-07-28T00:00:00"/>
    <n v="6"/>
    <s v="Valid"/>
    <s v="CUST-3400"/>
    <s v="Rahul Verma"/>
    <x v="2"/>
    <x v="2"/>
    <s v="Kerala"/>
    <m/>
    <x v="1"/>
    <x v="4"/>
    <s v="Eco Chairs 369"/>
    <x v="0"/>
    <n v="6"/>
    <n v="1607.46"/>
    <n v="7715.8080000000009"/>
    <n v="0.2"/>
    <n v="0.2"/>
    <s v="Valid"/>
    <s v="Clean"/>
    <n v="7715.81"/>
    <n v="4258.42"/>
    <n v="3457.3880000000008"/>
    <n v="3457.39"/>
    <n v="0.44809164559521292"/>
    <s v="Paid"/>
    <x v="0"/>
  </r>
  <r>
    <s v="ORD-2024-10348"/>
    <s v="Unique"/>
    <x v="8"/>
    <n v="2024"/>
    <d v="2024-12-01T00:00:00"/>
    <d v="2024-12-08T00:00:00"/>
    <n v="7"/>
    <s v="Valid"/>
    <s v="CUST-1172"/>
    <s v="Aarav Sharma"/>
    <x v="1"/>
    <x v="3"/>
    <s v="Goa"/>
    <m/>
    <x v="1"/>
    <x v="4"/>
    <s v="Max Chairs 487"/>
    <x v="0"/>
    <n v="5"/>
    <n v="2981.49"/>
    <n v="11925.96"/>
    <n v="0.2"/>
    <n v="0.2"/>
    <s v="Valid"/>
    <s v="Clean"/>
    <n v="11925.96"/>
    <n v="10103.51"/>
    <n v="1822.4499999999989"/>
    <n v="1822.45"/>
    <n v="0.15281369382422885"/>
    <s v="Refunded"/>
    <x v="2"/>
  </r>
  <r>
    <s v="ORD-2024-10349"/>
    <s v="Unique"/>
    <x v="2"/>
    <n v="2024"/>
    <d v="2024-06-02T00:00:00"/>
    <d v="2024-06-07T00:00:00"/>
    <n v="5"/>
    <s v="Valid"/>
    <s v="CUST-9517"/>
    <s v="Aarav Sharma"/>
    <x v="2"/>
    <x v="2"/>
    <s v="Karnataka"/>
    <m/>
    <x v="2"/>
    <x v="11"/>
    <s v="Classic Phones 989"/>
    <x v="1"/>
    <n v="9"/>
    <n v="2860.26"/>
    <n v="19306.755000000005"/>
    <n v="0.25"/>
    <n v="0.25"/>
    <s v="Valid"/>
    <s v="Clean"/>
    <n v="19306.759999999998"/>
    <n v="14442.38"/>
    <n v="4864.3750000000055"/>
    <n v="4864.38"/>
    <n v="0.25195216597709819"/>
    <s v="Paid"/>
    <x v="0"/>
  </r>
  <r>
    <s v="ORD-2025-10350"/>
    <s v="Unique"/>
    <x v="7"/>
    <n v="2025"/>
    <d v="2025-09-27T00:00:00"/>
    <d v="2025-09-29T00:00:00"/>
    <n v="2"/>
    <s v="Valid"/>
    <s v="CUST-6697"/>
    <s v="Kabir Singh"/>
    <x v="3"/>
    <x v="1"/>
    <s v="Jharkhand"/>
    <m/>
    <x v="1"/>
    <x v="3"/>
    <s v="Max Furnishings 628"/>
    <x v="0"/>
    <n v="9"/>
    <n v="2867.55"/>
    <n v="19355.962500000001"/>
    <n v="0.25"/>
    <n v="0.25"/>
    <s v="Valid"/>
    <s v="Clean"/>
    <n v="19355.96"/>
    <n v="15012.45"/>
    <n v="4343.5125000000007"/>
    <n v="4017.4"/>
    <n v="0.20755364239231741"/>
    <s v="Paid"/>
    <x v="0"/>
  </r>
  <r>
    <s v="ORD-2024-10351"/>
    <s v="Unique"/>
    <x v="10"/>
    <n v="2024"/>
    <d v="2024-01-07T00:00:00"/>
    <d v="2024-01-14T00:00:00"/>
    <n v="7"/>
    <s v="Valid"/>
    <s v="CUST-7644"/>
    <s v="Sneha Kapoor"/>
    <x v="1"/>
    <x v="1"/>
    <s v="Jharkhand"/>
    <m/>
    <x v="1"/>
    <x v="3"/>
    <s v="Elite Furnishings 279"/>
    <x v="0"/>
    <n v="4"/>
    <n v="3309.54"/>
    <n v="11914.344000000001"/>
    <n v="0.1"/>
    <n v="0.1"/>
    <s v="Valid"/>
    <s v="Clean"/>
    <n v="11914.34"/>
    <n v="9771.24"/>
    <n v="2143.1040000000012"/>
    <n v="2143.1"/>
    <n v="0.1798756792235239"/>
    <s v="Refunded"/>
    <x v="2"/>
  </r>
  <r>
    <s v="ORD-2025-10352"/>
    <s v="Unique"/>
    <x v="4"/>
    <n v="2025"/>
    <d v="2025-05-23T00:00:00"/>
    <d v="2025-05-27T00:00:00"/>
    <n v="4"/>
    <s v="Valid"/>
    <s v="CUST-9963"/>
    <s v="Vikram Iyer"/>
    <x v="1"/>
    <x v="2"/>
    <s v="Telangana"/>
    <m/>
    <x v="0"/>
    <x v="8"/>
    <s v="Pro Storage 847"/>
    <x v="2"/>
    <n v="6"/>
    <n v="719.44"/>
    <n v="3237.4800000000005"/>
    <n v="0.25"/>
    <n v="0.25"/>
    <s v="Valid"/>
    <s v="Clean"/>
    <n v="3237.48"/>
    <n v="2118.34"/>
    <n v="1119.1400000000003"/>
    <n v="1119.1400000000001"/>
    <n v="0.34568244437031276"/>
    <s v="Pending"/>
    <x v="1"/>
  </r>
  <r>
    <s v="ORD-2025-10353"/>
    <s v="Unique"/>
    <x v="1"/>
    <n v="2025"/>
    <d v="2025-08-15T00:00:00"/>
    <d v="2025-08-17T00:00:00"/>
    <n v="2"/>
    <s v="Valid"/>
    <s v="CUST-6382"/>
    <s v="Diya Patel"/>
    <x v="1"/>
    <x v="1"/>
    <s v="Assam"/>
    <m/>
    <x v="2"/>
    <x v="6"/>
    <s v="Elite Copiers 706"/>
    <x v="2"/>
    <n v="5"/>
    <n v="2862.6"/>
    <n v="10734.75"/>
    <n v="0.25"/>
    <n v="0.25"/>
    <s v="Valid"/>
    <s v="Clean"/>
    <n v="10734.75"/>
    <n v="6475.73"/>
    <n v="4259.0200000000004"/>
    <n v="4259.0200000000004"/>
    <n v="0.39675073942103917"/>
    <s v="Paid"/>
    <x v="0"/>
  </r>
  <r>
    <s v="ORD-2025-10354"/>
    <s v="Unique"/>
    <x v="6"/>
    <n v="2025"/>
    <d v="2025-02-21T00:00:00"/>
    <d v="2025-02-27T00:00:00"/>
    <n v="6"/>
    <s v="Valid"/>
    <s v="CUST-3253"/>
    <s v="Ananya Rao"/>
    <x v="0"/>
    <x v="0"/>
    <s v="Rajasthan"/>
    <m/>
    <x v="0"/>
    <x v="2"/>
    <s v="Prime Art 978"/>
    <x v="1"/>
    <n v="9"/>
    <n v="1431.67"/>
    <n v="10308.024000000001"/>
    <n v="0.2"/>
    <n v="0.2"/>
    <s v="Valid"/>
    <s v="Clean"/>
    <n v="10308.02"/>
    <n v="5822.31"/>
    <n v="4485.7140000000009"/>
    <n v="4485.71"/>
    <n v="0.43516698648237001"/>
    <s v="Paid"/>
    <x v="0"/>
  </r>
  <r>
    <s v="ORD-2024-10355"/>
    <s v="Unique"/>
    <x v="8"/>
    <n v="2024"/>
    <d v="2024-12-27T00:00:00"/>
    <d v="2024-12-31T00:00:00"/>
    <n v="4"/>
    <s v="Valid"/>
    <s v="CUST-1058"/>
    <s v="Kabir Singh"/>
    <x v="2"/>
    <x v="0"/>
    <s v="Punjab"/>
    <m/>
    <x v="1"/>
    <x v="3"/>
    <s v="Classic Furnishings 498"/>
    <x v="3"/>
    <n v="6"/>
    <n v="3346.78"/>
    <s v="Invalid"/>
    <n v="-0.06"/>
    <s v="Invalid"/>
    <s v="Invalid"/>
    <s v="Invalid"/>
    <n v="20080.68"/>
    <n v="12908.84"/>
    <s v="Invalid"/>
    <n v="7171.84"/>
    <n v="0.35715125185003693"/>
    <s v="Pending"/>
    <x v="1"/>
  </r>
  <r>
    <s v="ORD-2024-10356"/>
    <s v="Unique"/>
    <x v="4"/>
    <n v="2024"/>
    <d v="2024-05-12T00:00:00"/>
    <d v="2024-05-09T00:00:00"/>
    <n v="-3"/>
    <s v="Invalid: Ship Date Before Order Date"/>
    <s v="CUST-6414"/>
    <s v="Priya Menon"/>
    <x v="2"/>
    <x v="3"/>
    <s v="Rajasthan"/>
    <m/>
    <x v="1"/>
    <x v="1"/>
    <s v="Max Tables 829"/>
    <x v="3"/>
    <n v="5"/>
    <n v="3203.48"/>
    <n v="16017.4"/>
    <n v="0"/>
    <n v="0"/>
    <s v="Valid"/>
    <s v="Invalid"/>
    <n v="16017.4"/>
    <n v="9557.7999999999993"/>
    <n v="6459.6"/>
    <n v="6459.6"/>
    <n v="0.40328642601171227"/>
    <s v="Pending"/>
    <x v="1"/>
  </r>
  <r>
    <s v="ORD-2025-10357"/>
    <s v="Unique"/>
    <x v="2"/>
    <n v="2025"/>
    <d v="2025-06-27T00:00:00"/>
    <d v="2025-06-29T00:00:00"/>
    <n v="2"/>
    <s v="Valid"/>
    <s v="CUST-9268"/>
    <s v="Rohan Mehta"/>
    <x v="3"/>
    <x v="2"/>
    <s v="Telangana"/>
    <m/>
    <x v="1"/>
    <x v="4"/>
    <s v="Eco Chairs 346"/>
    <x v="2"/>
    <n v="5"/>
    <n v="621.70000000000005"/>
    <n v="2486.8000000000002"/>
    <n v="0.2"/>
    <n v="0.2"/>
    <s v="Valid"/>
    <s v="Clean"/>
    <n v="2486.8000000000002"/>
    <n v="2131.73"/>
    <n v="355.07000000000016"/>
    <n v="355.07"/>
    <n v="0.14278188837059674"/>
    <s v="Pending"/>
    <x v="2"/>
  </r>
  <r>
    <s v="ORD-2025-10358"/>
    <s v="Unique"/>
    <x v="10"/>
    <n v="2025"/>
    <d v="2025-01-21T00:00:00"/>
    <d v="2025-01-29T00:00:00"/>
    <n v="8"/>
    <s v="Valid"/>
    <s v="CUST-1363"/>
    <s v="Mira Das"/>
    <x v="3"/>
    <x v="2"/>
    <s v="Andhra Pradesh"/>
    <m/>
    <x v="2"/>
    <x v="12"/>
    <s v="Max Machines 770"/>
    <x v="0"/>
    <n v="8"/>
    <n v="546.13"/>
    <n v="4369.04"/>
    <n v="0"/>
    <n v="0"/>
    <s v="Valid"/>
    <s v="Clean"/>
    <n v="4369.04"/>
    <n v="3716.88"/>
    <n v="652.15999999999985"/>
    <n v="652.16"/>
    <n v="0.14926848918755606"/>
    <s v="Paid"/>
    <x v="1"/>
  </r>
  <r>
    <s v="ORD-2025-10359"/>
    <s v="Unique"/>
    <x v="1"/>
    <n v="2025"/>
    <d v="2025-08-09T00:00:00"/>
    <d v="2025-08-07T00:00:00"/>
    <n v="-2"/>
    <s v="Invalid: Ship Date Before Order Date"/>
    <s v="CUST-2477"/>
    <s v="Vikram Iyer"/>
    <x v="3"/>
    <x v="3"/>
    <s v="Gujarat"/>
    <m/>
    <x v="1"/>
    <x v="10"/>
    <s v="Smart Bookcases 134"/>
    <x v="0"/>
    <n v="5"/>
    <n v="1253.92"/>
    <n v="5956.12"/>
    <n v="0.05"/>
    <n v="0.05"/>
    <s v="Valid"/>
    <s v="Invalid"/>
    <n v="5956.12"/>
    <n v="4379.18"/>
    <n v="1576.9399999999996"/>
    <n v="1576.94"/>
    <n v="0.26475960860425918"/>
    <s v="Pending"/>
    <x v="2"/>
  </r>
  <r>
    <s v="ORD-2024-10360"/>
    <s v="Unique"/>
    <x v="1"/>
    <n v="2024"/>
    <d v="2024-08-21T00:00:00"/>
    <d v="2024-08-22T00:00:00"/>
    <n v="1"/>
    <s v="Valid"/>
    <s v="CUST-9571"/>
    <s v="Isha Nair"/>
    <x v="0"/>
    <x v="2"/>
    <s v="Tamil Nadu"/>
    <m/>
    <x v="2"/>
    <x v="11"/>
    <s v="Classic Phones 586"/>
    <x v="1"/>
    <n v="9"/>
    <n v="616.96"/>
    <n v="4997.3760000000002"/>
    <n v="0.1"/>
    <n v="0.1"/>
    <s v="Valid"/>
    <s v="Clean"/>
    <n v="4997.38"/>
    <n v="2971.39"/>
    <n v="2025.9860000000003"/>
    <n v="2025.99"/>
    <n v="0.40541043506797564"/>
    <s v="Paid"/>
    <x v="0"/>
  </r>
  <r>
    <s v="ORD-2024-10361"/>
    <s v="Unique"/>
    <x v="2"/>
    <n v="2024"/>
    <d v="2024-06-17T00:00:00"/>
    <d v="2024-06-20T00:00:00"/>
    <n v="3"/>
    <s v="Valid"/>
    <s v="CUST-3690"/>
    <s v="Sneha Kapoor"/>
    <x v="1"/>
    <x v="3"/>
    <s v="Gujarat"/>
    <m/>
    <x v="1"/>
    <x v="3"/>
    <s v="Elite Furnishings 634"/>
    <x v="3"/>
    <n v="7"/>
    <n v="3155.25"/>
    <n v="17669.400000000001"/>
    <n v="0.2"/>
    <n v="0.2"/>
    <s v="Valid"/>
    <s v="Clean"/>
    <n v="17669.400000000001"/>
    <n v="13718.77"/>
    <n v="3950.630000000001"/>
    <n v="3950.63"/>
    <n v="0.22358597349089385"/>
    <s v="Refunded"/>
    <x v="1"/>
  </r>
  <r>
    <s v="ORD-2025-10362"/>
    <s v="Unique"/>
    <x v="5"/>
    <n v="2025"/>
    <d v="2025-04-01T00:00:00"/>
    <d v="2025-04-02T00:00:00"/>
    <n v="1"/>
    <s v="Valid"/>
    <s v="CUST-2909"/>
    <s v="Rohan Mehta"/>
    <x v="2"/>
    <x v="1"/>
    <s v="Odisha"/>
    <m/>
    <x v="1"/>
    <x v="4"/>
    <s v="Basic Chairs 113"/>
    <x v="0"/>
    <n v="9"/>
    <n v="4165.58"/>
    <n v="35615.709000000003"/>
    <n v="0.05"/>
    <n v="0.05"/>
    <s v="Valid"/>
    <s v="Clean"/>
    <n v="35615.71"/>
    <n v="20389.71"/>
    <n v="15225.999000000003"/>
    <n v="15226"/>
    <n v="0.42750797330728491"/>
    <s v="Pending"/>
    <x v="2"/>
  </r>
  <r>
    <s v="ORD-2024-10363"/>
    <s v="Unique"/>
    <x v="1"/>
    <n v="2024"/>
    <d v="2024-08-23T00:00:00"/>
    <d v="2024-08-25T00:00:00"/>
    <n v="2"/>
    <s v="Valid"/>
    <s v="CUST-6755"/>
    <s v="Vikram Iyer"/>
    <x v="0"/>
    <x v="3"/>
    <s v="Goa"/>
    <m/>
    <x v="2"/>
    <x v="12"/>
    <s v="Elite Machines 216"/>
    <x v="1"/>
    <n v="4"/>
    <n v="491.16"/>
    <n v="1866.4079999999999"/>
    <n v="0.05"/>
    <n v="0.05"/>
    <s v="Valid"/>
    <s v="Clean"/>
    <n v="1866.41"/>
    <n v="1576.49"/>
    <n v="289.91799999999989"/>
    <n v="289.92"/>
    <n v="0.15533564436538597"/>
    <s v="Paid"/>
    <x v="0"/>
  </r>
  <r>
    <s v="ORD-2025-10364"/>
    <s v="Unique"/>
    <x v="0"/>
    <n v="2025"/>
    <d v="2025-07-07T00:00:00"/>
    <d v="2025-07-12T00:00:00"/>
    <n v="5"/>
    <s v="Valid"/>
    <s v="CUST-1832"/>
    <s v="Diya Patel"/>
    <x v="2"/>
    <x v="1"/>
    <s v="West Bengal"/>
    <m/>
    <x v="1"/>
    <x v="1"/>
    <s v="Smart Tables 943"/>
    <x v="0"/>
    <n v="5"/>
    <n v="1831.37"/>
    <n v="6867.6374999999989"/>
    <n v="0.25"/>
    <n v="0.25"/>
    <s v="Valid"/>
    <s v="Clean"/>
    <n v="6867.64"/>
    <n v="5205.3599999999997"/>
    <n v="1662.2774999999992"/>
    <n v="1662.28"/>
    <n v="0.24204530231637067"/>
    <s v="Paid"/>
    <x v="0"/>
  </r>
  <r>
    <s v="ORD-2025-10365"/>
    <s v="Unique"/>
    <x v="11"/>
    <n v="2025"/>
    <d v="2025-03-21T00:00:00"/>
    <d v="2025-03-24T00:00:00"/>
    <n v="3"/>
    <s v="Valid"/>
    <s v="CUST-4452"/>
    <s v="Aarav Sharma"/>
    <x v="1"/>
    <x v="2"/>
    <s v="Andhra Pradesh"/>
    <m/>
    <x v="1"/>
    <x v="4"/>
    <s v="Prime Chairs 101"/>
    <x v="0"/>
    <n v="5"/>
    <n v="1239.1500000000001"/>
    <n v="6195.75"/>
    <n v="0"/>
    <n v="0"/>
    <s v="Valid"/>
    <s v="Clean"/>
    <n v="6195.75"/>
    <n v="3967.02"/>
    <n v="2228.73"/>
    <n v="2228.73"/>
    <n v="0.35971916232901585"/>
    <s v="Paid"/>
    <x v="0"/>
  </r>
  <r>
    <s v="ORD-2024-10366"/>
    <s v="Unique"/>
    <x v="2"/>
    <n v="2024"/>
    <d v="2024-06-15T00:00:00"/>
    <d v="2024-06-21T00:00:00"/>
    <n v="6"/>
    <s v="Valid"/>
    <s v="CUST-2203"/>
    <s v="Aditi Sen"/>
    <x v="2"/>
    <x v="3"/>
    <s v="Goa"/>
    <m/>
    <x v="2"/>
    <x v="5"/>
    <s v="Basic Accessories 774"/>
    <x v="2"/>
    <n v="8"/>
    <n v="1706.4"/>
    <n v="13651.2"/>
    <n v="0"/>
    <n v="0"/>
    <s v="Valid"/>
    <s v="Clean"/>
    <n v="12968.64"/>
    <n v="10119.61"/>
    <n v="3531.59"/>
    <n v="2849.03"/>
    <n v="0.21968610432551142"/>
    <s v="Paid"/>
    <x v="0"/>
  </r>
  <r>
    <s v="ORD-2025-10367"/>
    <s v="Unique"/>
    <x v="10"/>
    <n v="2025"/>
    <d v="2025-01-16T00:00:00"/>
    <d v="2025-01-22T00:00:00"/>
    <n v="6"/>
    <s v="Valid"/>
    <s v="CUST-5397"/>
    <s v="Sneha Kapoor"/>
    <x v="2"/>
    <x v="0"/>
    <s v="Rajasthan"/>
    <m/>
    <x v="1"/>
    <x v="1"/>
    <s v="Max Tables 478"/>
    <x v="1"/>
    <n v="2"/>
    <n v="4418.28"/>
    <n v="8836.56"/>
    <n v="0"/>
    <n v="0"/>
    <s v="Valid"/>
    <s v="Clean"/>
    <n v="8836.56"/>
    <n v="5867.75"/>
    <n v="2968.8099999999995"/>
    <n v="2968.81"/>
    <n v="0.33596897435201029"/>
    <s v="Paid"/>
    <x v="0"/>
  </r>
  <r>
    <s v="ORD-2024-10368"/>
    <s v="Unique"/>
    <x v="11"/>
    <n v="2024"/>
    <d v="2024-03-15T00:00:00"/>
    <d v="2024-03-16T00:00:00"/>
    <n v="1"/>
    <s v="Valid"/>
    <s v="CUST-4696"/>
    <s v="Rohan Mehta"/>
    <x v="0"/>
    <x v="0"/>
    <s v="Delhi"/>
    <m/>
    <x v="0"/>
    <x v="2"/>
    <s v="Eco Art 646"/>
    <x v="3"/>
    <n v="6"/>
    <n v="3815.09"/>
    <n v="19456.958999999999"/>
    <n v="0.15"/>
    <n v="0.15"/>
    <s v="Valid"/>
    <s v="Clean"/>
    <n v="19456.96"/>
    <n v="14520.06"/>
    <n v="4936.8989999999994"/>
    <n v="4936.8999999999996"/>
    <n v="0.25373439632912848"/>
    <s v="Failed"/>
    <x v="1"/>
  </r>
  <r>
    <s v="ORD-2025-10369"/>
    <s v="Unique"/>
    <x v="0"/>
    <n v="2025"/>
    <d v="2025-07-06T00:00:00"/>
    <d v="2025-07-06T00:00:00"/>
    <n v="0"/>
    <s v="Valid"/>
    <s v="CUST-8246"/>
    <s v="Aarav Sharma"/>
    <x v="3"/>
    <x v="0"/>
    <s v="Rajasthan"/>
    <m/>
    <x v="2"/>
    <x v="5"/>
    <s v="Prime Accessories 962"/>
    <x v="1"/>
    <n v="9"/>
    <n v="243.19"/>
    <n v="2079.2745"/>
    <n v="0.05"/>
    <n v="0.05"/>
    <s v="Valid"/>
    <s v="Clean"/>
    <n v="2079.27"/>
    <n v="1512.17"/>
    <n v="567.10449999999992"/>
    <n v="567.1"/>
    <n v="0.27273995200238549"/>
    <s v="Refunded"/>
    <x v="2"/>
  </r>
  <r>
    <s v="ORD-2025-10370"/>
    <s v="Unique"/>
    <x v="10"/>
    <n v="2025"/>
    <d v="2025-01-23T00:00:00"/>
    <d v="2025-01-30T00:00:00"/>
    <n v="7"/>
    <s v="Valid"/>
    <s v="CUST-5672"/>
    <s v="Priya Menon"/>
    <x v="0"/>
    <x v="0"/>
    <s v="Delhi"/>
    <m/>
    <x v="0"/>
    <x v="7"/>
    <s v="Eco Labels 646"/>
    <x v="3"/>
    <n v="9"/>
    <n v="1169.3699999999999"/>
    <n v="8945.6804999999986"/>
    <n v="0.15"/>
    <n v="0.15"/>
    <s v="Valid"/>
    <s v="Clean"/>
    <n v="8945.68"/>
    <n v="6740.35"/>
    <n v="2205.3304999999982"/>
    <n v="2205.33"/>
    <n v="0.24652457946181844"/>
    <s v="Paid"/>
    <x v="0"/>
  </r>
  <r>
    <s v="ORD-2024-10371"/>
    <s v="Unique"/>
    <x v="1"/>
    <n v="2024"/>
    <d v="2024-08-15T00:00:00"/>
    <d v="2024-08-21T00:00:00"/>
    <n v="6"/>
    <s v="Valid"/>
    <s v="CUST-8521"/>
    <s v="Ananya Rao"/>
    <x v="1"/>
    <x v="3"/>
    <s v="Rajasthan"/>
    <m/>
    <x v="2"/>
    <x v="6"/>
    <s v="Classic Copiers 505"/>
    <x v="2"/>
    <n v="7"/>
    <n v="2333.81"/>
    <n v="13069.336000000001"/>
    <n v="0.2"/>
    <n v="0.2"/>
    <s v="Valid"/>
    <s v="Clean"/>
    <n v="13069.34"/>
    <n v="8768.59"/>
    <n v="4300.746000000001"/>
    <n v="4300.75"/>
    <n v="0.32907170522765494"/>
    <s v="Paid"/>
    <x v="0"/>
  </r>
  <r>
    <s v="ORD-2024-10372"/>
    <s v="Unique"/>
    <x v="10"/>
    <n v="2024"/>
    <d v="2024-01-22T00:00:00"/>
    <d v="2024-01-24T00:00:00"/>
    <n v="2"/>
    <s v="Valid"/>
    <s v="CUST-2204"/>
    <s v="Diya Patel"/>
    <x v="3"/>
    <x v="3"/>
    <s v="Maharashtra"/>
    <m/>
    <x v="0"/>
    <x v="2"/>
    <s v="Pro Art 906"/>
    <x v="3"/>
    <n v="6"/>
    <n v="1026.06"/>
    <n v="6156.36"/>
    <n v="0"/>
    <n v="0"/>
    <s v="Valid"/>
    <s v="Clean"/>
    <n v="4617.2700000000004"/>
    <n v="2981.94"/>
    <n v="3174.4199999999996"/>
    <n v="1635.33"/>
    <n v="0.35417681876953261"/>
    <s v="Refunded"/>
    <x v="1"/>
  </r>
  <r>
    <s v="ORD-2025-10373"/>
    <s v="Unique"/>
    <x v="1"/>
    <n v="2025"/>
    <d v="2025-08-16T00:00:00"/>
    <d v="2025-08-18T00:00:00"/>
    <n v="2"/>
    <s v="Valid"/>
    <s v="CUST-4399"/>
    <s v="Kabir Singh"/>
    <x v="0"/>
    <x v="1"/>
    <s v="Jharkhand"/>
    <m/>
    <x v="1"/>
    <x v="4"/>
    <s v="Max Chairs 181"/>
    <x v="1"/>
    <n v="5"/>
    <n v="1530.36"/>
    <n v="7651.7999999999993"/>
    <n v="0"/>
    <n v="0"/>
    <s v="Valid"/>
    <s v="Clean"/>
    <n v="7651.8"/>
    <n v="5171.78"/>
    <n v="2480.0199999999995"/>
    <n v="2480.02"/>
    <n v="0.32410935988917638"/>
    <s v="Paid"/>
    <x v="0"/>
  </r>
  <r>
    <s v="ORD-2025-10374"/>
    <s v="Duplicate Order ID"/>
    <x v="5"/>
    <n v="2025"/>
    <d v="2025-04-13T00:00:00"/>
    <d v="2025-04-13T00:00:00"/>
    <n v="0"/>
    <s v="Valid"/>
    <s v="CUST-8566"/>
    <s v="Sneha Kapoor"/>
    <x v="1"/>
    <x v="0"/>
    <s v="Uttar Pradesh"/>
    <m/>
    <x v="0"/>
    <x v="8"/>
    <s v="Prime Storage 951"/>
    <x v="0"/>
    <n v="9"/>
    <n v="1118.68"/>
    <n v="10068.120000000001"/>
    <n v="0"/>
    <n v="0"/>
    <s v="Valid"/>
    <s v="Clean"/>
    <n v="10068.120000000001"/>
    <n v="8595.3700000000008"/>
    <n v="1472.75"/>
    <n v="1472.75"/>
    <n v="0.14627855051389932"/>
    <s v="Paid"/>
    <x v="0"/>
  </r>
  <r>
    <s v="ORD-2025-10375"/>
    <s v="Unique"/>
    <x v="6"/>
    <n v="2025"/>
    <d v="2025-02-27T00:00:00"/>
    <d v="2025-02-28T00:00:00"/>
    <n v="1"/>
    <s v="Valid"/>
    <s v="CUST-2358"/>
    <s v="Aditi Sen"/>
    <x v="1"/>
    <x v="0"/>
    <s v="Uttar Pradesh"/>
    <m/>
    <x v="0"/>
    <x v="7"/>
    <s v="Smart Labels 668"/>
    <x v="3"/>
    <n v="6"/>
    <n v="2393.25"/>
    <n v="14359.5"/>
    <n v="0"/>
    <n v="0"/>
    <s v="Valid"/>
    <s v="Clean"/>
    <n v="14359.5"/>
    <n v="8117.71"/>
    <n v="6241.79"/>
    <n v="6241.79"/>
    <n v="0.43468017688638183"/>
    <s v="Paid"/>
    <x v="0"/>
  </r>
  <r>
    <s v="ORD-2024-10376"/>
    <s v="Unique"/>
    <x v="8"/>
    <n v="2024"/>
    <d v="2024-12-31T00:00:00"/>
    <d v="2025-01-04T00:00:00"/>
    <n v="4"/>
    <s v="Valid"/>
    <s v="CUST-2810"/>
    <s v="Vikram Iyer"/>
    <x v="0"/>
    <x v="0"/>
    <s v="Delhi"/>
    <m/>
    <x v="1"/>
    <x v="4"/>
    <s v="Pro Chairs 364"/>
    <x v="1"/>
    <n v="3"/>
    <n v="1166.6099999999999"/>
    <n v="2624.8724999999999"/>
    <n v="0.25"/>
    <n v="0.25"/>
    <s v="Valid"/>
    <s v="Clean"/>
    <n v="2624.87"/>
    <n v="2253.88"/>
    <n v="370.99249999999984"/>
    <n v="370.99"/>
    <n v="0.14133652333258409"/>
    <s v="Paid"/>
    <x v="0"/>
  </r>
  <r>
    <s v="ORD-2024-10377"/>
    <s v="Unique"/>
    <x v="8"/>
    <n v="2024"/>
    <d v="2024-12-29T00:00:00"/>
    <d v="2024-12-31T00:00:00"/>
    <n v="2"/>
    <s v="Valid"/>
    <s v="CUST-5166"/>
    <s v="Isha Nair"/>
    <x v="1"/>
    <x v="1"/>
    <s v="Bihar"/>
    <m/>
    <x v="1"/>
    <x v="4"/>
    <s v="Basic Chairs 248"/>
    <x v="2"/>
    <n v="6"/>
    <n v="1844.78"/>
    <n v="8854.9440000000013"/>
    <n v="0.2"/>
    <n v="0.2"/>
    <s v="Valid"/>
    <s v="Clean"/>
    <n v="8854.94"/>
    <n v="7433.95"/>
    <n v="1420.9940000000015"/>
    <n v="1420.99"/>
    <n v="0.16047426634172562"/>
    <s v="Paid"/>
    <x v="0"/>
  </r>
  <r>
    <s v="ORD-2025-10378"/>
    <s v="Unique"/>
    <x v="4"/>
    <n v="2025"/>
    <d v="2025-05-24T00:00:00"/>
    <d v="2025-05-30T00:00:00"/>
    <n v="6"/>
    <s v="Valid"/>
    <s v="CUST-4875"/>
    <s v="Kabir Singh"/>
    <x v="1"/>
    <x v="1"/>
    <s v="Odisha"/>
    <m/>
    <x v="0"/>
    <x v="8"/>
    <s v="Basic Storage 360"/>
    <x v="1"/>
    <n v="1"/>
    <n v="2564.7399999999998"/>
    <n v="2564.7399999999998"/>
    <n v="0"/>
    <n v="0"/>
    <s v="Valid"/>
    <s v="Clean"/>
    <n v="2564.7399999999998"/>
    <n v="1754.58"/>
    <n v="810.15999999999985"/>
    <n v="810.16"/>
    <n v="0.31588387126960238"/>
    <s v="Paid"/>
    <x v="0"/>
  </r>
  <r>
    <s v="ORD-2025-10379"/>
    <s v="Unique"/>
    <x v="4"/>
    <n v="2025"/>
    <d v="2025-05-22T00:00:00"/>
    <d v="2025-05-22T00:00:00"/>
    <n v="0"/>
    <s v="Valid"/>
    <s v="CUST-3154"/>
    <s v="Mira Das"/>
    <x v="0"/>
    <x v="3"/>
    <s v="Goa"/>
    <m/>
    <x v="2"/>
    <x v="5"/>
    <s v="Basic Accessories 988"/>
    <x v="3"/>
    <n v="2"/>
    <n v="3910.61"/>
    <n v="7821.22"/>
    <n v="0"/>
    <n v="0"/>
    <s v="Valid"/>
    <s v="Clean"/>
    <n v="7821.22"/>
    <n v="4994.46"/>
    <n v="2826.76"/>
    <n v="2826.76"/>
    <n v="0.36142187535959863"/>
    <s v="Paid"/>
    <x v="0"/>
  </r>
  <r>
    <s v="ORD-2024-10380"/>
    <s v="Unique"/>
    <x v="7"/>
    <n v="2024"/>
    <d v="2024-09-19T00:00:00"/>
    <d v="2024-09-23T00:00:00"/>
    <n v="4"/>
    <s v="Valid"/>
    <s v="CUST-6405"/>
    <s v="Mira Das"/>
    <x v="1"/>
    <x v="2"/>
    <s v="Kerala"/>
    <m/>
    <x v="0"/>
    <x v="0"/>
    <s v="Max Paper 334"/>
    <x v="3"/>
    <n v="7"/>
    <n v="1136.68"/>
    <n v="7956.76"/>
    <n v="0"/>
    <n v="0"/>
    <s v="Valid"/>
    <s v="Clean"/>
    <n v="7956.76"/>
    <n v="4799.54"/>
    <n v="3157.2200000000003"/>
    <n v="3157.22"/>
    <n v="0.39679718880549364"/>
    <s v="Paid"/>
    <x v="0"/>
  </r>
  <r>
    <s v="ORD-2024-10381"/>
    <s v="Unique"/>
    <x v="5"/>
    <n v="2024"/>
    <d v="2024-04-07T00:00:00"/>
    <d v="2024-04-14T00:00:00"/>
    <n v="7"/>
    <s v="Valid"/>
    <s v="CUST-5779"/>
    <s v="Vikram Iyer"/>
    <x v="0"/>
    <x v="3"/>
    <s v="Maharashtra"/>
    <m/>
    <x v="1"/>
    <x v="10"/>
    <s v="Prime Bookcases 952"/>
    <x v="1"/>
    <n v="5"/>
    <n v="2235.85"/>
    <n v="8384.4375"/>
    <n v="0.25"/>
    <n v="0.25"/>
    <s v="Valid"/>
    <s v="Clean"/>
    <n v="8384.44"/>
    <n v="4765.96"/>
    <n v="3618.4775"/>
    <n v="3618.48"/>
    <n v="0.43157086221620045"/>
    <s v="Paid"/>
    <x v="2"/>
  </r>
  <r>
    <s v="ORD-2025-10382"/>
    <s v="Unique"/>
    <x v="7"/>
    <n v="2025"/>
    <d v="2025-09-19T00:00:00"/>
    <d v="2025-09-23T00:00:00"/>
    <n v="4"/>
    <s v="Valid"/>
    <s v="CUST-9943"/>
    <s v="Arjun Bose"/>
    <x v="3"/>
    <x v="0"/>
    <s v="Delhi"/>
    <m/>
    <x v="0"/>
    <x v="9"/>
    <s v="Prime Binders 523"/>
    <x v="3"/>
    <n v="4"/>
    <n v="4387.1499999999996"/>
    <n v="16671.169999999998"/>
    <n v="0.05"/>
    <n v="0.05"/>
    <s v="Valid"/>
    <s v="Clean"/>
    <n v="16671.169999999998"/>
    <n v="10833.19"/>
    <n v="5837.9799999999977"/>
    <n v="5837.98"/>
    <n v="0.35018418023450065"/>
    <s v="Failed"/>
    <x v="1"/>
  </r>
  <r>
    <s v="ORD-2025-10383"/>
    <s v="Unique"/>
    <x v="11"/>
    <n v="2025"/>
    <d v="2025-03-04T00:00:00"/>
    <d v="2025-03-08T00:00:00"/>
    <n v="4"/>
    <s v="Valid"/>
    <s v="CUST-7098"/>
    <s v="Arjun Bose"/>
    <x v="1"/>
    <x v="1"/>
    <s v="Bihar"/>
    <m/>
    <x v="2"/>
    <x v="11"/>
    <s v="Pro Phones 538"/>
    <x v="2"/>
    <n v="3"/>
    <n v="4361.8500000000004"/>
    <n v="10468.440000000002"/>
    <n v="0.2"/>
    <n v="0.2"/>
    <s v="Valid"/>
    <s v="Clean"/>
    <n v="10468.44"/>
    <n v="8399.8700000000008"/>
    <n v="2068.5700000000015"/>
    <n v="2068.5700000000002"/>
    <n v="0.19760059760575596"/>
    <s v="Paid"/>
    <x v="0"/>
  </r>
  <r>
    <s v="ORD-2025-10384"/>
    <s v="Unique"/>
    <x v="2"/>
    <n v="2025"/>
    <d v="2025-06-28T00:00:00"/>
    <d v="2025-07-05T00:00:00"/>
    <n v="7"/>
    <s v="Valid"/>
    <s v="CUST-7438"/>
    <s v="Vikram Iyer"/>
    <x v="2"/>
    <x v="1"/>
    <s v="West Bengal"/>
    <m/>
    <x v="0"/>
    <x v="2"/>
    <s v="Basic Art 608"/>
    <x v="2"/>
    <n v="2"/>
    <n v="2242.75"/>
    <n v="4485.5"/>
    <n v="0"/>
    <n v="0"/>
    <s v="Valid"/>
    <s v="Clean"/>
    <n v="4485.5"/>
    <n v="3131.86"/>
    <n v="1353.6399999999999"/>
    <n v="1353.64"/>
    <n v="0.30178129528480663"/>
    <s v="Paid"/>
    <x v="1"/>
  </r>
  <r>
    <s v="ORD-2024-10385"/>
    <s v="Unique"/>
    <x v="11"/>
    <n v="2024"/>
    <d v="2024-03-15T00:00:00"/>
    <d v="2024-03-20T00:00:00"/>
    <n v="5"/>
    <s v="Valid"/>
    <s v="CUST-8432"/>
    <s v="Rohan Mehta"/>
    <x v="0"/>
    <x v="1"/>
    <s v="Jharkhand"/>
    <m/>
    <x v="2"/>
    <x v="6"/>
    <s v="Prime Copiers 820"/>
    <x v="3"/>
    <n v="2"/>
    <n v="1881.4"/>
    <n v="2822.1000000000004"/>
    <n v="0.25"/>
    <n v="0.25"/>
    <s v="Valid"/>
    <s v="Clean"/>
    <n v="2822.1"/>
    <n v="1624.57"/>
    <n v="1197.5300000000004"/>
    <n v="1197.53"/>
    <n v="0.42434003047376068"/>
    <s v="Paid"/>
    <x v="2"/>
  </r>
  <r>
    <s v="ORD-2025-10386"/>
    <s v="Unique"/>
    <x v="2"/>
    <n v="2025"/>
    <d v="2025-06-24T00:00:00"/>
    <d v="2025-06-30T00:00:00"/>
    <n v="6"/>
    <s v="Valid"/>
    <s v="CUST-2834"/>
    <s v="Arjun Bose"/>
    <x v="0"/>
    <x v="0"/>
    <s v="Haryana"/>
    <m/>
    <x v="0"/>
    <x v="7"/>
    <s v="Classic Labels 670"/>
    <x v="3"/>
    <n v="6"/>
    <n v="365.76"/>
    <n v="1975.104"/>
    <n v="0.1"/>
    <n v="0.1"/>
    <s v="Valid"/>
    <s v="Clean"/>
    <n v="1975.1"/>
    <n v="1115.3499999999999"/>
    <n v="859.75400000000013"/>
    <n v="859.75"/>
    <n v="0.43529441547263431"/>
    <s v="Paid"/>
    <x v="0"/>
  </r>
  <r>
    <s v="ORD-2025-10387"/>
    <s v="Unique"/>
    <x v="6"/>
    <n v="2025"/>
    <d v="2025-02-12T00:00:00"/>
    <d v="2025-02-14T00:00:00"/>
    <n v="2"/>
    <s v="Valid"/>
    <s v="CUST-4222"/>
    <s v="Sneha Kapoor"/>
    <x v="0"/>
    <x v="3"/>
    <s v="Maharashtra"/>
    <m/>
    <x v="1"/>
    <x v="3"/>
    <s v="Prime Furnishings 597"/>
    <x v="0"/>
    <n v="8"/>
    <n v="2786.66"/>
    <n v="20063.952000000001"/>
    <n v="0.1"/>
    <n v="0.1"/>
    <s v="Valid"/>
    <s v="Clean"/>
    <n v="20063.95"/>
    <n v="14363.38"/>
    <n v="5700.5720000000019"/>
    <n v="5700.57"/>
    <n v="0.28412002621617377"/>
    <s v="Paid"/>
    <x v="0"/>
  </r>
  <r>
    <s v="ORD-2025-10388"/>
    <s v="Unique"/>
    <x v="1"/>
    <n v="2025"/>
    <d v="2025-08-10T00:00:00"/>
    <d v="2025-08-13T00:00:00"/>
    <n v="3"/>
    <s v="Valid"/>
    <s v="CUST-1053"/>
    <s v="Priya Menon"/>
    <x v="1"/>
    <x v="3"/>
    <s v="Madhya Pradesh"/>
    <m/>
    <x v="1"/>
    <x v="4"/>
    <s v="Prime Chairs 196"/>
    <x v="3"/>
    <n v="5"/>
    <n v="352.86"/>
    <n v="1764.3000000000002"/>
    <n v="0"/>
    <n v="0"/>
    <s v="Valid"/>
    <s v="Clean"/>
    <n v="1764.3"/>
    <n v="1332.49"/>
    <n v="431.81000000000017"/>
    <n v="431.81"/>
    <n v="0.24474862551720231"/>
    <s v="Pending"/>
    <x v="1"/>
  </r>
  <r>
    <s v="ORD-2024-10389"/>
    <s v="Unique"/>
    <x v="4"/>
    <n v="2024"/>
    <d v="2024-05-13T00:00:00"/>
    <d v="2024-05-18T00:00:00"/>
    <n v="5"/>
    <s v="Valid"/>
    <s v="CUST-1457"/>
    <s v="Isha Nair"/>
    <x v="1"/>
    <x v="3"/>
    <s v="Gujarat"/>
    <m/>
    <x v="1"/>
    <x v="4"/>
    <s v="Elite Chairs 639"/>
    <x v="3"/>
    <n v="3"/>
    <n v="3128.59"/>
    <n v="9385.77"/>
    <n v="0"/>
    <n v="0"/>
    <s v="Valid"/>
    <s v="Clean"/>
    <n v="9385.77"/>
    <n v="6872.44"/>
    <n v="2513.3300000000008"/>
    <n v="2783.66"/>
    <n v="0.29658301876138021"/>
    <s v="Paid"/>
    <x v="0"/>
  </r>
  <r>
    <s v="ORD-2024-10390"/>
    <s v="Unique"/>
    <x v="5"/>
    <n v="2024"/>
    <d v="2024-04-05T00:00:00"/>
    <d v="2024-04-13T00:00:00"/>
    <n v="8"/>
    <s v="Valid"/>
    <s v="CUST-3930"/>
    <s v="Diya Patel"/>
    <x v="2"/>
    <x v="3"/>
    <s v="Gujarat"/>
    <m/>
    <x v="2"/>
    <x v="12"/>
    <s v="Elite Machines 563"/>
    <x v="0"/>
    <n v="5"/>
    <n v="1937.54"/>
    <n v="7750.1600000000008"/>
    <n v="0.2"/>
    <n v="0.2"/>
    <s v="Valid"/>
    <s v="Clean"/>
    <n v="7750.16"/>
    <n v="5434.3"/>
    <n v="2315.8600000000006"/>
    <n v="2315.86"/>
    <n v="0.29881447608823564"/>
    <s v="Pending"/>
    <x v="1"/>
  </r>
  <r>
    <s v="ORD-2024-10391"/>
    <s v="Unique"/>
    <x v="3"/>
    <n v="2024"/>
    <d v="2024-11-06T00:00:00"/>
    <d v="2024-11-11T00:00:00"/>
    <n v="5"/>
    <s v="Valid"/>
    <s v="CUST-7853"/>
    <s v="Isha Nair"/>
    <x v="0"/>
    <x v="3"/>
    <s v="Gujarat"/>
    <m/>
    <x v="1"/>
    <x v="3"/>
    <s v="Pro Furnishings 281"/>
    <x v="3"/>
    <n v="4"/>
    <n v="1917.26"/>
    <n v="6135.232"/>
    <n v="0.2"/>
    <n v="0.2"/>
    <s v="Valid"/>
    <s v="Clean"/>
    <n v="6135.23"/>
    <n v="3439.79"/>
    <n v="2695.442"/>
    <n v="2695.44"/>
    <n v="0.43933805252614822"/>
    <s v="Paid"/>
    <x v="0"/>
  </r>
  <r>
    <s v="ORD-2025-10392"/>
    <s v="Unique"/>
    <x v="6"/>
    <n v="2025"/>
    <d v="2025-02-14T00:00:00"/>
    <d v="2025-02-14T00:00:00"/>
    <n v="0"/>
    <s v="Valid"/>
    <s v="CUST-2267"/>
    <s v="Diya Patel"/>
    <x v="0"/>
    <x v="2"/>
    <s v="Karnataka"/>
    <m/>
    <x v="0"/>
    <x v="8"/>
    <s v="Eco Storage 285"/>
    <x v="2"/>
    <n v="1"/>
    <n v="714.43"/>
    <n v="714.43"/>
    <n v="0"/>
    <n v="0"/>
    <s v="Valid"/>
    <s v="Clean"/>
    <n v="714.43"/>
    <n v="565.44000000000005"/>
    <n v="148.9899999999999"/>
    <n v="148.99"/>
    <n v="0.20854387413742426"/>
    <s v="Paid"/>
    <x v="0"/>
  </r>
  <r>
    <s v="ORD-2024-10393"/>
    <s v="Unique"/>
    <x v="6"/>
    <n v="2024"/>
    <d v="2024-02-19T00:00:00"/>
    <d v="2024-02-22T00:00:00"/>
    <n v="3"/>
    <s v="Valid"/>
    <s v="CUST-6866"/>
    <s v="Aditi Sen"/>
    <x v="1"/>
    <x v="2"/>
    <s v="Kerala"/>
    <m/>
    <x v="1"/>
    <x v="3"/>
    <s v="Classic Furnishings 746"/>
    <x v="1"/>
    <n v="9"/>
    <n v="4053.01"/>
    <n v="36477.090000000004"/>
    <n v="0"/>
    <n v="0"/>
    <s v="Valid"/>
    <s v="Clean"/>
    <n v="36477.089999999997"/>
    <n v="24525.48"/>
    <n v="11951.610000000004"/>
    <n v="11951.61"/>
    <n v="0.32764702447481425"/>
    <s v="Paid"/>
    <x v="0"/>
  </r>
  <r>
    <s v="ORD-2024-10394"/>
    <s v="Unique"/>
    <x v="1"/>
    <n v="2024"/>
    <d v="2024-08-23T00:00:00"/>
    <d v="2024-08-29T00:00:00"/>
    <n v="6"/>
    <s v="Valid"/>
    <s v="CUST-3160"/>
    <s v="Mira Das"/>
    <x v="2"/>
    <x v="0"/>
    <s v="Uttar Pradesh"/>
    <m/>
    <x v="0"/>
    <x v="7"/>
    <s v="Eco Labels 815"/>
    <x v="1"/>
    <n v="2"/>
    <n v="1936.91"/>
    <n v="3680.1289999999999"/>
    <n v="0.05"/>
    <n v="0.05"/>
    <s v="Valid"/>
    <s v="Clean"/>
    <n v="3680.13"/>
    <n v="2967.46"/>
    <n v="712.66899999999987"/>
    <n v="712.67"/>
    <n v="0.19365348506710359"/>
    <s v="Paid"/>
    <x v="0"/>
  </r>
  <r>
    <s v="ORD-2024-10395"/>
    <s v="Unique"/>
    <x v="5"/>
    <n v="2024"/>
    <d v="2024-04-03T00:00:00"/>
    <d v="2024-04-04T00:00:00"/>
    <n v="1"/>
    <s v="Valid"/>
    <s v="CUST-8444"/>
    <s v="Kabir Singh"/>
    <x v="0"/>
    <x v="3"/>
    <s v="Maharashtra"/>
    <m/>
    <x v="1"/>
    <x v="3"/>
    <s v="Prime Furnishings 879"/>
    <x v="2"/>
    <n v="7"/>
    <n v="3945.21"/>
    <n v="27616.47"/>
    <n v="0"/>
    <n v="0"/>
    <s v="Valid"/>
    <s v="Clean"/>
    <n v="27616.47"/>
    <n v="21225.26"/>
    <n v="6391.2100000000028"/>
    <n v="6391.21"/>
    <n v="0.23142747787823714"/>
    <s v="Paid"/>
    <x v="0"/>
  </r>
  <r>
    <s v="ORD-2024-10396"/>
    <s v="Unique"/>
    <x v="2"/>
    <n v="2024"/>
    <d v="2024-06-06T00:00:00"/>
    <d v="2024-06-07T00:00:00"/>
    <n v="1"/>
    <s v="Valid"/>
    <s v="CUST-4765"/>
    <s v="Rahul Verma"/>
    <x v="3"/>
    <x v="2"/>
    <s v="Tamil Nadu"/>
    <m/>
    <x v="1"/>
    <x v="1"/>
    <s v="Pro Tables 142"/>
    <x v="1"/>
    <n v="7"/>
    <n v="861.91"/>
    <n v="5731.7014999999992"/>
    <n v="0.05"/>
    <n v="0.05"/>
    <s v="Valid"/>
    <s v="Clean"/>
    <n v="5731.7"/>
    <n v="4115.5600000000004"/>
    <n v="1616.1414999999988"/>
    <n v="1616.14"/>
    <n v="0.28196521101941835"/>
    <s v="Paid"/>
    <x v="0"/>
  </r>
  <r>
    <s v="ORD-2025-10397"/>
    <s v="Unique"/>
    <x v="5"/>
    <n v="2025"/>
    <d v="2025-04-14T00:00:00"/>
    <d v="2025-04-22T00:00:00"/>
    <n v="8"/>
    <s v="Valid"/>
    <s v="CUST-2280"/>
    <s v="Aditi Sen"/>
    <x v="1"/>
    <x v="2"/>
    <s v="Karnataka"/>
    <m/>
    <x v="2"/>
    <x v="12"/>
    <s v="Prime Machines 267"/>
    <x v="3"/>
    <n v="2"/>
    <n v="638.73"/>
    <n v="1213.587"/>
    <n v="0.05"/>
    <n v="0.05"/>
    <s v="Valid"/>
    <s v="Clean"/>
    <n v="1213.5899999999999"/>
    <n v="956.22"/>
    <n v="257.36699999999996"/>
    <n v="257.37"/>
    <n v="0.2120732702148172"/>
    <s v="Paid"/>
    <x v="0"/>
  </r>
  <r>
    <s v="ORD-2025-10398"/>
    <s v="Unique"/>
    <x v="2"/>
    <n v="2025"/>
    <d v="2025-06-09T00:00:00"/>
    <d v="2025-06-10T00:00:00"/>
    <n v="1"/>
    <s v="Valid"/>
    <s v="CUST-3177"/>
    <s v="Sneha Kapoor"/>
    <x v="1"/>
    <x v="0"/>
    <s v="Uttar Pradesh"/>
    <m/>
    <x v="1"/>
    <x v="1"/>
    <s v="Eco Tables 378"/>
    <x v="0"/>
    <n v="2"/>
    <n v="1731.88"/>
    <n v="3463.76"/>
    <n v="0"/>
    <n v="0"/>
    <s v="Valid"/>
    <s v="Clean"/>
    <n v="3463.76"/>
    <n v="2143.7399999999998"/>
    <n v="1320.0200000000004"/>
    <n v="1320.02"/>
    <n v="0.38109453310852942"/>
    <s v="Paid"/>
    <x v="0"/>
  </r>
  <r>
    <s v="ORD-2024-10399"/>
    <s v="Unique"/>
    <x v="0"/>
    <n v="2024"/>
    <d v="2024-07-19T00:00:00"/>
    <d v="2024-07-26T00:00:00"/>
    <n v="7"/>
    <s v="Valid"/>
    <s v="CUST-4718"/>
    <s v="Vikram Iyer"/>
    <x v="2"/>
    <x v="0"/>
    <s v="Punjab"/>
    <m/>
    <x v="2"/>
    <x v="12"/>
    <s v="Elite Machines 523"/>
    <x v="1"/>
    <n v="2"/>
    <n v="1263.6500000000001"/>
    <n v="2021.8400000000001"/>
    <n v="0.2"/>
    <n v="0.2"/>
    <s v="Valid"/>
    <s v="Clean"/>
    <n v="2021.84"/>
    <n v="1355.22"/>
    <n v="666.62000000000012"/>
    <n v="666.62"/>
    <n v="0.32970957147944446"/>
    <s v="Paid"/>
    <x v="0"/>
  </r>
  <r>
    <s v="ORD-2025-10400"/>
    <s v="Unique"/>
    <x v="5"/>
    <n v="2025"/>
    <d v="2025-04-24T00:00:00"/>
    <d v="2025-04-29T00:00:00"/>
    <n v="5"/>
    <s v="Valid"/>
    <s v="CUST-5647"/>
    <s v="Diya Patel"/>
    <x v="1"/>
    <x v="2"/>
    <s v="Andhra Pradesh"/>
    <m/>
    <x v="0"/>
    <x v="0"/>
    <s v="Elite Paper 308"/>
    <x v="1"/>
    <n v="1"/>
    <n v="4358.5"/>
    <n v="3268.875"/>
    <n v="0.25"/>
    <n v="0.25"/>
    <s v="Valid"/>
    <s v="Clean"/>
    <n v="3268.88"/>
    <n v="1993.74"/>
    <n v="1275.135"/>
    <n v="1275.1400000000001"/>
    <n v="0.39008467732067253"/>
    <s v="Paid"/>
    <x v="0"/>
  </r>
  <r>
    <s v="ORD-2025-10401"/>
    <s v="Unique"/>
    <x v="2"/>
    <n v="2025"/>
    <d v="2025-06-06T00:00:00"/>
    <d v="2025-06-11T00:00:00"/>
    <n v="5"/>
    <s v="Valid"/>
    <s v="CUST-7150"/>
    <s v="Sneha Kapoor"/>
    <x v="1"/>
    <x v="0"/>
    <s v="Uttar Pradesh"/>
    <m/>
    <x v="0"/>
    <x v="0"/>
    <s v="Prime Paper 851"/>
    <x v="1"/>
    <n v="7"/>
    <n v="878.09"/>
    <s v="Invalid"/>
    <n v="-0.1"/>
    <s v="Invalid"/>
    <s v="Invalid"/>
    <s v="Invalid"/>
    <n v="5839.3"/>
    <n v="4877.38"/>
    <s v="Invalid"/>
    <n v="961.92"/>
    <n v="0.16473207404997173"/>
    <s v="Paid"/>
    <x v="0"/>
  </r>
  <r>
    <s v="ORD-2025-10402"/>
    <s v="Unique"/>
    <x v="11"/>
    <n v="2025"/>
    <d v="2025-03-09T00:00:00"/>
    <d v="2025-03-16T00:00:00"/>
    <n v="7"/>
    <s v="Valid"/>
    <s v="CUST-6694"/>
    <s v="Arjun Bose"/>
    <x v="1"/>
    <x v="1"/>
    <s v="Jharkhand"/>
    <m/>
    <x v="1"/>
    <x v="1"/>
    <s v="Classic Tables 151"/>
    <x v="1"/>
    <n v="3"/>
    <n v="2625.85"/>
    <n v="7877.5499999999993"/>
    <n v="0"/>
    <n v="0"/>
    <s v="Valid"/>
    <s v="Clean"/>
    <n v="7877.55"/>
    <n v="5562.77"/>
    <n v="2314.7799999999988"/>
    <n v="2314.7800000000002"/>
    <n v="0.29384516759652429"/>
    <s v="Paid"/>
    <x v="0"/>
  </r>
  <r>
    <s v="ORD-2024-10403"/>
    <s v="Unique"/>
    <x v="11"/>
    <n v="2024"/>
    <d v="2024-03-22T00:00:00"/>
    <d v="2024-03-22T00:00:00"/>
    <n v="0"/>
    <s v="Valid"/>
    <s v="CUST-7680"/>
    <s v="Priya Menon"/>
    <x v="1"/>
    <x v="2"/>
    <s v="Karnataka"/>
    <m/>
    <x v="1"/>
    <x v="1"/>
    <s v="Smart Tables 829"/>
    <x v="4"/>
    <n v="3"/>
    <n v="1365.26"/>
    <n v="4095.7799999999997"/>
    <n v="0"/>
    <n v="0"/>
    <s v="Valid"/>
    <s v="Clean"/>
    <n v="4095.78"/>
    <n v="2807.77"/>
    <n v="1288.0099999999998"/>
    <n v="1288.01"/>
    <n v="0.31447245701673426"/>
    <s v="Paid"/>
    <x v="0"/>
  </r>
  <r>
    <s v="ORD-2024-10404"/>
    <s v="Unique"/>
    <x v="7"/>
    <n v="2024"/>
    <d v="2024-09-30T00:00:00"/>
    <d v="2024-10-04T00:00:00"/>
    <n v="4"/>
    <s v="Valid"/>
    <s v="CUST-2700"/>
    <s v="Arjun Bose"/>
    <x v="1"/>
    <x v="2"/>
    <s v="Kerala"/>
    <m/>
    <x v="0"/>
    <x v="0"/>
    <s v="Classic Paper 237"/>
    <x v="1"/>
    <n v="5"/>
    <n v="3512.25"/>
    <n v="16683.1875"/>
    <n v="0.05"/>
    <n v="0.05"/>
    <s v="Valid"/>
    <s v="Clean"/>
    <n v="16683.189999999999"/>
    <n v="10301.16"/>
    <n v="6382.0275000000001"/>
    <n v="6382.03"/>
    <n v="0.38254254731858839"/>
    <s v="Paid"/>
    <x v="2"/>
  </r>
  <r>
    <s v="ORD-2024-10405"/>
    <s v="Unique"/>
    <x v="10"/>
    <n v="2024"/>
    <d v="2024-01-27T00:00:00"/>
    <d v="2024-02-03T00:00:00"/>
    <n v="7"/>
    <s v="Valid"/>
    <s v="CUST-2904"/>
    <s v="Aditi Sen"/>
    <x v="2"/>
    <x v="3"/>
    <s v="Rajasthan"/>
    <m/>
    <x v="1"/>
    <x v="4"/>
    <s v="Prime Chairs 891"/>
    <x v="1"/>
    <n v="3"/>
    <n v="359.61"/>
    <n v="1078.83"/>
    <n v="0"/>
    <n v="0"/>
    <s v="Valid"/>
    <s v="Clean"/>
    <n v="1078.83"/>
    <n v="926.35"/>
    <n v="152.4799999999999"/>
    <n v="152.47999999999999"/>
    <n v="0.14133830167867042"/>
    <s v="Paid"/>
    <x v="0"/>
  </r>
  <r>
    <s v="ORD-2024-10406"/>
    <s v="Unique"/>
    <x v="7"/>
    <n v="2024"/>
    <d v="2024-09-23T00:00:00"/>
    <d v="2024-09-24T00:00:00"/>
    <n v="1"/>
    <s v="Valid"/>
    <s v="CUST-9961"/>
    <s v="Aditi Sen"/>
    <x v="3"/>
    <x v="3"/>
    <s v="Gujarat"/>
    <m/>
    <x v="1"/>
    <x v="10"/>
    <s v="Max Bookcases 812"/>
    <x v="4"/>
    <n v="7"/>
    <n v="3878.01"/>
    <n v="24431.463"/>
    <n v="0.1"/>
    <n v="0.1"/>
    <s v="Valid"/>
    <s v="Clean"/>
    <n v="24431.46"/>
    <n v="18202.36"/>
    <n v="6229.1029999999992"/>
    <n v="6229.1"/>
    <n v="0.25496224949307167"/>
    <s v="Paid"/>
    <x v="0"/>
  </r>
  <r>
    <s v="ORD-2025-10407"/>
    <s v="Unique"/>
    <x v="6"/>
    <n v="2025"/>
    <d v="2025-02-25T00:00:00"/>
    <d v="2025-02-25T00:00:00"/>
    <n v="0"/>
    <s v="Valid"/>
    <s v="CUST-9909"/>
    <s v="Kabir Singh"/>
    <x v="1"/>
    <x v="3"/>
    <s v="Goa"/>
    <m/>
    <x v="1"/>
    <x v="3"/>
    <s v="Basic Furnishings 164"/>
    <x v="3"/>
    <n v="2"/>
    <n v="3924.2"/>
    <n v="5886.2999999999993"/>
    <n v="0.25"/>
    <n v="0.25"/>
    <s v="Valid"/>
    <s v="Clean"/>
    <n v="5886.3"/>
    <n v="3621.76"/>
    <n v="2264.5399999999991"/>
    <n v="2264.54"/>
    <n v="0.3847136571360617"/>
    <s v="Pending"/>
    <x v="2"/>
  </r>
  <r>
    <s v="ORD-2024-10408"/>
    <s v="Unique"/>
    <x v="4"/>
    <n v="2024"/>
    <d v="2024-05-12T00:00:00"/>
    <d v="2024-05-13T00:00:00"/>
    <n v="1"/>
    <s v="Valid"/>
    <s v="CUST-8520"/>
    <s v="Rahul Verma"/>
    <x v="2"/>
    <x v="3"/>
    <s v="Goa"/>
    <m/>
    <x v="0"/>
    <x v="7"/>
    <s v="Smart Labels 261"/>
    <x v="0"/>
    <n v="3"/>
    <n v="2644.55"/>
    <n v="7933.6500000000005"/>
    <n v="0"/>
    <n v="0"/>
    <s v="Valid"/>
    <s v="Clean"/>
    <n v="7933.65"/>
    <n v="5698.42"/>
    <n v="2235.2300000000005"/>
    <n v="2235.23"/>
    <n v="0.2817404347305465"/>
    <s v="Paid"/>
    <x v="0"/>
  </r>
  <r>
    <s v="ORD-2025-10409"/>
    <s v="Unique"/>
    <x v="1"/>
    <n v="2025"/>
    <d v="2025-08-01T00:00:00"/>
    <d v="2025-08-03T00:00:00"/>
    <n v="2"/>
    <s v="Valid"/>
    <s v="CUST-5036"/>
    <s v="Sneha Kapoor"/>
    <x v="0"/>
    <x v="3"/>
    <s v="Maharashtra"/>
    <m/>
    <x v="1"/>
    <x v="4"/>
    <s v="Max Chairs 765"/>
    <x v="2"/>
    <n v="4"/>
    <n v="1773.46"/>
    <n v="7093.84"/>
    <n v="0"/>
    <n v="0"/>
    <s v="Valid"/>
    <s v="Clean"/>
    <n v="7093.84"/>
    <n v="4587.49"/>
    <n v="2506.3500000000004"/>
    <n v="2506.35"/>
    <n v="0.35331357910525185"/>
    <s v="Failed"/>
    <x v="2"/>
  </r>
  <r>
    <s v="ORD-2025-10410"/>
    <s v="Unique"/>
    <x v="6"/>
    <n v="2025"/>
    <d v="2025-02-13T00:00:00"/>
    <d v="2025-02-15T00:00:00"/>
    <n v="2"/>
    <s v="Valid"/>
    <s v="CUST-7721"/>
    <s v="Karan Malhotra"/>
    <x v="0"/>
    <x v="1"/>
    <s v="Assam"/>
    <m/>
    <x v="2"/>
    <x v="5"/>
    <s v="Pro Accessories 686"/>
    <x v="1"/>
    <n v="1"/>
    <n v="3025.46"/>
    <n v="2269.0950000000003"/>
    <n v="0.25"/>
    <n v="0.25"/>
    <s v="Valid"/>
    <s v="Clean"/>
    <n v="2269.1"/>
    <n v="1593.59"/>
    <n v="675.50500000000034"/>
    <n v="675.51"/>
    <n v="0.29769952844740205"/>
    <s v="Refunded"/>
    <x v="2"/>
  </r>
  <r>
    <s v="ORD-2024-10411"/>
    <s v="Unique"/>
    <x v="5"/>
    <n v="2024"/>
    <d v="2024-04-12T00:00:00"/>
    <d v="2024-04-20T00:00:00"/>
    <n v="8"/>
    <s v="Valid"/>
    <s v="CUST-9495"/>
    <s v="Diya Patel"/>
    <x v="0"/>
    <x v="3"/>
    <s v="Goa"/>
    <m/>
    <x v="1"/>
    <x v="1"/>
    <s v="Smart Tables 100"/>
    <x v="2"/>
    <n v="9"/>
    <n v="1302.6099999999999"/>
    <n v="9378.7919999999995"/>
    <n v="0.2"/>
    <n v="0.2"/>
    <s v="Valid"/>
    <s v="Clean"/>
    <n v="9378.7900000000009"/>
    <n v="6774.48"/>
    <n v="2604.3119999999999"/>
    <n v="2604.31"/>
    <n v="0.27768080957138391"/>
    <s v="Paid"/>
    <x v="0"/>
  </r>
  <r>
    <s v="ORD-2025-10412"/>
    <s v="Unique"/>
    <x v="1"/>
    <n v="2025"/>
    <d v="2025-08-23T00:00:00"/>
    <d v="2025-08-28T00:00:00"/>
    <n v="5"/>
    <s v="Valid"/>
    <s v="CUST-2855"/>
    <s v="Arjun Bose"/>
    <x v="3"/>
    <x v="3"/>
    <s v="Rajasthan"/>
    <m/>
    <x v="1"/>
    <x v="1"/>
    <s v="Basic Tables 615"/>
    <x v="2"/>
    <n v="1"/>
    <n v="4167.8100000000004"/>
    <n v="3334.2480000000005"/>
    <n v="0.2"/>
    <n v="0.2"/>
    <s v="Valid"/>
    <s v="Clean"/>
    <n v="3334.25"/>
    <n v="2768.77"/>
    <n v="565.47800000000052"/>
    <n v="565.48"/>
    <n v="0.16959736072580042"/>
    <s v="Failed"/>
    <x v="2"/>
  </r>
  <r>
    <s v="ORD-2024-10413"/>
    <s v="Unique"/>
    <x v="10"/>
    <n v="2024"/>
    <d v="2024-01-22T00:00:00"/>
    <d v="2024-01-30T00:00:00"/>
    <n v="8"/>
    <s v="Valid"/>
    <s v="CUST-4329"/>
    <s v="Isha Nair"/>
    <x v="2"/>
    <x v="2"/>
    <s v="Karnataka"/>
    <m/>
    <x v="1"/>
    <x v="4"/>
    <s v="Basic Chairs 790"/>
    <x v="1"/>
    <n v="1"/>
    <n v="2111.39"/>
    <n v="1583.5425"/>
    <n v="0.25"/>
    <n v="0.25"/>
    <s v="Valid"/>
    <s v="Clean"/>
    <n v="1583.54"/>
    <n v="1014.19"/>
    <n v="569.35249999999996"/>
    <n v="569.35"/>
    <n v="0.35954254392058305"/>
    <s v="Paid"/>
    <x v="0"/>
  </r>
  <r>
    <s v="ORD-2025-10414"/>
    <s v="Unique"/>
    <x v="1"/>
    <n v="2025"/>
    <d v="2025-08-13T00:00:00"/>
    <d v="2025-08-17T00:00:00"/>
    <n v="4"/>
    <s v="Valid"/>
    <s v="CUST-5094"/>
    <s v="Neha Gupta"/>
    <x v="3"/>
    <x v="3"/>
    <s v="Madhya Pradesh"/>
    <m/>
    <x v="2"/>
    <x v="5"/>
    <s v="Smart Accessories 226"/>
    <x v="0"/>
    <n v="8"/>
    <n v="1918.23"/>
    <n v="15345.84"/>
    <n v="0"/>
    <n v="0"/>
    <s v="Valid"/>
    <s v="Clean"/>
    <n v="15345.84"/>
    <n v="10735.33"/>
    <n v="4610.51"/>
    <n v="4610.51"/>
    <n v="0.30044037993358463"/>
    <s v="Pending"/>
    <x v="1"/>
  </r>
  <r>
    <s v="ORD-2024-10415"/>
    <s v="Unique"/>
    <x v="1"/>
    <n v="2024"/>
    <d v="2024-08-29T00:00:00"/>
    <d v="2024-08-30T00:00:00"/>
    <n v="1"/>
    <s v="Valid"/>
    <s v="CUST-4194"/>
    <s v="Arjun Bose"/>
    <x v="3"/>
    <x v="1"/>
    <s v="Assam"/>
    <m/>
    <x v="0"/>
    <x v="8"/>
    <s v="Max Storage 692"/>
    <x v="2"/>
    <n v="4"/>
    <n v="2484.08"/>
    <n v="9439.503999999999"/>
    <n v="0.05"/>
    <n v="0.05"/>
    <s v="Valid"/>
    <s v="Clean"/>
    <n v="9439.5"/>
    <n v="5519.39"/>
    <n v="3920.1139999999987"/>
    <n v="3920.11"/>
    <n v="0.4152878860109116"/>
    <s v="Paid"/>
    <x v="0"/>
  </r>
  <r>
    <s v="ORD-2024-10416"/>
    <s v="Unique"/>
    <x v="10"/>
    <n v="2024"/>
    <d v="2024-01-25T00:00:00"/>
    <d v="2024-01-27T00:00:00"/>
    <n v="2"/>
    <s v="Valid"/>
    <s v="CUST-7087"/>
    <s v="Aarav Sharma"/>
    <x v="2"/>
    <x v="2"/>
    <s v="Karnataka"/>
    <m/>
    <x v="0"/>
    <x v="8"/>
    <s v="Basic Storage 684"/>
    <x v="1"/>
    <n v="7"/>
    <n v="1727.26"/>
    <n v="10277.197"/>
    <n v="0.15"/>
    <n v="0.15"/>
    <s v="Valid"/>
    <s v="Clean"/>
    <n v="10277.200000000001"/>
    <n v="7906.5"/>
    <n v="2370.6970000000001"/>
    <n v="2370.6999999999998"/>
    <n v="0.2306756704160666"/>
    <s v="Paid"/>
    <x v="2"/>
  </r>
  <r>
    <s v="ORD-2025-10417"/>
    <s v="Unique"/>
    <x v="10"/>
    <n v="2025"/>
    <d v="2025-01-08T00:00:00"/>
    <d v="2025-01-16T00:00:00"/>
    <n v="8"/>
    <s v="Valid"/>
    <s v="CUST-7608"/>
    <s v="Neha Gupta"/>
    <x v="0"/>
    <x v="2"/>
    <s v="Telangana"/>
    <m/>
    <x v="1"/>
    <x v="3"/>
    <s v="Smart Furnishings 152"/>
    <x v="2"/>
    <n v="8"/>
    <n v="638.95000000000005"/>
    <n v="3833.7000000000003"/>
    <n v="0.25"/>
    <n v="0.25"/>
    <s v="Valid"/>
    <s v="Clean"/>
    <n v="3833.7"/>
    <n v="2886.35"/>
    <n v="947.35000000000036"/>
    <n v="947.35"/>
    <n v="0.2471111458903931"/>
    <s v="Paid"/>
    <x v="0"/>
  </r>
  <r>
    <s v="ORD-2025-10418"/>
    <s v="Unique"/>
    <x v="10"/>
    <n v="2025"/>
    <d v="2025-01-29T00:00:00"/>
    <d v="2025-02-05T00:00:00"/>
    <n v="7"/>
    <s v="Valid"/>
    <s v="CUST-5269"/>
    <s v="Mira Das"/>
    <x v="0"/>
    <x v="3"/>
    <s v="Gujarat"/>
    <m/>
    <x v="0"/>
    <x v="2"/>
    <s v="Max Art 736"/>
    <x v="2"/>
    <n v="6"/>
    <n v="3863"/>
    <n v="18542.400000000001"/>
    <n v="0.2"/>
    <n v="0.2"/>
    <s v="Valid"/>
    <s v="Clean"/>
    <n v="18542.400000000001"/>
    <n v="11193.75"/>
    <n v="7348.6500000000015"/>
    <n v="7348.65"/>
    <n v="0.39631601087237894"/>
    <s v="Paid"/>
    <x v="0"/>
  </r>
  <r>
    <s v="ORD-2024-10419"/>
    <s v="Unique"/>
    <x v="3"/>
    <n v="2024"/>
    <d v="2024-11-09T00:00:00"/>
    <d v="2024-11-17T00:00:00"/>
    <n v="8"/>
    <s v="Valid"/>
    <s v="CUST-7925"/>
    <s v="Sneha Kapoor"/>
    <x v="2"/>
    <x v="1"/>
    <s v="Odisha"/>
    <m/>
    <x v="2"/>
    <x v="6"/>
    <s v="Elite Copiers 971"/>
    <x v="3"/>
    <n v="6"/>
    <n v="3660.4"/>
    <n v="21962.400000000001"/>
    <n v="0"/>
    <n v="0"/>
    <s v="Valid"/>
    <s v="Clean"/>
    <n v="21962.400000000001"/>
    <n v="15331.99"/>
    <n v="6630.4100000000017"/>
    <n v="6630.41"/>
    <n v="0.30189824427202855"/>
    <s v="Failed"/>
    <x v="1"/>
  </r>
  <r>
    <s v="ORD-2025-10420"/>
    <s v="Unique"/>
    <x v="7"/>
    <n v="2025"/>
    <d v="2025-09-26T00:00:00"/>
    <d v="2025-09-30T00:00:00"/>
    <n v="4"/>
    <s v="Valid"/>
    <s v="CUST-6552"/>
    <s v="Sneha Kapoor"/>
    <x v="3"/>
    <x v="0"/>
    <s v="Haryana"/>
    <m/>
    <x v="2"/>
    <x v="11"/>
    <s v="Classic Phones 940"/>
    <x v="1"/>
    <n v="2"/>
    <n v="688.83"/>
    <n v="1308.777"/>
    <n v="0.05"/>
    <n v="0.05"/>
    <s v="Valid"/>
    <s v="Clean"/>
    <n v="1308.78"/>
    <n v="843"/>
    <n v="465.77700000000004"/>
    <n v="465.78"/>
    <n v="0.35588869023059644"/>
    <s v="Paid"/>
    <x v="0"/>
  </r>
  <r>
    <s v="ORD-2025-10421"/>
    <s v="Unique"/>
    <x v="11"/>
    <n v="2025"/>
    <d v="2025-03-18T00:00:00"/>
    <d v="2025-03-19T00:00:00"/>
    <n v="1"/>
    <s v="Valid"/>
    <s v="CUST-7131"/>
    <s v="Isha Nair"/>
    <x v="2"/>
    <x v="2"/>
    <s v="Tamil Nadu"/>
    <m/>
    <x v="2"/>
    <x v="12"/>
    <s v="Pro Machines 579"/>
    <x v="3"/>
    <n v="2"/>
    <n v="1209.99"/>
    <n v="1814.9850000000001"/>
    <n v="0.25"/>
    <n v="0.25"/>
    <s v="Valid"/>
    <s v="Clean"/>
    <n v="1814.99"/>
    <n v="1120.06"/>
    <n v="694.92500000000018"/>
    <n v="694.93"/>
    <n v="0.38288365225152754"/>
    <s v="Pending"/>
    <x v="1"/>
  </r>
  <r>
    <s v="ORD-2025-10422"/>
    <s v="Unique"/>
    <x v="2"/>
    <n v="2025"/>
    <d v="2025-06-14T00:00:00"/>
    <d v="2025-06-19T00:00:00"/>
    <n v="5"/>
    <s v="Valid"/>
    <s v="CUST-2779"/>
    <s v="Rohan Mehta"/>
    <x v="1"/>
    <x v="0"/>
    <s v="Delhi"/>
    <m/>
    <x v="0"/>
    <x v="9"/>
    <s v="Elite Binders 943"/>
    <x v="1"/>
    <n v="3"/>
    <n v="1037.45"/>
    <n v="2489.8800000000006"/>
    <n v="0.2"/>
    <n v="0.2"/>
    <s v="Valid"/>
    <s v="Clean"/>
    <n v="2489.88"/>
    <n v="1707.52"/>
    <n v="782.36000000000058"/>
    <n v="782.36"/>
    <n v="0.31421594615001525"/>
    <s v="Pending"/>
    <x v="2"/>
  </r>
  <r>
    <s v="ORD-2025-10423"/>
    <s v="Unique"/>
    <x v="7"/>
    <n v="2025"/>
    <d v="2025-09-03T00:00:00"/>
    <d v="2025-09-06T00:00:00"/>
    <n v="3"/>
    <s v="Valid"/>
    <s v="CUST-6077"/>
    <s v="Kabir Singh"/>
    <x v="0"/>
    <x v="3"/>
    <s v="Madhya Pradesh"/>
    <m/>
    <x v="2"/>
    <x v="6"/>
    <s v="Elite Copiers 474"/>
    <x v="1"/>
    <n v="7"/>
    <n v="688.85"/>
    <n v="4098.6574999999993"/>
    <n v="0.15"/>
    <n v="0.15"/>
    <s v="Valid"/>
    <s v="Clean"/>
    <n v="4098.66"/>
    <n v="2678.06"/>
    <n v="1420.5974999999994"/>
    <n v="1420.6"/>
    <n v="0.34660108425680586"/>
    <s v="Paid"/>
    <x v="0"/>
  </r>
  <r>
    <s v="ORD-2024-10424"/>
    <s v="Duplicate Order ID"/>
    <x v="6"/>
    <n v="2024"/>
    <d v="2024-02-20T00:00:00"/>
    <d v="2024-02-27T00:00:00"/>
    <n v="7"/>
    <s v="Valid"/>
    <s v="CUST-6169"/>
    <s v="Diya Patel"/>
    <x v="0"/>
    <x v="2"/>
    <s v="Kerala"/>
    <m/>
    <x v="2"/>
    <x v="5"/>
    <s v="Prime Accessories 236"/>
    <x v="2"/>
    <n v="9"/>
    <n v="3779.31"/>
    <n v="27211.032000000003"/>
    <n v="0.2"/>
    <n v="0.2"/>
    <s v="Valid"/>
    <s v="Clean"/>
    <n v="27211.03"/>
    <n v="17940.43"/>
    <n v="9270.6020000000026"/>
    <n v="9270.6"/>
    <n v="0.34069272644218174"/>
    <s v="Paid"/>
    <x v="0"/>
  </r>
  <r>
    <s v="ORD-2024-10425"/>
    <s v="Unique"/>
    <x v="2"/>
    <n v="2024"/>
    <d v="2024-06-26T00:00:00"/>
    <d v="2024-06-29T00:00:00"/>
    <n v="3"/>
    <s v="Valid"/>
    <s v="CUST-8904"/>
    <s v="Neha Gupta"/>
    <x v="2"/>
    <x v="0"/>
    <s v="Punjab"/>
    <m/>
    <x v="2"/>
    <x v="11"/>
    <s v="Prime Phones 881"/>
    <x v="3"/>
    <n v="8"/>
    <n v="804.52"/>
    <n v="6436.16"/>
    <n v="0"/>
    <n v="0"/>
    <s v="Valid"/>
    <s v="Clean"/>
    <n v="6436.16"/>
    <n v="4263.83"/>
    <n v="2172.33"/>
    <n v="2172.33"/>
    <n v="0.33751957689056827"/>
    <s v="Paid"/>
    <x v="0"/>
  </r>
  <r>
    <s v="ORD-2024-10426"/>
    <s v="Unique"/>
    <x v="7"/>
    <n v="2024"/>
    <d v="2024-09-26T00:00:00"/>
    <d v="2024-09-27T00:00:00"/>
    <n v="1"/>
    <s v="Valid"/>
    <s v="CUST-9586"/>
    <s v="Isha Nair"/>
    <x v="3"/>
    <x v="0"/>
    <s v="Delhi"/>
    <m/>
    <x v="0"/>
    <x v="7"/>
    <s v="Pro Labels 903"/>
    <x v="2"/>
    <n v="2"/>
    <n v="1065.69"/>
    <n v="1918.2420000000002"/>
    <n v="0.1"/>
    <n v="0.1"/>
    <s v="Valid"/>
    <s v="Clean"/>
    <n v="1918.24"/>
    <n v="1373.52"/>
    <n v="544.72200000000021"/>
    <n v="544.72"/>
    <n v="0.28396863791809157"/>
    <s v="Refunded"/>
    <x v="1"/>
  </r>
  <r>
    <s v="ORD-2024-10427"/>
    <s v="Unique"/>
    <x v="2"/>
    <n v="2024"/>
    <d v="2024-06-30T00:00:00"/>
    <d v="2024-07-01T00:00:00"/>
    <n v="1"/>
    <s v="Valid"/>
    <s v="CUST-5431"/>
    <s v="Aditi Sen"/>
    <x v="0"/>
    <x v="0"/>
    <s v="Haryana"/>
    <m/>
    <x v="2"/>
    <x v="6"/>
    <s v="Max Copiers 402"/>
    <x v="1"/>
    <n v="8"/>
    <n v="3756.66"/>
    <n v="27047.952000000001"/>
    <n v="0.1"/>
    <n v="0.1"/>
    <s v="Valid"/>
    <s v="Clean"/>
    <n v="27047.95"/>
    <n v="18431.330000000002"/>
    <n v="8616.6219999999994"/>
    <n v="8616.6200000000008"/>
    <n v="0.3185683203348128"/>
    <s v="Paid"/>
    <x v="0"/>
  </r>
  <r>
    <s v="ORD-2025-10428"/>
    <s v="Unique"/>
    <x v="5"/>
    <n v="2025"/>
    <d v="2025-04-22T00:00:00"/>
    <d v="2025-04-24T00:00:00"/>
    <n v="2"/>
    <s v="Valid"/>
    <s v="CUST-8843"/>
    <s v="Isha Nair"/>
    <x v="2"/>
    <x v="4"/>
    <s v="Jharkhand"/>
    <m/>
    <x v="2"/>
    <x v="5"/>
    <s v="Prime Accessories 419"/>
    <x v="3"/>
    <n v="9"/>
    <n v="2939.44"/>
    <n v="26454.959999999999"/>
    <n v="0"/>
    <n v="0"/>
    <s v="Valid"/>
    <s v="Clean"/>
    <n v="26454.959999999999"/>
    <n v="17630.25"/>
    <n v="8824.7099999999991"/>
    <n v="8824.7099999999991"/>
    <n v="0.33357487594008833"/>
    <s v="Paid"/>
    <x v="0"/>
  </r>
  <r>
    <s v="ORD-2025-10429"/>
    <s v="Unique"/>
    <x v="11"/>
    <n v="2025"/>
    <d v="2025-03-15T00:00:00"/>
    <d v="2025-03-22T00:00:00"/>
    <n v="7"/>
    <s v="Valid"/>
    <s v="CUST-7626"/>
    <s v="Karan Malhotra"/>
    <x v="1"/>
    <x v="1"/>
    <s v="West Bengal"/>
    <m/>
    <x v="2"/>
    <x v="11"/>
    <s v="Elite Phones 488"/>
    <x v="1"/>
    <n v="2"/>
    <n v="1235.93"/>
    <n v="1853.895"/>
    <n v="0.25"/>
    <n v="0.25"/>
    <s v="Valid"/>
    <s v="Clean"/>
    <n v="1853.89"/>
    <n v="1101.23"/>
    <n v="752.66499999999996"/>
    <n v="752.66"/>
    <n v="0.40598956788158946"/>
    <s v="Pending"/>
    <x v="1"/>
  </r>
  <r>
    <s v="ORD-2025-10430"/>
    <s v="Unique"/>
    <x v="11"/>
    <n v="2025"/>
    <d v="2025-03-01T00:00:00"/>
    <d v="2025-03-08T00:00:00"/>
    <n v="7"/>
    <s v="Valid"/>
    <s v="CUST-8562"/>
    <s v="Neha Gupta"/>
    <x v="3"/>
    <x v="0"/>
    <s v="Rajasthan"/>
    <m/>
    <x v="2"/>
    <x v="6"/>
    <s v="Prime Copiers 109"/>
    <x v="1"/>
    <n v="8"/>
    <n v="2943.1"/>
    <n v="17658.599999999999"/>
    <n v="0.25"/>
    <n v="0.25"/>
    <s v="Valid"/>
    <s v="Clean"/>
    <n v="17658.599999999999"/>
    <n v="13842.48"/>
    <n v="3816.119999999999"/>
    <n v="3816.12"/>
    <n v="0.21610546702456596"/>
    <s v="Paid"/>
    <x v="0"/>
  </r>
  <r>
    <s v="ORD-2024-10431"/>
    <s v="Unique"/>
    <x v="1"/>
    <n v="2024"/>
    <d v="2024-08-30T00:00:00"/>
    <d v="2024-09-02T00:00:00"/>
    <n v="3"/>
    <s v="Valid"/>
    <s v="CUST-2732"/>
    <s v="Neha Gupta"/>
    <x v="1"/>
    <x v="0"/>
    <s v="Haryana"/>
    <m/>
    <x v="0"/>
    <x v="0"/>
    <s v="Max Paper 576"/>
    <x v="0"/>
    <n v="1"/>
    <n v="4320.84"/>
    <n v="3672.7139999999999"/>
    <n v="0.15"/>
    <n v="0.15"/>
    <s v="Valid"/>
    <s v="Clean"/>
    <n v="3672.71"/>
    <n v="2714.23"/>
    <n v="958.48399999999992"/>
    <n v="763.38"/>
    <n v="0.20785196762063979"/>
    <s v="Paid"/>
    <x v="0"/>
  </r>
  <r>
    <s v="ORD-2024-10432"/>
    <s v="Unique"/>
    <x v="6"/>
    <n v="2024"/>
    <d v="2024-02-10T00:00:00"/>
    <d v="2024-02-13T00:00:00"/>
    <n v="3"/>
    <s v="Valid"/>
    <s v="CUST-3989"/>
    <s v="Karan Malhotra"/>
    <x v="3"/>
    <x v="3"/>
    <s v="Goa"/>
    <m/>
    <x v="2"/>
    <x v="12"/>
    <s v="Max Machines 412"/>
    <x v="1"/>
    <n v="2"/>
    <n v="4118.45"/>
    <n v="6177.6749999999993"/>
    <n v="0.25"/>
    <n v="0.25"/>
    <s v="Valid"/>
    <s v="Clean"/>
    <n v="6177.67"/>
    <n v="4520.75"/>
    <n v="1656.9249999999993"/>
    <n v="1656.92"/>
    <n v="0.26821115404351481"/>
    <s v="Paid"/>
    <x v="0"/>
  </r>
  <r>
    <s v="ORD-2024-10433"/>
    <s v="Unique"/>
    <x v="1"/>
    <n v="2024"/>
    <d v="2024-08-29T00:00:00"/>
    <d v="2024-09-02T00:00:00"/>
    <n v="4"/>
    <s v="Valid"/>
    <s v="CUST-3522"/>
    <s v="Priya Menon"/>
    <x v="1"/>
    <x v="3"/>
    <s v="Maharashtra"/>
    <m/>
    <x v="1"/>
    <x v="10"/>
    <s v="Classic Bookcases 291"/>
    <x v="3"/>
    <n v="6"/>
    <n v="172.82"/>
    <n v="985.07400000000007"/>
    <n v="0.05"/>
    <n v="0.05"/>
    <s v="Valid"/>
    <s v="Clean"/>
    <n v="985.07"/>
    <n v="844.48"/>
    <n v="140.59400000000005"/>
    <n v="140.59"/>
    <n v="0.14272082187052695"/>
    <s v="Paid"/>
    <x v="0"/>
  </r>
  <r>
    <s v="ORD-2024-10434"/>
    <s v="Unique"/>
    <x v="5"/>
    <n v="2024"/>
    <d v="2024-04-19T00:00:00"/>
    <d v="2024-04-20T00:00:00"/>
    <n v="1"/>
    <s v="Valid"/>
    <s v="CUST-7066"/>
    <s v="Priya Menon"/>
    <x v="2"/>
    <x v="2"/>
    <s v="Kerala"/>
    <m/>
    <x v="0"/>
    <x v="2"/>
    <s v="Elite Art 946"/>
    <x v="0"/>
    <n v="4"/>
    <n v="1540.22"/>
    <n v="6160.88"/>
    <n v="0"/>
    <n v="0"/>
    <s v="Valid"/>
    <s v="Clean"/>
    <n v="6160.88"/>
    <n v="4938.7"/>
    <n v="1222.1800000000003"/>
    <n v="1222.18"/>
    <n v="0.1983775045123424"/>
    <s v="Refunded"/>
    <x v="2"/>
  </r>
  <r>
    <s v="ORD-2025-10435"/>
    <s v="Unique"/>
    <x v="5"/>
    <n v="2025"/>
    <d v="2025-04-11T00:00:00"/>
    <d v="2025-04-15T00:00:00"/>
    <n v="4"/>
    <s v="Valid"/>
    <s v="CUST-2351"/>
    <s v="Mira Das"/>
    <x v="3"/>
    <x v="0"/>
    <s v="Uttar Pradesh"/>
    <m/>
    <x v="2"/>
    <x v="5"/>
    <s v="Eco Accessories 705"/>
    <x v="0"/>
    <n v="5"/>
    <n v="652.78"/>
    <n v="3263.8999999999996"/>
    <n v="0"/>
    <n v="0"/>
    <s v="Valid"/>
    <s v="Clean"/>
    <n v="3263.9"/>
    <n v="2068.44"/>
    <n v="1195.4599999999996"/>
    <n v="1195.46"/>
    <n v="0.36626734887711021"/>
    <s v="Paid"/>
    <x v="0"/>
  </r>
  <r>
    <s v="ORD-2025-10436"/>
    <s v="Unique"/>
    <x v="5"/>
    <n v="2025"/>
    <d v="2025-04-12T00:00:00"/>
    <d v="2025-04-20T00:00:00"/>
    <n v="8"/>
    <s v="Valid"/>
    <s v="CUST-7291"/>
    <s v="Kabir Singh"/>
    <x v="3"/>
    <x v="0"/>
    <s v="Delhi"/>
    <m/>
    <x v="2"/>
    <x v="12"/>
    <s v="Max Machines 151"/>
    <x v="3"/>
    <n v="1"/>
    <n v="2737.71"/>
    <n v="2327.0535"/>
    <n v="0.15"/>
    <n v="0.15"/>
    <s v="Valid"/>
    <s v="Clean"/>
    <n v="2327.0500000000002"/>
    <n v="1919.42"/>
    <n v="407.63349999999991"/>
    <n v="407.63"/>
    <n v="0.17517027996820006"/>
    <s v="Paid"/>
    <x v="1"/>
  </r>
  <r>
    <s v="ORD-2024-10437"/>
    <s v="Unique"/>
    <x v="2"/>
    <n v="2024"/>
    <d v="2024-06-16T00:00:00"/>
    <d v="2024-06-21T00:00:00"/>
    <n v="5"/>
    <s v="Valid"/>
    <s v="CUST-4492"/>
    <s v="Neha Gupta"/>
    <x v="0"/>
    <x v="2"/>
    <s v="Kerala"/>
    <m/>
    <x v="1"/>
    <x v="3"/>
    <s v="Max Furnishings 803"/>
    <x v="1"/>
    <n v="6"/>
    <n v="1156.78"/>
    <n v="6593.6459999999997"/>
    <n v="0.05"/>
    <n v="0.05"/>
    <s v="Valid"/>
    <s v="Clean"/>
    <n v="6593.65"/>
    <n v="4359.3900000000003"/>
    <n v="2234.2559999999994"/>
    <n v="2234.2600000000002"/>
    <n v="0.33885025744466274"/>
    <s v="Paid"/>
    <x v="2"/>
  </r>
  <r>
    <s v="ORD-2024-10438"/>
    <s v="Unique"/>
    <x v="6"/>
    <n v="2024"/>
    <d v="2024-02-15T00:00:00"/>
    <d v="2024-02-18T00:00:00"/>
    <n v="3"/>
    <s v="Valid"/>
    <s v="CUST-5029"/>
    <s v="Aditi Sen"/>
    <x v="1"/>
    <x v="2"/>
    <s v="Kerala"/>
    <m/>
    <x v="2"/>
    <x v="5"/>
    <s v="Max Accessories 423"/>
    <x v="1"/>
    <n v="8"/>
    <n v="379.82"/>
    <n v="2886.6319999999996"/>
    <n v="0.05"/>
    <n v="0.05"/>
    <s v="Valid"/>
    <s v="Clean"/>
    <n v="2886.63"/>
    <n v="1588.23"/>
    <n v="1298.4019999999996"/>
    <n v="1298.4000000000001"/>
    <n v="0.44979786117375625"/>
    <s v="Failed"/>
    <x v="2"/>
  </r>
  <r>
    <s v="ORD-2025-10439"/>
    <s v="Unique"/>
    <x v="4"/>
    <n v="2025"/>
    <d v="2025-05-07T00:00:00"/>
    <d v="2025-05-05T00:00:00"/>
    <n v="-2"/>
    <s v="Invalid: Ship Date Before Order Date"/>
    <s v="CUST-7252"/>
    <s v="Neha Gupta"/>
    <x v="2"/>
    <x v="1"/>
    <s v="Jharkhand"/>
    <m/>
    <x v="2"/>
    <x v="11"/>
    <s v="Elite Phones 276"/>
    <x v="3"/>
    <n v="1"/>
    <n v="2266.4699999999998"/>
    <n v="1813.1759999999999"/>
    <n v="0.2"/>
    <n v="0.2"/>
    <s v="Valid"/>
    <s v="Invalid"/>
    <n v="1813.18"/>
    <n v="1363.64"/>
    <n v="449.53599999999983"/>
    <n v="449.54"/>
    <n v="0.24792905282431971"/>
    <s v="Paid"/>
    <x v="0"/>
  </r>
  <r>
    <s v="ORD-2025-10440"/>
    <s v="Unique"/>
    <x v="2"/>
    <n v="2025"/>
    <d v="2025-06-30T00:00:00"/>
    <d v="2025-07-03T00:00:00"/>
    <n v="3"/>
    <s v="Valid"/>
    <s v="CUST-7346"/>
    <s v="Aarav Sharma"/>
    <x v="3"/>
    <x v="3"/>
    <s v="Goa"/>
    <m/>
    <x v="0"/>
    <x v="8"/>
    <s v="Smart Storage 287"/>
    <x v="1"/>
    <n v="5"/>
    <n v="665.25"/>
    <n v="3326.25"/>
    <n v="0"/>
    <n v="0"/>
    <s v="Valid"/>
    <s v="Clean"/>
    <n v="3326.25"/>
    <n v="2689.36"/>
    <n v="636.88999999999987"/>
    <n v="636.89"/>
    <n v="0.19147388199924839"/>
    <s v="Refunded"/>
    <x v="2"/>
  </r>
  <r>
    <s v="ORD-2024-10441"/>
    <s v="Unique"/>
    <x v="5"/>
    <n v="2024"/>
    <d v="2024-04-02T00:00:00"/>
    <d v="2024-04-08T00:00:00"/>
    <n v="6"/>
    <s v="Valid"/>
    <s v="CUST-9039"/>
    <s v="Vikram Iyer"/>
    <x v="2"/>
    <x v="1"/>
    <s v="Odisha"/>
    <m/>
    <x v="2"/>
    <x v="12"/>
    <s v="Basic Machines 610"/>
    <x v="0"/>
    <n v="6"/>
    <n v="3722.84"/>
    <n v="17869.632000000001"/>
    <n v="0.2"/>
    <n v="0.2"/>
    <s v="Valid"/>
    <s v="Clean"/>
    <n v="17869.63"/>
    <n v="12163.8"/>
    <n v="5705.8320000000022"/>
    <n v="5705.83"/>
    <n v="0.31930319765994031"/>
    <s v="Paid"/>
    <x v="0"/>
  </r>
  <r>
    <s v="ORD-2024-10442"/>
    <s v="Unique"/>
    <x v="9"/>
    <n v="2024"/>
    <d v="2024-10-03T00:00:00"/>
    <d v="2024-10-03T00:00:00"/>
    <n v="0"/>
    <s v="Valid"/>
    <s v="CUST-3975"/>
    <s v="Karan Malhotra"/>
    <x v="0"/>
    <x v="1"/>
    <s v="Bihar"/>
    <m/>
    <x v="1"/>
    <x v="10"/>
    <s v="Elite Bookcases 393"/>
    <x v="3"/>
    <n v="6"/>
    <n v="4217.49"/>
    <n v="25304.94"/>
    <n v="0"/>
    <n v="0"/>
    <s v="Valid"/>
    <s v="Clean"/>
    <n v="25304.94"/>
    <n v="20771.95"/>
    <n v="4532.989999999998"/>
    <n v="4532.99"/>
    <n v="0.17913458795002082"/>
    <s v="Paid"/>
    <x v="1"/>
  </r>
  <r>
    <s v="ORD-2025-10443"/>
    <s v="Unique"/>
    <x v="10"/>
    <n v="2025"/>
    <d v="2025-01-12T00:00:00"/>
    <d v="2025-01-19T00:00:00"/>
    <n v="7"/>
    <s v="Valid"/>
    <s v="CUST-6588"/>
    <s v="Aarav Sharma"/>
    <x v="0"/>
    <x v="1"/>
    <s v="Jharkhand"/>
    <m/>
    <x v="1"/>
    <x v="1"/>
    <s v="Prime Tables 242"/>
    <x v="2"/>
    <n v="1"/>
    <n v="1842.31"/>
    <n v="1842.31"/>
    <n v="0"/>
    <n v="0"/>
    <s v="Valid"/>
    <s v="Clean"/>
    <n v="1842.31"/>
    <n v="1019.17"/>
    <n v="823.14"/>
    <n v="823.14"/>
    <n v="0.44679777019068451"/>
    <s v="Paid"/>
    <x v="0"/>
  </r>
  <r>
    <s v="ORD-2024-10444"/>
    <s v="Unique"/>
    <x v="5"/>
    <n v="2024"/>
    <d v="2024-04-04T00:00:00"/>
    <d v="2024-04-07T00:00:00"/>
    <n v="3"/>
    <s v="Valid"/>
    <s v="CUST-2207"/>
    <s v="Rohan Mehta"/>
    <x v="3"/>
    <x v="1"/>
    <s v="Odisha"/>
    <m/>
    <x v="1"/>
    <x v="3"/>
    <s v="Basic Furnishings 563"/>
    <x v="2"/>
    <n v="1"/>
    <n v="3683.75"/>
    <n v="3315.375"/>
    <n v="0.1"/>
    <n v="0.1"/>
    <s v="Valid"/>
    <s v="Clean"/>
    <n v="3315.38"/>
    <n v="2347.6799999999998"/>
    <n v="967.69500000000016"/>
    <n v="967.7"/>
    <n v="0.29188207686600026"/>
    <s v="Paid"/>
    <x v="0"/>
  </r>
  <r>
    <s v="ORD-2025-10445"/>
    <s v="Unique"/>
    <x v="1"/>
    <n v="2025"/>
    <d v="2025-08-12T00:00:00"/>
    <d v="2025-08-16T00:00:00"/>
    <n v="4"/>
    <s v="Valid"/>
    <s v="CUST-4475"/>
    <s v="Ananya Rao"/>
    <x v="0"/>
    <x v="1"/>
    <s v="Assam"/>
    <m/>
    <x v="2"/>
    <x v="5"/>
    <s v="Prime Accessories 482"/>
    <x v="1"/>
    <n v="9"/>
    <n v="2379.2399999999998"/>
    <n v="20342.501999999997"/>
    <n v="0.05"/>
    <n v="0.05"/>
    <s v="Valid"/>
    <s v="Clean"/>
    <n v="20342.5"/>
    <n v="12407.51"/>
    <n v="7934.9919999999966"/>
    <n v="7934.99"/>
    <n v="0.39006955880545657"/>
    <s v="Paid"/>
    <x v="0"/>
  </r>
  <r>
    <s v="ORD-2024-10446"/>
    <s v="Unique"/>
    <x v="4"/>
    <n v="2024"/>
    <d v="2024-05-09T00:00:00"/>
    <d v="2024-05-05T00:00:00"/>
    <n v="-4"/>
    <s v="Invalid: Ship Date Before Order Date"/>
    <s v="CUST-1351"/>
    <s v="Arjun Bose"/>
    <x v="0"/>
    <x v="1"/>
    <s v="Assam"/>
    <m/>
    <x v="1"/>
    <x v="10"/>
    <s v="Eco Bookcases 215"/>
    <x v="1"/>
    <n v="2"/>
    <n v="2111.23"/>
    <n v="3377.9680000000003"/>
    <n v="0.2"/>
    <n v="0.2"/>
    <s v="Valid"/>
    <s v="Invalid"/>
    <n v="3377.97"/>
    <n v="2496.29"/>
    <n v="881.67800000000034"/>
    <n v="881.68"/>
    <n v="0.26100883074746073"/>
    <s v="Paid"/>
    <x v="0"/>
  </r>
  <r>
    <s v="ORD-2025-10447"/>
    <s v="Unique"/>
    <x v="7"/>
    <n v="2025"/>
    <d v="2025-09-18T00:00:00"/>
    <d v="2025-09-19T00:00:00"/>
    <n v="1"/>
    <s v="Valid"/>
    <s v="CUST-9295"/>
    <s v="Sneha Kapoor"/>
    <x v="3"/>
    <x v="2"/>
    <s v="Andhra Pradesh"/>
    <m/>
    <x v="0"/>
    <x v="8"/>
    <s v="Eco Storage 793"/>
    <x v="1"/>
    <n v="8"/>
    <n v="4242.51"/>
    <n v="33940.080000000002"/>
    <n v="0"/>
    <n v="0"/>
    <s v="Valid"/>
    <s v="Clean"/>
    <n v="33940.080000000002"/>
    <n v="23754.19"/>
    <n v="10185.890000000003"/>
    <n v="10185.89"/>
    <n v="0.30011390662603032"/>
    <s v="Paid"/>
    <x v="0"/>
  </r>
  <r>
    <s v="ORD-2025-10448"/>
    <s v="Unique"/>
    <x v="1"/>
    <n v="2025"/>
    <d v="2025-08-10T00:00:00"/>
    <d v="2025-08-10T00:00:00"/>
    <n v="0"/>
    <s v="Valid"/>
    <s v="CUST-3614"/>
    <s v="Rohan Mehta"/>
    <x v="3"/>
    <x v="2"/>
    <s v="Telangana"/>
    <m/>
    <x v="1"/>
    <x v="10"/>
    <s v="Basic Bookcases 182"/>
    <x v="3"/>
    <n v="6"/>
    <n v="4288.7"/>
    <n v="21872.369999999995"/>
    <n v="0.15"/>
    <n v="0.15"/>
    <s v="Valid"/>
    <s v="Clean"/>
    <n v="21872.37"/>
    <n v="13829.5"/>
    <n v="8042.8699999999953"/>
    <n v="8042.87"/>
    <n v="0.36771826738483304"/>
    <s v="Pending"/>
    <x v="2"/>
  </r>
  <r>
    <s v="ORD-2024-10449"/>
    <s v="Unique"/>
    <x v="10"/>
    <n v="2024"/>
    <d v="2024-01-15T00:00:00"/>
    <d v="2024-01-18T00:00:00"/>
    <n v="3"/>
    <s v="Valid"/>
    <s v="CUST-1932"/>
    <s v="Mira Das"/>
    <x v="1"/>
    <x v="2"/>
    <s v="Andhra Pradesh"/>
    <m/>
    <x v="1"/>
    <x v="4"/>
    <s v="Prime Chairs 631"/>
    <x v="2"/>
    <n v="2"/>
    <n v="201.21"/>
    <n v="342.05700000000002"/>
    <n v="0.15"/>
    <n v="0.15"/>
    <s v="Valid"/>
    <s v="Clean"/>
    <n v="342.06"/>
    <n v="244.57"/>
    <n v="97.487000000000023"/>
    <n v="97.49"/>
    <n v="0.28500847804478746"/>
    <s v="Paid"/>
    <x v="0"/>
  </r>
  <r>
    <s v="ORD-2024-10450"/>
    <s v="Unique"/>
    <x v="2"/>
    <n v="2024"/>
    <d v="2024-06-06T00:00:00"/>
    <d v="2024-06-13T00:00:00"/>
    <n v="7"/>
    <s v="Valid"/>
    <s v="CUST-5094"/>
    <s v="Aditi Sen"/>
    <x v="2"/>
    <x v="1"/>
    <s v="Assam"/>
    <m/>
    <x v="2"/>
    <x v="12"/>
    <s v="Basic Machines 808"/>
    <x v="0"/>
    <n v="6"/>
    <n v="3270.36"/>
    <n v="19622.16"/>
    <n v="0"/>
    <n v="0"/>
    <s v="Valid"/>
    <s v="Clean"/>
    <n v="19622.16"/>
    <n v="14271.27"/>
    <n v="5350.8899999999994"/>
    <n v="5350.89"/>
    <n v="0.27269627808559305"/>
    <s v="Paid"/>
    <x v="0"/>
  </r>
  <r>
    <s v="ORD-2025-10451"/>
    <s v="Unique"/>
    <x v="2"/>
    <n v="2025"/>
    <d v="2025-06-12T00:00:00"/>
    <d v="2025-06-19T00:00:00"/>
    <n v="7"/>
    <s v="Valid"/>
    <s v="CUST-8672"/>
    <s v="Ananya Rao"/>
    <x v="2"/>
    <x v="0"/>
    <s v="Delhi"/>
    <m/>
    <x v="1"/>
    <x v="4"/>
    <s v="Pro Chairs 302"/>
    <x v="3"/>
    <n v="9"/>
    <n v="2278.5700000000002"/>
    <n v="15380.3475"/>
    <n v="0.25"/>
    <n v="0.25"/>
    <s v="Valid"/>
    <s v="Clean"/>
    <n v="15380.35"/>
    <n v="9907.3700000000008"/>
    <n v="5472.9774999999991"/>
    <n v="5472.98"/>
    <n v="0.35584235729355962"/>
    <s v="Paid"/>
    <x v="0"/>
  </r>
  <r>
    <s v="ORD-2024-10452"/>
    <s v="Unique"/>
    <x v="11"/>
    <n v="2024"/>
    <d v="2024-03-24T00:00:00"/>
    <d v="2024-03-26T00:00:00"/>
    <n v="2"/>
    <s v="Valid"/>
    <s v="CUST-3907"/>
    <s v="Rohan Mehta"/>
    <x v="1"/>
    <x v="0"/>
    <s v="Haryana"/>
    <m/>
    <x v="0"/>
    <x v="0"/>
    <s v="Classic Paper 272"/>
    <x v="0"/>
    <n v="8"/>
    <n v="1917.64"/>
    <n v="13039.952000000001"/>
    <n v="0.15"/>
    <n v="0.15"/>
    <s v="Valid"/>
    <s v="Clean"/>
    <n v="13039.95"/>
    <n v="11127.82"/>
    <n v="1912.1320000000014"/>
    <n v="1912.13"/>
    <n v="0.14663629845206461"/>
    <s v="Paid"/>
    <x v="1"/>
  </r>
  <r>
    <s v="ORD-2024-10453"/>
    <s v="Unique"/>
    <x v="4"/>
    <n v="2024"/>
    <d v="2024-05-10T00:00:00"/>
    <d v="2024-05-16T00:00:00"/>
    <n v="6"/>
    <s v="Valid"/>
    <s v="CUST-8796"/>
    <s v="Diya Patel"/>
    <x v="3"/>
    <x v="1"/>
    <s v="Jharkhand"/>
    <m/>
    <x v="2"/>
    <x v="5"/>
    <s v="Smart Accessories 149"/>
    <x v="0"/>
    <n v="6"/>
    <n v="2013.33"/>
    <n v="9663.9840000000004"/>
    <n v="0.2"/>
    <n v="0.2"/>
    <s v="Valid"/>
    <s v="Clean"/>
    <n v="9663.98"/>
    <n v="5628.93"/>
    <n v="4035.0540000000001"/>
    <n v="4035.05"/>
    <n v="0.41753501145490785"/>
    <s v="Paid"/>
    <x v="0"/>
  </r>
  <r>
    <s v="ORD-2025-10454"/>
    <s v="Unique"/>
    <x v="4"/>
    <n v="2025"/>
    <d v="2025-05-03T00:00:00"/>
    <d v="2025-05-11T00:00:00"/>
    <n v="8"/>
    <s v="Valid"/>
    <s v="CUST-2317"/>
    <s v="Rohan Mehta"/>
    <x v="1"/>
    <x v="3"/>
    <s v="Madhya Pradesh"/>
    <m/>
    <x v="0"/>
    <x v="7"/>
    <s v="Elite Labels 322"/>
    <x v="1"/>
    <n v="5"/>
    <n v="1483.52"/>
    <n v="7417.6"/>
    <n v="0"/>
    <n v="0"/>
    <s v="Valid"/>
    <s v="Clean"/>
    <n v="7417.6"/>
    <n v="4955.8599999999997"/>
    <n v="2461.7400000000007"/>
    <n v="2461.7399999999998"/>
    <n v="0.33187823554788604"/>
    <s v="Paid"/>
    <x v="0"/>
  </r>
  <r>
    <s v="ORD-2025-10455"/>
    <s v="Unique"/>
    <x v="11"/>
    <n v="2025"/>
    <d v="2025-03-23T00:00:00"/>
    <d v="2025-03-28T00:00:00"/>
    <n v="5"/>
    <s v="Valid"/>
    <s v="CUST-8643"/>
    <s v="Vikram Iyer"/>
    <x v="1"/>
    <x v="0"/>
    <s v="Rajasthan"/>
    <m/>
    <x v="1"/>
    <x v="3"/>
    <s v="Max Furnishings 821"/>
    <x v="3"/>
    <n v="9"/>
    <n v="3298"/>
    <n v="25229.7"/>
    <n v="0.15"/>
    <n v="0.15"/>
    <s v="Valid"/>
    <s v="Clean"/>
    <n v="25229.7"/>
    <n v="20170.43"/>
    <n v="5059.2700000000004"/>
    <n v="5059.2700000000004"/>
    <n v="0.20052834556098567"/>
    <s v="Paid"/>
    <x v="0"/>
  </r>
  <r>
    <s v="ORD-2024-10456"/>
    <s v="Unique"/>
    <x v="0"/>
    <n v="2024"/>
    <d v="2024-07-18T00:00:00"/>
    <d v="2024-07-22T00:00:00"/>
    <n v="4"/>
    <s v="Valid"/>
    <s v="CUST-1800"/>
    <s v="Neha Gupta"/>
    <x v="1"/>
    <x v="2"/>
    <s v="Telangana"/>
    <m/>
    <x v="0"/>
    <x v="2"/>
    <s v="Basic Art 556"/>
    <x v="3"/>
    <n v="4"/>
    <n v="808.77"/>
    <n v="3235.08"/>
    <n v="0"/>
    <n v="0"/>
    <s v="Valid"/>
    <s v="Clean"/>
    <n v="3235.08"/>
    <n v="1848.6"/>
    <n v="1386.48"/>
    <n v="1386.48"/>
    <n v="0.42857672762342819"/>
    <s v="Paid"/>
    <x v="0"/>
  </r>
  <r>
    <s v="ORD-2024-10457"/>
    <s v="Unique"/>
    <x v="6"/>
    <n v="2024"/>
    <d v="2024-02-20T00:00:00"/>
    <d v="2024-02-20T00:00:00"/>
    <n v="0"/>
    <s v="Valid"/>
    <s v="CUST-7688"/>
    <s v="Neha Gupta"/>
    <x v="2"/>
    <x v="0"/>
    <s v="Uttar Pradesh"/>
    <m/>
    <x v="2"/>
    <x v="5"/>
    <s v="Smart Accessories 265"/>
    <x v="1"/>
    <n v="5"/>
    <n v="2604.91"/>
    <n v="11070.867499999998"/>
    <n v="0.15"/>
    <n v="0.15"/>
    <s v="Valid"/>
    <s v="Clean"/>
    <n v="11070.87"/>
    <n v="6623.61"/>
    <n v="4447.2574999999988"/>
    <n v="4447.26"/>
    <n v="0.40170826682997812"/>
    <s v="Paid"/>
    <x v="2"/>
  </r>
  <r>
    <s v="ORD-2024-10458"/>
    <s v="Unique"/>
    <x v="4"/>
    <n v="2024"/>
    <d v="2024-05-04T00:00:00"/>
    <d v="2024-05-04T00:00:00"/>
    <n v="0"/>
    <s v="Valid"/>
    <s v="CUST-4957"/>
    <s v="Mira Das"/>
    <x v="1"/>
    <x v="3"/>
    <s v="Goa"/>
    <m/>
    <x v="1"/>
    <x v="1"/>
    <s v="Elite Tables 418"/>
    <x v="3"/>
    <n v="7"/>
    <n v="2851.51"/>
    <n v="19960.57"/>
    <n v="0"/>
    <n v="0"/>
    <s v="Valid"/>
    <s v="Clean"/>
    <n v="19960.57"/>
    <n v="16603.599999999999"/>
    <n v="3356.9700000000012"/>
    <n v="3356.97"/>
    <n v="0.16818006700209462"/>
    <s v="Paid"/>
    <x v="0"/>
  </r>
  <r>
    <s v="ORD-2024-10459"/>
    <s v="Unique"/>
    <x v="6"/>
    <n v="2024"/>
    <d v="2024-02-10T00:00:00"/>
    <d v="2024-02-11T00:00:00"/>
    <n v="1"/>
    <s v="Valid"/>
    <s v="CUST-1263"/>
    <s v="Karan Malhotra"/>
    <x v="2"/>
    <x v="0"/>
    <s v="Rajasthan"/>
    <m/>
    <x v="2"/>
    <x v="11"/>
    <s v="Pro Phones 907"/>
    <x v="0"/>
    <n v="3"/>
    <n v="3183.72"/>
    <n v="8596.0439999999999"/>
    <n v="0.1"/>
    <n v="0.1"/>
    <s v="Valid"/>
    <s v="Clean"/>
    <n v="8596.0400000000009"/>
    <n v="5378.16"/>
    <n v="3217.884"/>
    <n v="3217.88"/>
    <n v="0.37434446559113266"/>
    <s v="Paid"/>
    <x v="0"/>
  </r>
  <r>
    <s v="ORD-2024-10460"/>
    <s v="Unique"/>
    <x v="11"/>
    <n v="2024"/>
    <d v="2024-03-28T00:00:00"/>
    <d v="2024-04-04T00:00:00"/>
    <n v="7"/>
    <s v="Valid"/>
    <s v="CUST-4745"/>
    <s v="Ananya Rao"/>
    <x v="3"/>
    <x v="3"/>
    <s v="Goa"/>
    <m/>
    <x v="0"/>
    <x v="0"/>
    <s v="Basic Paper 233"/>
    <x v="2"/>
    <n v="3"/>
    <n v="1150.92"/>
    <n v="3452.76"/>
    <n v="0"/>
    <n v="0"/>
    <s v="Valid"/>
    <s v="Clean"/>
    <n v="3452.76"/>
    <n v="2077.96"/>
    <n v="1374.8000000000002"/>
    <n v="1374.8"/>
    <n v="0.39817421425178695"/>
    <s v="Paid"/>
    <x v="0"/>
  </r>
  <r>
    <s v="ORD-2025-10461"/>
    <s v="Unique"/>
    <x v="7"/>
    <n v="2025"/>
    <d v="2025-09-30T00:00:00"/>
    <d v="2025-10-06T00:00:00"/>
    <n v="6"/>
    <s v="Valid"/>
    <s v="CUST-5551"/>
    <s v="Aarav Sharma"/>
    <x v="2"/>
    <x v="4"/>
    <s v="Rajasthan"/>
    <m/>
    <x v="2"/>
    <x v="6"/>
    <s v="Eco Copiers 603"/>
    <x v="0"/>
    <n v="9"/>
    <n v="1359.88"/>
    <n v="11626.974000000002"/>
    <n v="0.05"/>
    <n v="0.05"/>
    <s v="Valid"/>
    <s v="Clean"/>
    <n v="11626.97"/>
    <n v="7394.07"/>
    <n v="4232.9040000000023"/>
    <n v="4232.8999999999996"/>
    <n v="0.36405873585293502"/>
    <s v="Paid"/>
    <x v="0"/>
  </r>
  <r>
    <s v="ORD-2025-10462"/>
    <s v="Unique"/>
    <x v="4"/>
    <n v="2025"/>
    <d v="2025-05-25T00:00:00"/>
    <d v="2025-05-26T00:00:00"/>
    <n v="1"/>
    <s v="Valid"/>
    <s v="CUST-3659"/>
    <s v="Neha Gupta"/>
    <x v="2"/>
    <x v="2"/>
    <s v="Andhra Pradesh"/>
    <m/>
    <x v="0"/>
    <x v="0"/>
    <s v="Max Paper 700"/>
    <x v="3"/>
    <n v="3"/>
    <n v="3378.15"/>
    <n v="8614.2825000000012"/>
    <n v="0.15"/>
    <n v="0.15"/>
    <s v="Valid"/>
    <s v="Clean"/>
    <n v="8614.2800000000007"/>
    <n v="7052.08"/>
    <n v="1562.2025000000012"/>
    <n v="1562.2"/>
    <n v="0.18135003737979261"/>
    <s v="Paid"/>
    <x v="0"/>
  </r>
  <r>
    <s v="ORD-2024-10463"/>
    <s v="Unique"/>
    <x v="7"/>
    <n v="2024"/>
    <d v="2024-09-23T00:00:00"/>
    <d v="2024-09-25T00:00:00"/>
    <n v="2"/>
    <s v="Valid"/>
    <s v="CUST-6594"/>
    <s v="Aarav Sharma"/>
    <x v="3"/>
    <x v="0"/>
    <s v="Delhi"/>
    <m/>
    <x v="0"/>
    <x v="9"/>
    <s v="Pro Binders 404"/>
    <x v="2"/>
    <n v="2"/>
    <n v="1275.1400000000001"/>
    <n v="2040.2240000000002"/>
    <n v="0.2"/>
    <n v="0.2"/>
    <s v="Valid"/>
    <s v="Clean"/>
    <n v="2040.22"/>
    <n v="1395.71"/>
    <n v="644.51400000000012"/>
    <n v="644.51"/>
    <n v="0.31590220662477575"/>
    <s v="Paid"/>
    <x v="0"/>
  </r>
  <r>
    <s v="ORD-2025-10464"/>
    <s v="Unique"/>
    <x v="6"/>
    <n v="2025"/>
    <d v="2025-02-07T00:00:00"/>
    <d v="2025-02-08T00:00:00"/>
    <n v="1"/>
    <s v="Valid"/>
    <s v="CUST-2626"/>
    <s v="Arjun Bose"/>
    <x v="2"/>
    <x v="3"/>
    <s v="Madhya Pradesh"/>
    <m/>
    <x v="2"/>
    <x v="11"/>
    <s v="Eco Phones 208"/>
    <x v="3"/>
    <n v="4"/>
    <n v="889.5"/>
    <n v="2846.4"/>
    <n v="0.2"/>
    <n v="0.2"/>
    <s v="Valid"/>
    <s v="Clean"/>
    <n v="2846.4"/>
    <n v="2132.37"/>
    <n v="714.0300000000002"/>
    <n v="714.03"/>
    <n v="0.25085370994940975"/>
    <s v="Paid"/>
    <x v="0"/>
  </r>
  <r>
    <s v="ORD-2025-10465"/>
    <s v="Unique"/>
    <x v="11"/>
    <n v="2025"/>
    <d v="2025-03-11T00:00:00"/>
    <d v="2025-03-15T00:00:00"/>
    <n v="4"/>
    <s v="Valid"/>
    <s v="CUST-7362"/>
    <s v="Arjun Bose"/>
    <x v="2"/>
    <x v="1"/>
    <s v="Bihar"/>
    <m/>
    <x v="0"/>
    <x v="0"/>
    <s v="Elite Paper 106"/>
    <x v="1"/>
    <n v="3"/>
    <n v="3625.08"/>
    <n v="10331.477999999999"/>
    <n v="0.05"/>
    <n v="0.05"/>
    <s v="Valid"/>
    <s v="Clean"/>
    <n v="10331.48"/>
    <n v="7131.91"/>
    <n v="3199.5679999999993"/>
    <n v="3199.57"/>
    <n v="0.30969135109393819"/>
    <s v="Pending"/>
    <x v="1"/>
  </r>
  <r>
    <s v="ORD-2024-10466"/>
    <s v="Unique"/>
    <x v="10"/>
    <n v="2024"/>
    <d v="2024-01-29T00:00:00"/>
    <d v="2024-02-06T00:00:00"/>
    <n v="8"/>
    <s v="Valid"/>
    <s v="CUST-1748"/>
    <s v="Aarav Sharma"/>
    <x v="1"/>
    <x v="3"/>
    <s v="Madhya Pradesh"/>
    <m/>
    <x v="0"/>
    <x v="7"/>
    <s v="Eco Labels 914"/>
    <x v="3"/>
    <n v="2"/>
    <n v="1258.9000000000001"/>
    <n v="2517.8000000000002"/>
    <n v="0"/>
    <n v="0"/>
    <s v="Valid"/>
    <s v="Clean"/>
    <n v="2517.8000000000002"/>
    <n v="1478.54"/>
    <n v="1039.2600000000002"/>
    <n v="1039.26"/>
    <n v="0.41276511239971403"/>
    <s v="Paid"/>
    <x v="0"/>
  </r>
  <r>
    <s v="ORD-2024-10467"/>
    <s v="Unique"/>
    <x v="10"/>
    <n v="2024"/>
    <d v="2024-01-04T00:00:00"/>
    <d v="2024-01-08T00:00:00"/>
    <n v="4"/>
    <s v="Valid"/>
    <s v="CUST-2725"/>
    <s v="Mira Das"/>
    <x v="1"/>
    <x v="1"/>
    <s v="Bihar"/>
    <m/>
    <x v="2"/>
    <x v="5"/>
    <s v="Max Accessories 486"/>
    <x v="1"/>
    <n v="9"/>
    <n v="1591.96"/>
    <n v="11462.112000000001"/>
    <n v="0.2"/>
    <n v="0.2"/>
    <s v="Valid"/>
    <s v="Clean"/>
    <n v="11462.11"/>
    <n v="7105.48"/>
    <n v="4356.6320000000014"/>
    <n v="4356.63"/>
    <n v="0.38008970425166044"/>
    <s v="Paid"/>
    <x v="0"/>
  </r>
  <r>
    <s v="ORD-2024-10468"/>
    <s v="Unique"/>
    <x v="1"/>
    <n v="2024"/>
    <d v="2024-08-20T00:00:00"/>
    <d v="2024-08-21T00:00:00"/>
    <n v="1"/>
    <s v="Valid"/>
    <s v="CUST-9470"/>
    <s v="Aditi Sen"/>
    <x v="2"/>
    <x v="1"/>
    <s v="Odisha"/>
    <m/>
    <x v="2"/>
    <x v="6"/>
    <s v="Max Copiers 867"/>
    <x v="2"/>
    <n v="5"/>
    <n v="4288.33"/>
    <n v="19297.485000000001"/>
    <n v="0.1"/>
    <n v="0.1"/>
    <s v="Valid"/>
    <s v="Clean"/>
    <n v="19297.490000000002"/>
    <n v="15451.66"/>
    <n v="3845.8250000000007"/>
    <n v="3845.83"/>
    <n v="0.19929172135858081"/>
    <s v="Refunded"/>
    <x v="1"/>
  </r>
  <r>
    <s v="ORD-2025-10469"/>
    <s v="Unique"/>
    <x v="10"/>
    <n v="2025"/>
    <d v="2025-01-09T00:00:00"/>
    <d v="2025-01-07T00:00:00"/>
    <n v="-2"/>
    <s v="Invalid: Ship Date Before Order Date"/>
    <s v="CUST-4176"/>
    <s v="Aarav Sharma"/>
    <x v="3"/>
    <x v="1"/>
    <s v="West Bengal"/>
    <m/>
    <x v="0"/>
    <x v="9"/>
    <s v="Pro Binders 555"/>
    <x v="0"/>
    <n v="3"/>
    <n v="2188.33"/>
    <n v="6564.99"/>
    <n v="0"/>
    <n v="0"/>
    <s v="Valid"/>
    <s v="Invalid"/>
    <n v="6564.99"/>
    <n v="5407.24"/>
    <n v="1157.75"/>
    <n v="1157.75"/>
    <n v="0.17635213458055535"/>
    <s v="Paid"/>
    <x v="0"/>
  </r>
  <r>
    <s v="ORD-2024-10470"/>
    <s v="Unique"/>
    <x v="10"/>
    <n v="2024"/>
    <d v="2024-01-19T00:00:00"/>
    <d v="2024-01-25T00:00:00"/>
    <n v="6"/>
    <s v="Valid"/>
    <s v="CUST-3448"/>
    <s v="Aditi Sen"/>
    <x v="2"/>
    <x v="3"/>
    <s v="Goa"/>
    <m/>
    <x v="2"/>
    <x v="6"/>
    <s v="Pro Copiers 971"/>
    <x v="2"/>
    <n v="3"/>
    <n v="1041.6600000000001"/>
    <n v="2812.4820000000004"/>
    <n v="0.1"/>
    <n v="0.1"/>
    <s v="Valid"/>
    <s v="Clean"/>
    <n v="2812.48"/>
    <n v="2282.12"/>
    <n v="530.36200000000053"/>
    <n v="530.36"/>
    <n v="0.18857378541358516"/>
    <s v="Paid"/>
    <x v="0"/>
  </r>
  <r>
    <s v="ORD-2024-10471"/>
    <s v="Unique"/>
    <x v="0"/>
    <n v="2024"/>
    <d v="2024-07-28T00:00:00"/>
    <d v="2024-07-31T00:00:00"/>
    <n v="3"/>
    <s v="Valid"/>
    <s v="CUST-4970"/>
    <s v="Aditi Sen"/>
    <x v="0"/>
    <x v="0"/>
    <s v="Rajasthan"/>
    <m/>
    <x v="1"/>
    <x v="1"/>
    <s v="Pro Tables 833"/>
    <x v="1"/>
    <n v="2"/>
    <n v="4424.78"/>
    <n v="7079.6480000000001"/>
    <n v="0.2"/>
    <n v="0.2"/>
    <s v="Valid"/>
    <s v="Clean"/>
    <n v="7079.65"/>
    <n v="4465.91"/>
    <n v="2613.7380000000003"/>
    <n v="2613.7399999999998"/>
    <n v="0.36919056733030586"/>
    <s v="Paid"/>
    <x v="0"/>
  </r>
  <r>
    <s v="ORD-2024-10472"/>
    <s v="Unique"/>
    <x v="6"/>
    <n v="2024"/>
    <d v="2024-02-11T00:00:00"/>
    <d v="2024-02-15T00:00:00"/>
    <n v="4"/>
    <s v="Valid"/>
    <s v="CUST-6147"/>
    <s v="Kabir Singh"/>
    <x v="0"/>
    <x v="2"/>
    <s v="Telangana"/>
    <m/>
    <x v="0"/>
    <x v="9"/>
    <s v="Prime Binders 497"/>
    <x v="3"/>
    <n v="3"/>
    <n v="3019.14"/>
    <n v="6793.0650000000005"/>
    <n v="0.25"/>
    <n v="0.25"/>
    <s v="Valid"/>
    <s v="Clean"/>
    <n v="6793.07"/>
    <n v="4985.22"/>
    <n v="1807.8450000000003"/>
    <n v="1807.85"/>
    <n v="0.26613151343943164"/>
    <s v="Paid"/>
    <x v="0"/>
  </r>
  <r>
    <s v="ORD-2024-10473"/>
    <s v="Unique"/>
    <x v="11"/>
    <n v="2024"/>
    <d v="2024-03-02T00:00:00"/>
    <d v="2024-03-07T00:00:00"/>
    <n v="5"/>
    <s v="Valid"/>
    <s v="CUST-7208"/>
    <s v="Rohan Mehta"/>
    <x v="2"/>
    <x v="1"/>
    <s v="Odisha"/>
    <m/>
    <x v="0"/>
    <x v="8"/>
    <s v="Pro Storage 756"/>
    <x v="3"/>
    <n v="7"/>
    <n v="263.45999999999998"/>
    <n v="1844.2199999999998"/>
    <n v="0"/>
    <n v="0"/>
    <s v="Valid"/>
    <s v="Clean"/>
    <n v="1844.22"/>
    <n v="1094.21"/>
    <n v="750.00999999999976"/>
    <n v="750.01"/>
    <n v="0.40668141544934983"/>
    <s v="Paid"/>
    <x v="0"/>
  </r>
  <r>
    <s v="ORD-2024-10474"/>
    <s v="Unique"/>
    <x v="3"/>
    <n v="2024"/>
    <d v="2024-11-13T00:00:00"/>
    <d v="2024-11-13T00:00:00"/>
    <n v="0"/>
    <s v="Valid"/>
    <s v="CUST-2794"/>
    <s v="Priya Menon"/>
    <x v="0"/>
    <x v="3"/>
    <s v="Goa"/>
    <m/>
    <x v="2"/>
    <x v="6"/>
    <s v="Max Copiers 829"/>
    <x v="3"/>
    <n v="6"/>
    <n v="191.45"/>
    <n v="918.95999999999992"/>
    <n v="0.2"/>
    <n v="0.2"/>
    <s v="Valid"/>
    <s v="Clean"/>
    <n v="918.96"/>
    <n v="554.17999999999995"/>
    <n v="364.78"/>
    <n v="364.78"/>
    <n v="0.39694872464525111"/>
    <s v="Paid"/>
    <x v="0"/>
  </r>
  <r>
    <s v="ORD-2024-10475"/>
    <s v="Unique"/>
    <x v="2"/>
    <n v="2024"/>
    <d v="2024-06-03T00:00:00"/>
    <d v="2024-06-10T00:00:00"/>
    <n v="7"/>
    <s v="Valid"/>
    <s v="CUST-6249"/>
    <s v="Diya Patel"/>
    <x v="2"/>
    <x v="0"/>
    <s v="Punjab"/>
    <m/>
    <x v="1"/>
    <x v="3"/>
    <s v="Prime Furnishings 827"/>
    <x v="3"/>
    <n v="3"/>
    <n v="1633.57"/>
    <n v="4900.71"/>
    <n v="0"/>
    <n v="0"/>
    <s v="Valid"/>
    <s v="Clean"/>
    <n v="4900.71"/>
    <n v="2713.9"/>
    <n v="2186.81"/>
    <n v="2186.81"/>
    <n v="0.44622309828575857"/>
    <s v="Paid"/>
    <x v="0"/>
  </r>
  <r>
    <s v="ORD-2025-10476"/>
    <s v="Unique"/>
    <x v="11"/>
    <n v="2025"/>
    <d v="2025-03-01T00:00:00"/>
    <d v="2025-03-08T00:00:00"/>
    <n v="7"/>
    <s v="Valid"/>
    <s v="CUST-5712"/>
    <s v="Vikram Iyer"/>
    <x v="0"/>
    <x v="1"/>
    <s v="West Bengal"/>
    <m/>
    <x v="1"/>
    <x v="4"/>
    <s v="Eco Chairs 365"/>
    <x v="1"/>
    <n v="8"/>
    <n v="3378.82"/>
    <n v="20272.920000000002"/>
    <n v="0.25"/>
    <n v="0.25"/>
    <s v="Valid"/>
    <s v="Clean"/>
    <n v="20272.919999999998"/>
    <n v="15873.38"/>
    <n v="4399.5400000000027"/>
    <n v="4399.54"/>
    <n v="0.21701560505344075"/>
    <s v="Pending"/>
    <x v="2"/>
  </r>
  <r>
    <s v="ORD-2024-10477"/>
    <s v="Unique"/>
    <x v="4"/>
    <n v="2024"/>
    <d v="2024-05-07T00:00:00"/>
    <d v="2024-05-14T00:00:00"/>
    <n v="7"/>
    <s v="Valid"/>
    <s v="CUST-3004"/>
    <s v="Sneha Kapoor"/>
    <x v="1"/>
    <x v="0"/>
    <s v="Rajasthan"/>
    <m/>
    <x v="0"/>
    <x v="8"/>
    <s v="Classic Storage 545"/>
    <x v="2"/>
    <n v="3"/>
    <n v="383.58"/>
    <n v="1035.6659999999999"/>
    <n v="0.1"/>
    <n v="0.1"/>
    <s v="Valid"/>
    <s v="Clean"/>
    <n v="1035.67"/>
    <n v="595.41999999999996"/>
    <n v="440.24599999999998"/>
    <n v="440.25"/>
    <n v="0.42508714165709149"/>
    <s v="Paid"/>
    <x v="0"/>
  </r>
  <r>
    <s v="ORD-2025-10478"/>
    <s v="Unique"/>
    <x v="1"/>
    <n v="2025"/>
    <d v="2025-08-23T00:00:00"/>
    <d v="2025-08-28T00:00:00"/>
    <n v="5"/>
    <s v="Valid"/>
    <s v="CUST-6920"/>
    <s v="Vikram Iyer"/>
    <x v="2"/>
    <x v="3"/>
    <s v="Gujarat"/>
    <m/>
    <x v="1"/>
    <x v="4"/>
    <s v="Pro Chairs 186"/>
    <x v="3"/>
    <n v="6"/>
    <n v="2193.23"/>
    <n v="11843.442000000001"/>
    <n v="0.1"/>
    <n v="0.1"/>
    <s v="Valid"/>
    <s v="Clean"/>
    <n v="11843.44"/>
    <n v="9356.8799999999992"/>
    <n v="2486.5620000000017"/>
    <n v="2486.56"/>
    <n v="0.20995251379666718"/>
    <s v="Paid"/>
    <x v="1"/>
  </r>
  <r>
    <s v="ORD-2024-10479"/>
    <s v="Unique"/>
    <x v="2"/>
    <n v="2024"/>
    <d v="2024-06-09T00:00:00"/>
    <d v="2024-06-13T00:00:00"/>
    <n v="4"/>
    <s v="Valid"/>
    <s v="CUST-4838"/>
    <s v="Mira Das"/>
    <x v="3"/>
    <x v="4"/>
    <s v="Uttar Pradesh"/>
    <m/>
    <x v="2"/>
    <x v="12"/>
    <s v="Classic Machines 561"/>
    <x v="1"/>
    <n v="7"/>
    <n v="4079.71"/>
    <n v="25702.173000000003"/>
    <n v="0.1"/>
    <n v="0.1"/>
    <s v="Valid"/>
    <s v="Clean"/>
    <n v="25702.17"/>
    <n v="14571.48"/>
    <n v="11130.693000000003"/>
    <n v="11130.69"/>
    <n v="0.43306421208792883"/>
    <s v="Refunded"/>
    <x v="2"/>
  </r>
  <r>
    <s v="ORD-2024-10480"/>
    <s v="Unique"/>
    <x v="6"/>
    <n v="2024"/>
    <d v="2024-02-23T00:00:00"/>
    <d v="2024-02-20T00:00:00"/>
    <n v="-3"/>
    <s v="Invalid: Ship Date Before Order Date"/>
    <s v="CUST-7520"/>
    <s v="Arjun Bose"/>
    <x v="2"/>
    <x v="1"/>
    <s v="Odisha"/>
    <m/>
    <x v="1"/>
    <x v="4"/>
    <s v="Max Chairs 594"/>
    <x v="0"/>
    <n v="1"/>
    <n v="2202.5500000000002"/>
    <n v="2202.5500000000002"/>
    <n v="0"/>
    <n v="0"/>
    <s v="Valid"/>
    <s v="Invalid"/>
    <n v="1651.91"/>
    <n v="1034.57"/>
    <n v="1167.9800000000002"/>
    <n v="617.34"/>
    <n v="0.37371285360582596"/>
    <s v="Paid"/>
    <x v="0"/>
  </r>
  <r>
    <s v="ORD-2025-10481"/>
    <s v="Unique"/>
    <x v="10"/>
    <n v="2025"/>
    <d v="2025-01-05T00:00:00"/>
    <d v="2025-01-09T00:00:00"/>
    <n v="4"/>
    <s v="Valid"/>
    <s v="CUST-9947"/>
    <s v="Neha Gupta"/>
    <x v="1"/>
    <x v="2"/>
    <s v="Tamil Nadu"/>
    <m/>
    <x v="0"/>
    <x v="8"/>
    <s v="Eco Storage 923"/>
    <x v="4"/>
    <n v="5"/>
    <n v="905.16"/>
    <n v="4525.8"/>
    <n v="0"/>
    <n v="0"/>
    <s v="Valid"/>
    <s v="Clean"/>
    <n v="4525.8"/>
    <n v="2714.51"/>
    <n v="1811.29"/>
    <n v="1811.29"/>
    <n v="0.40021432674886204"/>
    <s v="Paid"/>
    <x v="0"/>
  </r>
  <r>
    <s v="ORD-2025-10482"/>
    <s v="Unique"/>
    <x v="2"/>
    <n v="2025"/>
    <d v="2025-06-05T00:00:00"/>
    <d v="2025-06-13T00:00:00"/>
    <n v="8"/>
    <s v="Valid"/>
    <s v="CUST-4403"/>
    <s v="Isha Nair"/>
    <x v="0"/>
    <x v="0"/>
    <s v="Uttar Pradesh"/>
    <m/>
    <x v="2"/>
    <x v="12"/>
    <s v="Classic Machines 287"/>
    <x v="1"/>
    <n v="4"/>
    <n v="2793.88"/>
    <s v="Invalid"/>
    <s v="85%"/>
    <s v="Invalid"/>
    <s v="Invalid"/>
    <s v="Invalid"/>
    <n v="10616.74"/>
    <n v="6353.59"/>
    <s v="Invalid"/>
    <n v="4263.1499999999996"/>
    <n v="0.40154981661037192"/>
    <s v="Paid"/>
    <x v="0"/>
  </r>
  <r>
    <s v="ORD-2024-10483"/>
    <s v="Unique"/>
    <x v="0"/>
    <n v="2024"/>
    <d v="2024-07-22T00:00:00"/>
    <d v="2024-07-22T00:00:00"/>
    <n v="0"/>
    <s v="Valid"/>
    <s v="CUST-3583"/>
    <s v="Priya Menon"/>
    <x v="0"/>
    <x v="2"/>
    <s v="Karnataka"/>
    <m/>
    <x v="2"/>
    <x v="5"/>
    <s v="Basic Accessories 518"/>
    <x v="0"/>
    <n v="3"/>
    <n v="1286.22"/>
    <n v="2893.9949999999999"/>
    <n v="0.25"/>
    <n v="0.25"/>
    <s v="Valid"/>
    <s v="Clean"/>
    <n v="2893.99"/>
    <n v="1856.03"/>
    <n v="1037.9649999999999"/>
    <n v="1037.96"/>
    <n v="0.35866053441787987"/>
    <s v="Paid"/>
    <x v="0"/>
  </r>
  <r>
    <s v="ORD-2024-10484"/>
    <s v="Unique"/>
    <x v="8"/>
    <n v="2024"/>
    <d v="2024-12-25T00:00:00"/>
    <d v="2024-12-25T00:00:00"/>
    <n v="0"/>
    <s v="Valid"/>
    <s v="CUST-9432"/>
    <s v="Mira Das"/>
    <x v="2"/>
    <x v="1"/>
    <s v="Bihar"/>
    <m/>
    <x v="2"/>
    <x v="6"/>
    <s v="Pro Copiers 984"/>
    <x v="3"/>
    <n v="1"/>
    <n v="829.66"/>
    <n v="705.2109999999999"/>
    <n v="0.15"/>
    <n v="0.15"/>
    <s v="Valid"/>
    <s v="Clean"/>
    <n v="705.21"/>
    <n v="438.32"/>
    <n v="266.89099999999991"/>
    <n v="266.89"/>
    <n v="0.3784546447157584"/>
    <s v="Paid"/>
    <x v="0"/>
  </r>
  <r>
    <s v="ORD-2024-10485"/>
    <s v="Unique"/>
    <x v="8"/>
    <n v="2024"/>
    <d v="2024-12-28T00:00:00"/>
    <d v="2024-12-31T00:00:00"/>
    <n v="3"/>
    <s v="Valid"/>
    <s v="CUST-1801"/>
    <s v="Mira Das"/>
    <x v="1"/>
    <x v="2"/>
    <s v="Andhra Pradesh"/>
    <m/>
    <x v="1"/>
    <x v="3"/>
    <s v="Max Furnishings 297"/>
    <x v="2"/>
    <n v="6"/>
    <n v="3641.22"/>
    <n v="16385.489999999998"/>
    <n v="0.25"/>
    <n v="0.25"/>
    <s v="Valid"/>
    <s v="Clean"/>
    <n v="16385.490000000002"/>
    <n v="13679.24"/>
    <n v="2706.2499999999982"/>
    <n v="2706.25"/>
    <n v="0.1651613714328958"/>
    <s v="Paid"/>
    <x v="0"/>
  </r>
  <r>
    <s v="ORD-2025-10486"/>
    <s v="Unique"/>
    <x v="10"/>
    <n v="2025"/>
    <d v="2025-01-22T00:00:00"/>
    <d v="2025-01-23T00:00:00"/>
    <n v="1"/>
    <s v="Valid"/>
    <s v="CUST-1594"/>
    <s v="Rahul Verma"/>
    <x v="2"/>
    <x v="3"/>
    <s v="Goa"/>
    <m/>
    <x v="1"/>
    <x v="10"/>
    <s v="Elite Bookcases 802"/>
    <x v="3"/>
    <n v="4"/>
    <n v="2555.19"/>
    <n v="7665.57"/>
    <n v="0.25"/>
    <n v="0.25"/>
    <s v="Valid"/>
    <s v="Clean"/>
    <n v="7665.57"/>
    <n v="5595.6"/>
    <n v="2069.9699999999993"/>
    <n v="2069.9699999999998"/>
    <n v="0.27003471366121501"/>
    <s v="Paid"/>
    <x v="0"/>
  </r>
  <r>
    <s v="ORD-2025-10487"/>
    <s v="Unique"/>
    <x v="2"/>
    <n v="2025"/>
    <d v="2025-06-22T00:00:00"/>
    <d v="2025-06-26T00:00:00"/>
    <n v="4"/>
    <s v="Valid"/>
    <s v="CUST-8132"/>
    <s v="Rahul Verma"/>
    <x v="2"/>
    <x v="3"/>
    <s v="Goa"/>
    <m/>
    <x v="1"/>
    <x v="1"/>
    <s v="Pro Tables 257"/>
    <x v="3"/>
    <n v="3"/>
    <n v="1946.18"/>
    <n v="4670.8320000000003"/>
    <n v="0.2"/>
    <n v="0.2"/>
    <s v="Valid"/>
    <s v="Clean"/>
    <n v="4670.83"/>
    <n v="3166.49"/>
    <n v="1504.3420000000006"/>
    <n v="1504.34"/>
    <n v="0.32207123787421077"/>
    <s v="Paid"/>
    <x v="0"/>
  </r>
  <r>
    <s v="ORD-2025-10488"/>
    <s v="Unique"/>
    <x v="2"/>
    <n v="2025"/>
    <d v="2025-06-10T00:00:00"/>
    <d v="2025-06-17T00:00:00"/>
    <n v="7"/>
    <s v="Valid"/>
    <s v="CUST-7685"/>
    <s v="Rahul Verma"/>
    <x v="2"/>
    <x v="2"/>
    <s v="Telangana"/>
    <m/>
    <x v="1"/>
    <x v="3"/>
    <s v="Prime Furnishings 299"/>
    <x v="3"/>
    <n v="5"/>
    <n v="1231.0999999999999"/>
    <n v="6155.5"/>
    <n v="0"/>
    <n v="0"/>
    <s v="Valid"/>
    <s v="Clean"/>
    <n v="6155.5"/>
    <n v="4282.09"/>
    <n v="1873.4099999999999"/>
    <n v="1873.41"/>
    <n v="0.30434733165461786"/>
    <s v="Refunded"/>
    <x v="2"/>
  </r>
  <r>
    <s v="ORD-2024-10489"/>
    <s v="Unique"/>
    <x v="9"/>
    <n v="2024"/>
    <d v="2024-10-14T00:00:00"/>
    <d v="2024-10-20T00:00:00"/>
    <n v="6"/>
    <s v="Valid"/>
    <s v="CUST-2183"/>
    <s v="Aditi Sen"/>
    <x v="1"/>
    <x v="0"/>
    <s v="Rajasthan"/>
    <m/>
    <x v="1"/>
    <x v="1"/>
    <s v="Eco Tables 487"/>
    <x v="1"/>
    <n v="7"/>
    <n v="1547.6"/>
    <n v="8666.56"/>
    <n v="0.2"/>
    <n v="0.2"/>
    <s v="Valid"/>
    <s v="Clean"/>
    <n v="8666.56"/>
    <n v="5967.44"/>
    <n v="2699.12"/>
    <n v="2699.12"/>
    <n v="0.31144075619392242"/>
    <s v="Paid"/>
    <x v="0"/>
  </r>
  <r>
    <s v="ORD-2024-10490"/>
    <s v="Unique"/>
    <x v="6"/>
    <n v="2024"/>
    <d v="2024-02-07T00:00:00"/>
    <d v="2024-02-12T00:00:00"/>
    <n v="5"/>
    <s v="Valid"/>
    <s v="CUST-1636"/>
    <s v="Arjun Bose"/>
    <x v="3"/>
    <x v="1"/>
    <s v="West Bengal"/>
    <m/>
    <x v="2"/>
    <x v="5"/>
    <s v="Prime Accessories 960"/>
    <x v="0"/>
    <n v="1"/>
    <n v="452.19"/>
    <n v="361.75200000000001"/>
    <n v="0.2"/>
    <n v="0.2"/>
    <s v="Valid"/>
    <s v="Clean"/>
    <n v="361.75"/>
    <n v="262.52999999999997"/>
    <n v="99.222000000000037"/>
    <n v="99.22"/>
    <n v="0.27427781617138908"/>
    <s v="Paid"/>
    <x v="0"/>
  </r>
  <r>
    <s v="ORD-2024-10491"/>
    <s v="Unique"/>
    <x v="7"/>
    <n v="2024"/>
    <d v="2024-09-16T00:00:00"/>
    <d v="2024-09-19T00:00:00"/>
    <n v="3"/>
    <s v="Valid"/>
    <s v="CUST-1350"/>
    <s v="Aditi Sen"/>
    <x v="0"/>
    <x v="3"/>
    <s v="Rajasthan"/>
    <m/>
    <x v="0"/>
    <x v="9"/>
    <s v="Smart Binders 191"/>
    <x v="2"/>
    <n v="7"/>
    <n v="406.42"/>
    <n v="2418.1990000000001"/>
    <n v="0.15"/>
    <n v="0.15"/>
    <s v="Valid"/>
    <s v="Clean"/>
    <n v="2418.1999999999998"/>
    <n v="1613.82"/>
    <n v="804.37900000000013"/>
    <n v="804.38"/>
    <n v="0.33263584484327186"/>
    <s v="Paid"/>
    <x v="0"/>
  </r>
  <r>
    <s v="ORD-2025-10492"/>
    <s v="Unique"/>
    <x v="5"/>
    <n v="2025"/>
    <d v="2025-04-29T00:00:00"/>
    <d v="2025-04-30T00:00:00"/>
    <n v="1"/>
    <s v="Valid"/>
    <s v="CUST-4101"/>
    <s v="Mira Das"/>
    <x v="2"/>
    <x v="2"/>
    <s v="Kerala"/>
    <m/>
    <x v="2"/>
    <x v="5"/>
    <s v="Prime Accessories 118"/>
    <x v="3"/>
    <n v="4"/>
    <n v="606.58000000000004"/>
    <n v="1941.0560000000003"/>
    <n v="0.2"/>
    <n v="0.2"/>
    <s v="Valid"/>
    <s v="Clean"/>
    <n v="1941.06"/>
    <n v="1207.42"/>
    <n v="733.63600000000019"/>
    <n v="733.64"/>
    <n v="0.3779584350818625"/>
    <s v="Paid"/>
    <x v="0"/>
  </r>
  <r>
    <s v="ORD-2025-10493"/>
    <s v="Unique"/>
    <x v="2"/>
    <n v="2025"/>
    <d v="2025-06-28T00:00:00"/>
    <d v="2025-07-02T00:00:00"/>
    <n v="4"/>
    <s v="Valid"/>
    <s v="CUST-4679"/>
    <s v="Ananya Rao"/>
    <x v="2"/>
    <x v="2"/>
    <s v="Andhra Pradesh"/>
    <m/>
    <x v="0"/>
    <x v="8"/>
    <s v="Elite Storage 331"/>
    <x v="0"/>
    <n v="2"/>
    <n v="2725.44"/>
    <n v="4088.16"/>
    <n v="0.25"/>
    <n v="0.25"/>
    <s v="Valid"/>
    <s v="Clean"/>
    <n v="4088.16"/>
    <n v="3205.68"/>
    <n v="882.48"/>
    <n v="882.48"/>
    <n v="0.21586239286133616"/>
    <s v="Paid"/>
    <x v="0"/>
  </r>
  <r>
    <s v="ORD-2025-10494"/>
    <s v="Unique"/>
    <x v="6"/>
    <n v="2025"/>
    <d v="2025-02-13T00:00:00"/>
    <d v="2025-02-13T00:00:00"/>
    <n v="0"/>
    <s v="Valid"/>
    <s v="CUST-3765"/>
    <s v="Kabir Singh"/>
    <x v="2"/>
    <x v="1"/>
    <s v="Odisha"/>
    <m/>
    <x v="0"/>
    <x v="0"/>
    <s v="Prime Paper 996"/>
    <x v="0"/>
    <n v="7"/>
    <n v="2296.6999999999998"/>
    <n v="15273.054999999997"/>
    <n v="0.05"/>
    <n v="0.05"/>
    <s v="Valid"/>
    <s v="Clean"/>
    <n v="15273.05"/>
    <n v="11088.76"/>
    <n v="4184.2949999999964"/>
    <n v="4184.29"/>
    <n v="0.27396557989399628"/>
    <s v="Paid"/>
    <x v="0"/>
  </r>
  <r>
    <s v="ORD-2024-10495"/>
    <s v="Unique"/>
    <x v="3"/>
    <n v="2024"/>
    <d v="2024-11-14T00:00:00"/>
    <d v="2024-11-22T00:00:00"/>
    <n v="8"/>
    <s v="Valid"/>
    <s v="CUST-9056"/>
    <s v="Isha Nair"/>
    <x v="0"/>
    <x v="3"/>
    <s v="Madhya Pradesh"/>
    <m/>
    <x v="2"/>
    <x v="11"/>
    <s v="Smart Phones 125"/>
    <x v="3"/>
    <n v="3"/>
    <n v="671.68"/>
    <s v="Invalid"/>
    <n v="-0.13"/>
    <s v="Invalid"/>
    <s v="Invalid"/>
    <s v="Invalid"/>
    <n v="1712.78"/>
    <n v="1569.38"/>
    <s v="Invalid"/>
    <n v="360.66"/>
    <n v="0.21056995060661615"/>
    <s v="Failed"/>
    <x v="1"/>
  </r>
  <r>
    <s v="ORD-2024-10496"/>
    <s v="Unique"/>
    <x v="4"/>
    <n v="2024"/>
    <d v="2024-05-09T00:00:00"/>
    <d v="2024-05-15T00:00:00"/>
    <n v="6"/>
    <s v="Valid"/>
    <s v="CUST-9801"/>
    <s v="Mira Das"/>
    <x v="1"/>
    <x v="1"/>
    <s v="Assam"/>
    <m/>
    <x v="2"/>
    <x v="11"/>
    <s v="Eco Phones 220"/>
    <x v="0"/>
    <n v="4"/>
    <n v="995.98"/>
    <n v="3784.7239999999997"/>
    <n v="0.05"/>
    <n v="0.05"/>
    <s v="Valid"/>
    <s v="Clean"/>
    <n v="3784.72"/>
    <n v="2419.2399999999998"/>
    <n v="1365.4839999999999"/>
    <n v="1365.48"/>
    <n v="0.3607875879853728"/>
    <s v="Refunded"/>
    <x v="2"/>
  </r>
  <r>
    <s v="ORD-2025-10497"/>
    <s v="Unique"/>
    <x v="0"/>
    <n v="2025"/>
    <d v="2025-07-04T00:00:00"/>
    <d v="2025-07-06T00:00:00"/>
    <n v="2"/>
    <s v="Valid"/>
    <s v="CUST-2038"/>
    <s v="Kabir Singh"/>
    <x v="1"/>
    <x v="1"/>
    <s v="Jharkhand"/>
    <m/>
    <x v="1"/>
    <x v="4"/>
    <s v="Eco Chairs 795"/>
    <x v="0"/>
    <n v="2"/>
    <n v="3686.42"/>
    <n v="6635.5560000000005"/>
    <n v="0.1"/>
    <n v="0.1"/>
    <s v="Valid"/>
    <s v="Clean"/>
    <n v="6635.56"/>
    <n v="3652.91"/>
    <n v="2982.6460000000006"/>
    <n v="2982.65"/>
    <n v="0.4494948429371447"/>
    <s v="Paid"/>
    <x v="0"/>
  </r>
  <r>
    <s v="ORD-2024-10498"/>
    <s v="Unique"/>
    <x v="1"/>
    <n v="2024"/>
    <d v="2024-08-29T00:00:00"/>
    <d v="2024-08-29T00:00:00"/>
    <n v="0"/>
    <s v="Valid"/>
    <s v="CUST-1567"/>
    <s v="Sneha Kapoor"/>
    <x v="1"/>
    <x v="0"/>
    <s v="Uttar Pradesh"/>
    <m/>
    <x v="2"/>
    <x v="5"/>
    <s v="Smart Accessories 896"/>
    <x v="0"/>
    <n v="1"/>
    <n v="3106.88"/>
    <n v="2485.5040000000004"/>
    <n v="0.2"/>
    <n v="0.2"/>
    <s v="Valid"/>
    <s v="Clean"/>
    <n v="2485.5"/>
    <n v="2028.43"/>
    <n v="457.0740000000003"/>
    <n v="457.07"/>
    <n v="0.18389458861396096"/>
    <s v="Paid"/>
    <x v="1"/>
  </r>
  <r>
    <s v="ORD-2025-10499"/>
    <s v="Unique"/>
    <x v="7"/>
    <n v="2025"/>
    <d v="2025-09-07T00:00:00"/>
    <d v="2025-09-10T00:00:00"/>
    <n v="3"/>
    <s v="Valid"/>
    <s v="CUST-1190"/>
    <s v="Karan Malhotra"/>
    <x v="0"/>
    <x v="0"/>
    <s v="Punjab"/>
    <m/>
    <x v="1"/>
    <x v="4"/>
    <s v="Basic Chairs 255"/>
    <x v="1"/>
    <n v="2"/>
    <n v="447.55"/>
    <n v="850.34500000000003"/>
    <n v="0.05"/>
    <n v="0.05"/>
    <s v="Valid"/>
    <s v="Clean"/>
    <n v="850.35"/>
    <n v="600.98"/>
    <n v="249.36500000000001"/>
    <n v="249.37"/>
    <n v="0.29325571823366847"/>
    <s v="Refunded"/>
    <x v="1"/>
  </r>
  <r>
    <s v="ORD-2024-10500"/>
    <s v="Unique"/>
    <x v="8"/>
    <n v="2024"/>
    <d v="2024-12-22T00:00:00"/>
    <d v="2024-12-26T00:00:00"/>
    <n v="4"/>
    <s v="Valid"/>
    <s v="CUST-5604"/>
    <s v="Rahul Verma"/>
    <x v="3"/>
    <x v="0"/>
    <s v="Uttar Pradesh"/>
    <m/>
    <x v="1"/>
    <x v="4"/>
    <s v="Eco Chairs 210"/>
    <x v="3"/>
    <n v="9"/>
    <n v="1110.8699999999999"/>
    <n v="9997.8299999999981"/>
    <n v="0"/>
    <n v="0"/>
    <s v="Valid"/>
    <s v="Clean"/>
    <n v="7498.37"/>
    <n v="6059.07"/>
    <n v="3938.7599999999984"/>
    <n v="1439.3"/>
    <n v="0.19194838344866952"/>
    <s v="Paid"/>
    <x v="1"/>
  </r>
  <r>
    <s v="ORD-2024-10501"/>
    <s v="Unique"/>
    <x v="4"/>
    <n v="2024"/>
    <d v="2024-05-17T00:00:00"/>
    <d v="2024-05-22T00:00:00"/>
    <n v="5"/>
    <s v="Valid"/>
    <s v="CUST-7661"/>
    <s v="Sneha Kapoor"/>
    <x v="0"/>
    <x v="2"/>
    <s v="Kerala"/>
    <m/>
    <x v="2"/>
    <x v="11"/>
    <s v="Prime Phones 533"/>
    <x v="1"/>
    <n v="9"/>
    <n v="3795.99"/>
    <s v="Invalid"/>
    <s v="85%"/>
    <s v="Invalid"/>
    <s v="Invalid"/>
    <s v="Invalid"/>
    <n v="34163.910000000003"/>
    <n v="28577.15"/>
    <s v="Invalid"/>
    <n v="5586.76"/>
    <n v="0.16352812075666981"/>
    <s v="Paid"/>
    <x v="0"/>
  </r>
  <r>
    <s v="ORD-2024-10502"/>
    <s v="Unique"/>
    <x v="1"/>
    <n v="2024"/>
    <d v="2024-08-11T00:00:00"/>
    <d v="2024-08-17T00:00:00"/>
    <n v="6"/>
    <s v="Valid"/>
    <s v="CUST-3710"/>
    <s v="Neha Gupta"/>
    <x v="0"/>
    <x v="1"/>
    <s v="Jharkhand"/>
    <m/>
    <x v="0"/>
    <x v="2"/>
    <s v="Elite Art 325"/>
    <x v="0"/>
    <n v="6"/>
    <n v="3497.54"/>
    <n v="17837.453999999998"/>
    <n v="0.15"/>
    <n v="0.15"/>
    <s v="Valid"/>
    <s v="Clean"/>
    <n v="17837.45"/>
    <n v="13627.02"/>
    <n v="4210.4339999999975"/>
    <n v="4210.43"/>
    <n v="0.23604438975301964"/>
    <s v="Paid"/>
    <x v="0"/>
  </r>
  <r>
    <s v="ORD-2024-10503"/>
    <s v="Unique"/>
    <x v="5"/>
    <n v="2024"/>
    <d v="2024-04-01T00:00:00"/>
    <d v="2024-04-09T00:00:00"/>
    <n v="8"/>
    <s v="Valid"/>
    <s v="CUST-1534"/>
    <s v="Priya Menon"/>
    <x v="1"/>
    <x v="1"/>
    <s v="Odisha"/>
    <m/>
    <x v="2"/>
    <x v="6"/>
    <s v="Prime Copiers 557"/>
    <x v="0"/>
    <n v="6"/>
    <n v="826.93"/>
    <n v="4465.4220000000005"/>
    <n v="0.1"/>
    <n v="0.1"/>
    <s v="Valid"/>
    <s v="Clean"/>
    <n v="4465.42"/>
    <n v="3377.1"/>
    <n v="1088.3220000000006"/>
    <n v="1088.32"/>
    <n v="0.24372175517644476"/>
    <s v="Paid"/>
    <x v="0"/>
  </r>
  <r>
    <s v="ORD-2024-10504"/>
    <s v="Unique"/>
    <x v="7"/>
    <n v="2024"/>
    <d v="2024-09-28T00:00:00"/>
    <d v="2024-10-05T00:00:00"/>
    <n v="7"/>
    <s v="Valid"/>
    <s v="CUST-7422"/>
    <s v="Aarav Sharma"/>
    <x v="0"/>
    <x v="2"/>
    <s v="Tamil Nadu"/>
    <m/>
    <x v="2"/>
    <x v="11"/>
    <s v="Smart Phones 674"/>
    <x v="3"/>
    <n v="7"/>
    <n v="1681.6"/>
    <n v="10594.08"/>
    <n v="0.1"/>
    <n v="0.1"/>
    <s v="Valid"/>
    <s v="Clean"/>
    <n v="10594.08"/>
    <n v="7160.31"/>
    <n v="3433.7699999999995"/>
    <n v="3433.77"/>
    <n v="0.32412158488514342"/>
    <s v="Paid"/>
    <x v="0"/>
  </r>
  <r>
    <s v="ORD-2025-10505"/>
    <s v="Unique"/>
    <x v="6"/>
    <n v="2025"/>
    <d v="2025-02-12T00:00:00"/>
    <d v="2025-02-17T00:00:00"/>
    <n v="5"/>
    <s v="Valid"/>
    <s v="CUST-9693"/>
    <s v="Arjun Bose"/>
    <x v="2"/>
    <x v="3"/>
    <s v="Gujarat"/>
    <m/>
    <x v="0"/>
    <x v="2"/>
    <s v="Elite Art 553"/>
    <x v="3"/>
    <n v="4"/>
    <n v="4328.12"/>
    <n v="17312.48"/>
    <n v="0"/>
    <n v="0"/>
    <s v="Valid"/>
    <s v="Clean"/>
    <n v="17312.48"/>
    <n v="14424.22"/>
    <n v="2888.26"/>
    <n v="2888.26"/>
    <n v="0.16683109525613893"/>
    <s v="Paid"/>
    <x v="0"/>
  </r>
  <r>
    <s v="ORD-2024-10506"/>
    <s v="Unique"/>
    <x v="3"/>
    <n v="2024"/>
    <d v="2024-11-09T00:00:00"/>
    <d v="2024-11-14T00:00:00"/>
    <n v="5"/>
    <s v="Valid"/>
    <s v="CUST-5458"/>
    <s v="Neha Gupta"/>
    <x v="2"/>
    <x v="3"/>
    <s v="Madhya Pradesh"/>
    <m/>
    <x v="0"/>
    <x v="2"/>
    <s v="Classic Art 339"/>
    <x v="2"/>
    <n v="9"/>
    <n v="2438.29"/>
    <n v="17555.688000000002"/>
    <n v="0.2"/>
    <n v="0.2"/>
    <s v="Valid"/>
    <s v="Clean"/>
    <n v="17555.689999999999"/>
    <n v="13293.2"/>
    <n v="4262.4880000000012"/>
    <n v="4262.49"/>
    <n v="0.24279820388717277"/>
    <s v="Paid"/>
    <x v="1"/>
  </r>
  <r>
    <s v="ORD-2024-10507"/>
    <s v="Unique"/>
    <x v="8"/>
    <n v="2024"/>
    <d v="2024-12-15T00:00:00"/>
    <d v="2024-12-15T00:00:00"/>
    <n v="0"/>
    <s v="Valid"/>
    <s v="CUST-3011"/>
    <s v="Aarav Sharma"/>
    <x v="1"/>
    <x v="0"/>
    <s v="Punjab"/>
    <m/>
    <x v="1"/>
    <x v="3"/>
    <s v="Smart Furnishings 352"/>
    <x v="2"/>
    <n v="2"/>
    <n v="669.8"/>
    <n v="1205.6399999999999"/>
    <n v="0.1"/>
    <n v="0.1"/>
    <s v="Valid"/>
    <s v="Clean"/>
    <n v="1205.6400000000001"/>
    <n v="842.07"/>
    <n v="363.56999999999982"/>
    <n v="363.57"/>
    <n v="0.30155767890912705"/>
    <s v="Refunded"/>
    <x v="2"/>
  </r>
  <r>
    <s v="ORD-2025-10508"/>
    <s v="Unique"/>
    <x v="5"/>
    <n v="2025"/>
    <d v="2025-04-15T00:00:00"/>
    <d v="2025-04-22T00:00:00"/>
    <n v="7"/>
    <s v="Valid"/>
    <s v="CUST-1826"/>
    <s v="Isha Nair"/>
    <x v="1"/>
    <x v="0"/>
    <s v="Haryana"/>
    <m/>
    <x v="0"/>
    <x v="9"/>
    <s v="Classic Binders 602"/>
    <x v="1"/>
    <n v="4"/>
    <n v="2990.42"/>
    <n v="8971.26"/>
    <n v="0.25"/>
    <n v="0.25"/>
    <s v="Valid"/>
    <s v="Clean"/>
    <n v="8971.26"/>
    <n v="6814.35"/>
    <n v="2156.91"/>
    <n v="2156.91"/>
    <n v="0.24042442198754688"/>
    <s v="Paid"/>
    <x v="0"/>
  </r>
  <r>
    <s v="ORD-2024-10509"/>
    <s v="Unique"/>
    <x v="11"/>
    <n v="2024"/>
    <d v="2024-03-31T00:00:00"/>
    <d v="2024-04-07T00:00:00"/>
    <n v="7"/>
    <s v="Valid"/>
    <s v="CUST-3333"/>
    <s v="Isha Nair"/>
    <x v="1"/>
    <x v="0"/>
    <s v="Haryana"/>
    <m/>
    <x v="2"/>
    <x v="12"/>
    <s v="Smart Machines 853"/>
    <x v="0"/>
    <n v="4"/>
    <n v="1831"/>
    <n v="7324"/>
    <n v="0"/>
    <n v="0"/>
    <s v="Valid"/>
    <s v="Clean"/>
    <n v="7324"/>
    <n v="4179.63"/>
    <n v="3144.37"/>
    <n v="3144.37"/>
    <n v="0.42932413981430911"/>
    <s v="Paid"/>
    <x v="0"/>
  </r>
  <r>
    <s v="ORD-2025-10510"/>
    <s v="Unique"/>
    <x v="4"/>
    <n v="2025"/>
    <d v="2025-05-12T00:00:00"/>
    <d v="2025-05-14T00:00:00"/>
    <n v="2"/>
    <s v="Valid"/>
    <s v="CUST-7901"/>
    <s v="Neha Gupta"/>
    <x v="0"/>
    <x v="3"/>
    <s v="Gujarat"/>
    <m/>
    <x v="2"/>
    <x v="12"/>
    <s v="Classic Machines 599"/>
    <x v="1"/>
    <n v="8"/>
    <n v="3631.44"/>
    <n v="23241.216"/>
    <n v="0.2"/>
    <n v="0.2"/>
    <s v="Valid"/>
    <s v="Clean"/>
    <n v="23241.22"/>
    <n v="17220.900000000001"/>
    <n v="6020.3159999999989"/>
    <n v="6020.32"/>
    <n v="0.25903631564952267"/>
    <s v="Paid"/>
    <x v="0"/>
  </r>
  <r>
    <s v="ORD-2024-10511"/>
    <s v="Unique"/>
    <x v="9"/>
    <n v="2024"/>
    <d v="2024-10-18T00:00:00"/>
    <d v="2024-10-21T00:00:00"/>
    <n v="3"/>
    <s v="Valid"/>
    <s v="CUST-9759"/>
    <s v="Aarav Sharma"/>
    <x v="0"/>
    <x v="2"/>
    <s v="Karnataka"/>
    <m/>
    <x v="0"/>
    <x v="8"/>
    <s v="Pro Storage 373"/>
    <x v="0"/>
    <n v="2"/>
    <n v="4238.51"/>
    <n v="8477.02"/>
    <n v="0"/>
    <n v="0"/>
    <s v="Valid"/>
    <s v="Clean"/>
    <n v="8477.02"/>
    <n v="6884.96"/>
    <n v="1592.0600000000004"/>
    <n v="1592.06"/>
    <n v="0.18780892341884292"/>
    <s v="Paid"/>
    <x v="0"/>
  </r>
  <r>
    <s v="ORD-2024-10512"/>
    <s v="Unique"/>
    <x v="9"/>
    <n v="2024"/>
    <d v="2024-10-23T00:00:00"/>
    <d v="2024-10-26T00:00:00"/>
    <n v="3"/>
    <s v="Valid"/>
    <s v="CUST-7232"/>
    <s v="Sneha Kapoor"/>
    <x v="0"/>
    <x v="3"/>
    <s v="Madhya Pradesh"/>
    <m/>
    <x v="1"/>
    <x v="10"/>
    <s v="Smart Bookcases 920"/>
    <x v="3"/>
    <n v="9"/>
    <n v="544.27"/>
    <n v="3673.8225000000002"/>
    <n v="0.25"/>
    <n v="0.25"/>
    <s v="Valid"/>
    <s v="Clean"/>
    <n v="3673.82"/>
    <n v="2088.15"/>
    <n v="1585.6725000000001"/>
    <n v="1585.67"/>
    <n v="0.43161341600840541"/>
    <s v="Paid"/>
    <x v="0"/>
  </r>
  <r>
    <s v="ORD-2025-10513"/>
    <s v="Unique"/>
    <x v="11"/>
    <n v="2025"/>
    <d v="2025-03-02T00:00:00"/>
    <d v="2025-03-03T00:00:00"/>
    <n v="1"/>
    <s v="Valid"/>
    <s v="CUST-9943"/>
    <s v="Isha Nair"/>
    <x v="2"/>
    <x v="2"/>
    <s v="Kerala"/>
    <m/>
    <x v="0"/>
    <x v="7"/>
    <s v="Pro Labels 849"/>
    <x v="0"/>
    <n v="2"/>
    <n v="4031.45"/>
    <n v="6047.1749999999993"/>
    <n v="0.25"/>
    <n v="0.25"/>
    <s v="Valid"/>
    <s v="Clean"/>
    <n v="6047.17"/>
    <n v="3368.79"/>
    <n v="2678.3849999999993"/>
    <n v="2678.38"/>
    <n v="0.44291461956584649"/>
    <s v="Paid"/>
    <x v="0"/>
  </r>
  <r>
    <s v="ORD-2025-10514"/>
    <s v="Unique"/>
    <x v="2"/>
    <n v="2025"/>
    <d v="2025-06-27T00:00:00"/>
    <d v="2025-07-02T00:00:00"/>
    <n v="5"/>
    <s v="Valid"/>
    <s v="CUST-8993"/>
    <s v="Aarav Sharma"/>
    <x v="2"/>
    <x v="2"/>
    <s v="Kerala"/>
    <m/>
    <x v="2"/>
    <x v="5"/>
    <s v="Prime Accessories 849"/>
    <x v="2"/>
    <n v="6"/>
    <n v="1099.49"/>
    <n v="5937.246000000001"/>
    <n v="0.1"/>
    <n v="0.1"/>
    <s v="Valid"/>
    <s v="Clean"/>
    <n v="6212.38"/>
    <n v="4088.46"/>
    <n v="1848.786000000001"/>
    <n v="1848.79"/>
    <n v="0.29759770007629927"/>
    <s v="Paid"/>
    <x v="0"/>
  </r>
  <r>
    <s v="ORD-2024-10515"/>
    <s v="Unique"/>
    <x v="3"/>
    <n v="2024"/>
    <d v="2024-11-18T00:00:00"/>
    <d v="2024-11-22T00:00:00"/>
    <n v="4"/>
    <s v="Valid"/>
    <s v="CUST-7729"/>
    <s v="Karan Malhotra"/>
    <x v="3"/>
    <x v="2"/>
    <s v="Kerala"/>
    <m/>
    <x v="2"/>
    <x v="5"/>
    <s v="Smart Accessories 388"/>
    <x v="3"/>
    <n v="6"/>
    <n v="3872.94"/>
    <n v="20913.876"/>
    <n v="0.1"/>
    <n v="0.1"/>
    <s v="Valid"/>
    <s v="Clean"/>
    <n v="20913.88"/>
    <n v="11684.68"/>
    <n v="9229.1959999999999"/>
    <n v="9229.2000000000007"/>
    <n v="0.44129544589526193"/>
    <s v="Paid"/>
    <x v="0"/>
  </r>
  <r>
    <s v="ORD-2025-10516"/>
    <s v="Unique"/>
    <x v="5"/>
    <n v="2025"/>
    <d v="2025-04-11T00:00:00"/>
    <d v="2025-04-11T00:00:00"/>
    <n v="0"/>
    <s v="Valid"/>
    <s v="CUST-9986"/>
    <s v="Rahul Verma"/>
    <x v="2"/>
    <x v="0"/>
    <s v="Delhi"/>
    <m/>
    <x v="0"/>
    <x v="0"/>
    <s v="Classic Paper 752"/>
    <x v="3"/>
    <n v="1"/>
    <n v="4458.49"/>
    <s v="Invalid"/>
    <n v="-7.0000000000000007E-2"/>
    <s v="Invalid"/>
    <s v="Invalid"/>
    <s v="Invalid"/>
    <n v="3566.79"/>
    <n v="2083.41"/>
    <s v="Invalid"/>
    <n v="1483.38"/>
    <n v="0.41588655345562819"/>
    <s v="Paid"/>
    <x v="0"/>
  </r>
  <r>
    <s v="ORD-2024-10517"/>
    <s v="Unique"/>
    <x v="7"/>
    <n v="2024"/>
    <d v="2024-09-28T00:00:00"/>
    <d v="2024-10-04T00:00:00"/>
    <n v="6"/>
    <s v="Valid"/>
    <s v="CUST-2731"/>
    <s v="Kabir Singh"/>
    <x v="3"/>
    <x v="0"/>
    <s v="Delhi"/>
    <m/>
    <x v="2"/>
    <x v="6"/>
    <s v="Classic Copiers 143"/>
    <x v="3"/>
    <n v="1"/>
    <n v="2233.1799999999998"/>
    <n v="2233.1799999999998"/>
    <n v="0"/>
    <n v="0"/>
    <s v="Valid"/>
    <s v="Clean"/>
    <n v="2233.1799999999998"/>
    <n v="1585.82"/>
    <n v="647.3599999999999"/>
    <n v="647.36"/>
    <n v="0.28988258895386848"/>
    <s v="Failed"/>
    <x v="2"/>
  </r>
  <r>
    <s v="ORD-2025-10518"/>
    <s v="Unique"/>
    <x v="4"/>
    <n v="2025"/>
    <d v="2025-05-25T00:00:00"/>
    <d v="2025-05-27T00:00:00"/>
    <n v="2"/>
    <s v="Valid"/>
    <s v="CUST-4235"/>
    <s v="Rahul Verma"/>
    <x v="0"/>
    <x v="1"/>
    <s v="Odisha"/>
    <m/>
    <x v="1"/>
    <x v="3"/>
    <s v="Basic Furnishings 386"/>
    <x v="0"/>
    <n v="7"/>
    <n v="2123.2800000000002"/>
    <n v="11890.368000000002"/>
    <n v="0.2"/>
    <n v="0.2"/>
    <s v="Valid"/>
    <s v="Clean"/>
    <n v="11890.37"/>
    <n v="9234.5300000000007"/>
    <n v="2655.8380000000016"/>
    <n v="2655.84"/>
    <n v="0.22336058507851311"/>
    <s v="Refunded"/>
    <x v="2"/>
  </r>
  <r>
    <s v="ORD-2025-10519"/>
    <s v="Unique"/>
    <x v="5"/>
    <n v="2025"/>
    <d v="2025-04-30T00:00:00"/>
    <d v="2025-04-26T00:00:00"/>
    <n v="-4"/>
    <s v="Invalid: Ship Date Before Order Date"/>
    <s v="CUST-3377"/>
    <s v="Diya Patel"/>
    <x v="2"/>
    <x v="1"/>
    <s v="Odisha"/>
    <m/>
    <x v="1"/>
    <x v="1"/>
    <s v="Classic Tables 592"/>
    <x v="2"/>
    <n v="7"/>
    <n v="1604.13"/>
    <n v="8421.682499999999"/>
    <n v="0.25"/>
    <n v="0.25"/>
    <s v="Valid"/>
    <s v="Invalid"/>
    <n v="8421.68"/>
    <n v="6534.47"/>
    <n v="1887.2124999999987"/>
    <n v="1887.21"/>
    <n v="0.22408949283278395"/>
    <s v="Paid"/>
    <x v="1"/>
  </r>
  <r>
    <s v="ORD-2025-10520"/>
    <s v="Unique"/>
    <x v="0"/>
    <n v="2025"/>
    <d v="2025-07-03T00:00:00"/>
    <d v="2025-07-07T00:00:00"/>
    <n v="4"/>
    <s v="Valid"/>
    <s v="CUST-3258"/>
    <s v="Priya Menon"/>
    <x v="0"/>
    <x v="0"/>
    <s v="Uttar Pradesh"/>
    <m/>
    <x v="1"/>
    <x v="1"/>
    <s v="Pro Tables 412"/>
    <x v="3"/>
    <n v="4"/>
    <n v="4365.21"/>
    <n v="13968.672"/>
    <n v="0.2"/>
    <n v="0.2"/>
    <s v="Valid"/>
    <s v="Clean"/>
    <n v="13968.67"/>
    <n v="8857.58"/>
    <n v="5111.0920000000006"/>
    <n v="5111.09"/>
    <n v="0.3658966816454251"/>
    <s v="Pending"/>
    <x v="1"/>
  </r>
  <r>
    <s v="ORD-2024-10521"/>
    <s v="Unique"/>
    <x v="0"/>
    <n v="2024"/>
    <d v="2024-07-16T00:00:00"/>
    <d v="2024-07-23T00:00:00"/>
    <n v="7"/>
    <s v="Valid"/>
    <s v="CUST-2155"/>
    <s v="Aarav Sharma"/>
    <x v="3"/>
    <x v="2"/>
    <s v="Karnataka"/>
    <m/>
    <x v="2"/>
    <x v="12"/>
    <s v="Prime Machines 393"/>
    <x v="1"/>
    <n v="1"/>
    <n v="1695.91"/>
    <n v="1611.1144999999999"/>
    <n v="0.05"/>
    <n v="0.05"/>
    <s v="Valid"/>
    <s v="Clean"/>
    <n v="1611.11"/>
    <n v="895.15"/>
    <n v="715.96449999999993"/>
    <n v="715.96"/>
    <n v="0.44438927199260142"/>
    <s v="Paid"/>
    <x v="0"/>
  </r>
  <r>
    <s v="ORD-2025-10522"/>
    <s v="Unique"/>
    <x v="11"/>
    <n v="2025"/>
    <d v="2025-03-25T00:00:00"/>
    <d v="2025-04-01T00:00:00"/>
    <n v="7"/>
    <s v="Valid"/>
    <s v="CUST-8012"/>
    <s v="Diya Patel"/>
    <x v="0"/>
    <x v="0"/>
    <s v="Punjab"/>
    <m/>
    <x v="0"/>
    <x v="7"/>
    <s v="Classic Labels 776"/>
    <x v="0"/>
    <n v="6"/>
    <n v="2192.11"/>
    <n v="12495.027"/>
    <n v="0.05"/>
    <n v="0.05"/>
    <s v="Valid"/>
    <s v="Clean"/>
    <n v="12495.03"/>
    <n v="9184.52"/>
    <n v="3310.5069999999996"/>
    <n v="3310.51"/>
    <n v="0.26494614258629229"/>
    <s v="Paid"/>
    <x v="0"/>
  </r>
  <r>
    <s v="ORD-2025-10523"/>
    <s v="Unique"/>
    <x v="6"/>
    <n v="2025"/>
    <d v="2025-02-28T00:00:00"/>
    <d v="2025-03-08T00:00:00"/>
    <n v="8"/>
    <s v="Valid"/>
    <s v="CUST-2917"/>
    <s v="Neha Gupta"/>
    <x v="1"/>
    <x v="1"/>
    <s v="Jharkhand"/>
    <m/>
    <x v="2"/>
    <x v="11"/>
    <s v="Max Phones 612"/>
    <x v="2"/>
    <n v="9"/>
    <n v="3670.54"/>
    <n v="33034.86"/>
    <n v="0"/>
    <n v="0"/>
    <s v="Valid"/>
    <s v="Clean"/>
    <n v="33034.86"/>
    <n v="24539.83"/>
    <n v="8495.0299999999988"/>
    <n v="8495.0300000000007"/>
    <n v="0.25715350390466313"/>
    <s v="Paid"/>
    <x v="0"/>
  </r>
  <r>
    <s v="ORD-2024-10524"/>
    <s v="Unique"/>
    <x v="5"/>
    <n v="2024"/>
    <d v="2024-04-02T00:00:00"/>
    <d v="2024-04-03T00:00:00"/>
    <n v="1"/>
    <s v="Valid"/>
    <s v="CUST-4653"/>
    <s v="Kabir Singh"/>
    <x v="3"/>
    <x v="3"/>
    <s v="Goa"/>
    <m/>
    <x v="0"/>
    <x v="0"/>
    <s v="Basic Paper 315"/>
    <x v="0"/>
    <n v="2"/>
    <n v="2902.63"/>
    <n v="5805.26"/>
    <n v="0"/>
    <n v="0"/>
    <s v="Valid"/>
    <s v="Clean"/>
    <n v="5805.26"/>
    <n v="4654.3599999999997"/>
    <n v="1150.9000000000005"/>
    <n v="1150.9000000000001"/>
    <n v="0.19825124111581566"/>
    <s v="Paid"/>
    <x v="2"/>
  </r>
  <r>
    <s v="ORD-2024-10525"/>
    <s v="Unique"/>
    <x v="3"/>
    <n v="2024"/>
    <d v="2024-11-30T00:00:00"/>
    <d v="2024-12-01T00:00:00"/>
    <n v="1"/>
    <s v="Valid"/>
    <s v="CUST-3311"/>
    <s v="Ananya Rao"/>
    <x v="2"/>
    <x v="3"/>
    <s v="Gujarat"/>
    <m/>
    <x v="1"/>
    <x v="4"/>
    <s v="Basic Chairs 333"/>
    <x v="2"/>
    <n v="9"/>
    <n v="4207.3599999999997"/>
    <n v="34079.616000000002"/>
    <n v="0.1"/>
    <n v="0.1"/>
    <s v="Valid"/>
    <s v="Clean"/>
    <n v="34079.620000000003"/>
    <n v="21871.39"/>
    <n v="12208.226000000002"/>
    <n v="12208.23"/>
    <n v="0.35822670557946357"/>
    <s v="Paid"/>
    <x v="0"/>
  </r>
  <r>
    <s v="ORD-2024-10526"/>
    <s v="Unique"/>
    <x v="9"/>
    <n v="2024"/>
    <d v="2024-10-17T00:00:00"/>
    <d v="2024-10-17T00:00:00"/>
    <n v="0"/>
    <s v="Valid"/>
    <s v="CUST-2924"/>
    <s v="Priya Menon"/>
    <x v="3"/>
    <x v="1"/>
    <s v="West Bengal"/>
    <m/>
    <x v="1"/>
    <x v="4"/>
    <s v="Prime Chairs 215"/>
    <x v="3"/>
    <n v="5"/>
    <n v="2524.4"/>
    <n v="11359.800000000001"/>
    <n v="0.1"/>
    <n v="0.1"/>
    <s v="Valid"/>
    <s v="Clean"/>
    <n v="11359.8"/>
    <n v="7062.44"/>
    <n v="4297.3600000000015"/>
    <n v="4297.3599999999997"/>
    <n v="0.37829539252451627"/>
    <s v="Paid"/>
    <x v="0"/>
  </r>
  <r>
    <s v="ORD-2025-10527"/>
    <s v="Unique"/>
    <x v="0"/>
    <n v="2025"/>
    <d v="2025-07-18T00:00:00"/>
    <d v="2025-07-21T00:00:00"/>
    <n v="3"/>
    <s v="Valid"/>
    <s v="CUST-7198"/>
    <s v="Priya Menon"/>
    <x v="0"/>
    <x v="1"/>
    <s v="Odisha"/>
    <m/>
    <x v="1"/>
    <x v="1"/>
    <s v="Elite Tables 815"/>
    <x v="0"/>
    <n v="4"/>
    <n v="284.04000000000002"/>
    <n v="1136.1600000000001"/>
    <n v="0"/>
    <n v="0"/>
    <s v="Valid"/>
    <s v="Clean"/>
    <n v="908.93"/>
    <n v="572.08000000000004"/>
    <n v="564.08000000000004"/>
    <n v="336.85"/>
    <n v="0.37060059630554615"/>
    <s v="Paid"/>
    <x v="0"/>
  </r>
  <r>
    <s v="ORD-2025-10528"/>
    <s v="Unique"/>
    <x v="9"/>
    <n v="2025"/>
    <d v="2025-10-01T00:00:00"/>
    <d v="2025-10-05T00:00:00"/>
    <n v="4"/>
    <s v="Valid"/>
    <s v="CUST-3419"/>
    <s v="Aditi Sen"/>
    <x v="3"/>
    <x v="0"/>
    <s v="Haryana"/>
    <m/>
    <x v="0"/>
    <x v="0"/>
    <s v="Basic Paper 388"/>
    <x v="2"/>
    <n v="5"/>
    <n v="3247.56"/>
    <n v="13802.13"/>
    <n v="0.15"/>
    <n v="0.15"/>
    <s v="Valid"/>
    <s v="Clean"/>
    <n v="13802.13"/>
    <n v="10075.93"/>
    <n v="3726.1999999999989"/>
    <n v="3726.2"/>
    <n v="0.26997282303528514"/>
    <s v="Paid"/>
    <x v="0"/>
  </r>
  <r>
    <s v="ORD-2024-10529"/>
    <s v="Unique"/>
    <x v="9"/>
    <n v="2024"/>
    <d v="2024-10-07T00:00:00"/>
    <d v="2024-10-09T00:00:00"/>
    <n v="2"/>
    <s v="Valid"/>
    <s v="CUST-2390"/>
    <s v="Diya Patel"/>
    <x v="0"/>
    <x v="2"/>
    <s v="Tamil Nadu"/>
    <m/>
    <x v="0"/>
    <x v="9"/>
    <s v="Eco Binders 855"/>
    <x v="3"/>
    <n v="9"/>
    <n v="3457.09"/>
    <n v="29558.119500000001"/>
    <n v="0.05"/>
    <n v="0.05"/>
    <s v="Valid"/>
    <s v="Clean"/>
    <n v="29558.12"/>
    <n v="21302.13"/>
    <n v="8255.9894999999997"/>
    <n v="8255.99"/>
    <n v="0.27931377232381494"/>
    <s v="Pending"/>
    <x v="2"/>
  </r>
  <r>
    <s v="ORD-2024-10530"/>
    <s v="Unique"/>
    <x v="6"/>
    <n v="2024"/>
    <d v="2024-02-06T00:00:00"/>
    <d v="2024-02-08T00:00:00"/>
    <n v="2"/>
    <s v="Valid"/>
    <s v="CUST-3362"/>
    <s v="Karan Malhotra"/>
    <x v="0"/>
    <x v="1"/>
    <s v="Jharkhand"/>
    <m/>
    <x v="1"/>
    <x v="10"/>
    <s v="Classic Bookcases 947"/>
    <x v="0"/>
    <n v="9"/>
    <n v="1822.25"/>
    <n v="16400.25"/>
    <n v="0"/>
    <n v="0"/>
    <s v="Valid"/>
    <s v="Clean"/>
    <n v="16400.25"/>
    <n v="12146.96"/>
    <n v="4253.2900000000009"/>
    <n v="4253.29"/>
    <n v="0.25934299782015519"/>
    <s v="Paid"/>
    <x v="0"/>
  </r>
  <r>
    <s v="ORD-2025-10531"/>
    <s v="Unique"/>
    <x v="4"/>
    <n v="2025"/>
    <d v="2025-05-30T00:00:00"/>
    <d v="2025-06-01T00:00:00"/>
    <n v="2"/>
    <s v="Valid"/>
    <s v="CUST-8177"/>
    <s v="Rahul Verma"/>
    <x v="3"/>
    <x v="2"/>
    <s v="Tamil Nadu"/>
    <m/>
    <x v="0"/>
    <x v="9"/>
    <s v="Eco Binders 352"/>
    <x v="3"/>
    <n v="9"/>
    <n v="1994.51"/>
    <n v="17053.0605"/>
    <n v="0.05"/>
    <n v="0.05"/>
    <s v="Valid"/>
    <s v="Clean"/>
    <n v="17053.060000000001"/>
    <n v="10742.38"/>
    <n v="6310.6805000000004"/>
    <n v="6310.68"/>
    <n v="0.37006144351805481"/>
    <s v="Paid"/>
    <x v="0"/>
  </r>
  <r>
    <s v="ORD-2024-10532"/>
    <s v="Unique"/>
    <x v="1"/>
    <n v="2024"/>
    <d v="2024-08-01T00:00:00"/>
    <d v="2024-08-08T00:00:00"/>
    <n v="7"/>
    <s v="Valid"/>
    <s v="CUST-6357"/>
    <s v="Diya Patel"/>
    <x v="1"/>
    <x v="3"/>
    <s v="Maharashtra"/>
    <m/>
    <x v="0"/>
    <x v="8"/>
    <s v="Pro Storage 364"/>
    <x v="4"/>
    <n v="1"/>
    <n v="442.97"/>
    <n v="398.67300000000006"/>
    <n v="0.1"/>
    <n v="0.1"/>
    <s v="Valid"/>
    <s v="Clean"/>
    <n v="398.67"/>
    <n v="311.66000000000003"/>
    <n v="87.013000000000034"/>
    <n v="87.01"/>
    <n v="0.21825068352271301"/>
    <s v="Paid"/>
    <x v="0"/>
  </r>
  <r>
    <s v="ORD-2025-10533"/>
    <s v="Unique"/>
    <x v="9"/>
    <n v="2025"/>
    <d v="2025-10-05T00:00:00"/>
    <d v="2025-10-10T00:00:00"/>
    <n v="5"/>
    <s v="Valid"/>
    <s v="CUST-7690"/>
    <s v="Priya Menon"/>
    <x v="2"/>
    <x v="1"/>
    <s v="Assam"/>
    <m/>
    <x v="1"/>
    <x v="1"/>
    <s v="Classic Tables 213"/>
    <x v="0"/>
    <n v="9"/>
    <n v="2089.14"/>
    <n v="17862.146999999997"/>
    <n v="0.05"/>
    <n v="0.05"/>
    <s v="Valid"/>
    <s v="Clean"/>
    <n v="17862.150000000001"/>
    <n v="9892.2099999999991"/>
    <n v="7969.9369999999981"/>
    <n v="7969.94"/>
    <n v="0.44619152789557803"/>
    <s v="Failed"/>
    <x v="1"/>
  </r>
  <r>
    <s v="ORD-2024-10534"/>
    <s v="Unique"/>
    <x v="1"/>
    <n v="2024"/>
    <d v="2024-08-25T00:00:00"/>
    <d v="2024-09-01T00:00:00"/>
    <n v="7"/>
    <s v="Valid"/>
    <s v="CUST-4487"/>
    <s v="Isha Nair"/>
    <x v="3"/>
    <x v="0"/>
    <s v="Rajasthan"/>
    <m/>
    <x v="1"/>
    <x v="1"/>
    <s v="Smart Tables 659"/>
    <x v="1"/>
    <n v="6"/>
    <n v="481.3"/>
    <n v="2165.8500000000004"/>
    <n v="0.25"/>
    <n v="0.25"/>
    <s v="Valid"/>
    <s v="Clean"/>
    <n v="2165.85"/>
    <n v="2124.48"/>
    <n v="41.370000000000346"/>
    <n v="430.45"/>
    <n v="0.19874414202276242"/>
    <s v="Paid"/>
    <x v="0"/>
  </r>
  <r>
    <s v="ORD-2025-10535"/>
    <s v="Unique"/>
    <x v="5"/>
    <n v="2025"/>
    <d v="2025-04-27T00:00:00"/>
    <d v="2025-05-05T00:00:00"/>
    <n v="8"/>
    <s v="Valid"/>
    <s v="CUST-8204"/>
    <s v="Rohan Mehta"/>
    <x v="3"/>
    <x v="1"/>
    <s v="Bihar"/>
    <m/>
    <x v="2"/>
    <x v="5"/>
    <s v="Classic Accessories 325"/>
    <x v="0"/>
    <n v="4"/>
    <n v="3963.39"/>
    <n v="14268.204"/>
    <n v="0.1"/>
    <n v="0.1"/>
    <s v="Valid"/>
    <s v="Clean"/>
    <n v="14268.2"/>
    <n v="11705.3"/>
    <n v="2562.9040000000005"/>
    <n v="2562.9"/>
    <n v="0.17962321806534812"/>
    <s v="Pending"/>
    <x v="2"/>
  </r>
  <r>
    <s v="ORD-2024-10536"/>
    <s v="Unique"/>
    <x v="4"/>
    <n v="2024"/>
    <d v="2024-05-19T00:00:00"/>
    <d v="2024-05-21T00:00:00"/>
    <n v="2"/>
    <s v="Valid"/>
    <s v="CUST-1729"/>
    <s v="Diya Patel"/>
    <x v="1"/>
    <x v="3"/>
    <s v="Maharashtra"/>
    <m/>
    <x v="2"/>
    <x v="6"/>
    <s v="Eco Copiers 243"/>
    <x v="2"/>
    <n v="3"/>
    <n v="4000.98"/>
    <n v="9602.3520000000008"/>
    <n v="0.2"/>
    <n v="0.2"/>
    <s v="Valid"/>
    <s v="Clean"/>
    <n v="9602.35"/>
    <n v="7387.57"/>
    <n v="2214.7820000000011"/>
    <n v="2214.7800000000002"/>
    <n v="0.23064978885377019"/>
    <s v="Paid"/>
    <x v="0"/>
  </r>
  <r>
    <s v="ORD-2025-10537"/>
    <s v="Unique"/>
    <x v="5"/>
    <n v="2025"/>
    <d v="2025-04-10T00:00:00"/>
    <d v="2025-04-17T00:00:00"/>
    <n v="7"/>
    <s v="Valid"/>
    <s v="CUST-4269"/>
    <s v="Ananya Rao"/>
    <x v="1"/>
    <x v="3"/>
    <s v="Rajasthan"/>
    <m/>
    <x v="1"/>
    <x v="4"/>
    <s v="Elite Chairs 777"/>
    <x v="2"/>
    <n v="7"/>
    <n v="3788.9"/>
    <n v="19891.724999999999"/>
    <n v="0.25"/>
    <n v="0.25"/>
    <s v="Valid"/>
    <s v="Clean"/>
    <n v="19891.72"/>
    <n v="12295.76"/>
    <n v="7595.9649999999983"/>
    <n v="7595.96"/>
    <n v="0.38186541938052615"/>
    <s v="Failed"/>
    <x v="1"/>
  </r>
  <r>
    <s v="ORD-2024-10538"/>
    <s v="Unique"/>
    <x v="10"/>
    <n v="2024"/>
    <d v="2024-01-22T00:00:00"/>
    <d v="2024-01-30T00:00:00"/>
    <n v="8"/>
    <s v="Valid"/>
    <s v="CUST-1370"/>
    <s v="Ananya Rao"/>
    <x v="1"/>
    <x v="0"/>
    <s v="Haryana"/>
    <m/>
    <x v="0"/>
    <x v="2"/>
    <s v="Classic Art 772"/>
    <x v="1"/>
    <n v="3"/>
    <n v="676.37"/>
    <n v="1927.6545000000001"/>
    <n v="0.05"/>
    <n v="0.05"/>
    <s v="Valid"/>
    <s v="Clean"/>
    <n v="1927.65"/>
    <n v="1460.6"/>
    <n v="467.05450000000019"/>
    <n v="467.05"/>
    <n v="0.24228983477291002"/>
    <s v="Failed"/>
    <x v="1"/>
  </r>
  <r>
    <s v="ORD-2024-10539"/>
    <s v="Unique"/>
    <x v="7"/>
    <n v="2024"/>
    <d v="2024-09-25T00:00:00"/>
    <d v="2024-10-01T00:00:00"/>
    <n v="6"/>
    <s v="Valid"/>
    <s v="CUST-5381"/>
    <s v="Diya Patel"/>
    <x v="1"/>
    <x v="1"/>
    <s v="Jharkhand"/>
    <m/>
    <x v="1"/>
    <x v="1"/>
    <s v="Elite Tables 888"/>
    <x v="0"/>
    <n v="9"/>
    <n v="3908.6"/>
    <n v="29900.79"/>
    <n v="0.15"/>
    <n v="0.15"/>
    <s v="Valid"/>
    <s v="Clean"/>
    <n v="29900.79"/>
    <n v="24650.67"/>
    <n v="5250.1200000000026"/>
    <n v="5250.12"/>
    <n v="0.17558465846554555"/>
    <s v="Paid"/>
    <x v="0"/>
  </r>
  <r>
    <s v="ORD-2025-10540"/>
    <s v="Unique"/>
    <x v="0"/>
    <n v="2025"/>
    <d v="2025-07-04T00:00:00"/>
    <d v="2025-07-04T00:00:00"/>
    <n v="0"/>
    <s v="Valid"/>
    <s v="CUST-3694"/>
    <s v="Mira Das"/>
    <x v="1"/>
    <x v="2"/>
    <s v="Tamil Nadu"/>
    <m/>
    <x v="1"/>
    <x v="4"/>
    <s v="Classic Chairs 666"/>
    <x v="3"/>
    <n v="3"/>
    <n v="705.35"/>
    <n v="1904.4450000000002"/>
    <n v="0.1"/>
    <n v="0.1"/>
    <s v="Valid"/>
    <s v="Clean"/>
    <n v="1904.45"/>
    <n v="1316.54"/>
    <n v="587.9050000000002"/>
    <n v="587.91"/>
    <n v="0.30870330016540204"/>
    <s v="Paid"/>
    <x v="1"/>
  </r>
  <r>
    <s v="ORD-2024-10541"/>
    <s v="Unique"/>
    <x v="6"/>
    <n v="2024"/>
    <d v="2024-02-26T00:00:00"/>
    <d v="2024-02-23T00:00:00"/>
    <n v="-3"/>
    <s v="Invalid: Ship Date Before Order Date"/>
    <s v="CUST-7563"/>
    <s v="Kabir Singh"/>
    <x v="0"/>
    <x v="3"/>
    <s v="Gujarat"/>
    <m/>
    <x v="1"/>
    <x v="3"/>
    <s v="Basic Furnishings 350"/>
    <x v="3"/>
    <n v="7"/>
    <n v="3852.07"/>
    <n v="21571.592000000004"/>
    <n v="0.2"/>
    <n v="0.2"/>
    <s v="Valid"/>
    <s v="Invalid"/>
    <n v="21571.59"/>
    <n v="17118.07"/>
    <n v="4453.5220000000045"/>
    <n v="4453.5200000000004"/>
    <n v="0.20645302455683612"/>
    <s v="Paid"/>
    <x v="0"/>
  </r>
  <r>
    <s v="ORD-2025-10542"/>
    <s v="Unique"/>
    <x v="0"/>
    <n v="2025"/>
    <d v="2025-07-08T00:00:00"/>
    <d v="2025-07-09T00:00:00"/>
    <n v="1"/>
    <s v="Valid"/>
    <s v="CUST-4188"/>
    <s v="Sneha Kapoor"/>
    <x v="0"/>
    <x v="3"/>
    <s v="Maharashtra"/>
    <m/>
    <x v="2"/>
    <x v="6"/>
    <s v="Elite Copiers 831"/>
    <x v="1"/>
    <n v="3"/>
    <n v="2880.56"/>
    <n v="8641.68"/>
    <n v="0"/>
    <n v="0"/>
    <s v="Valid"/>
    <s v="Clean"/>
    <n v="8641.68"/>
    <n v="5747.09"/>
    <n v="2894.59"/>
    <n v="2894.59"/>
    <n v="0.33495686024013849"/>
    <s v="Paid"/>
    <x v="2"/>
  </r>
  <r>
    <s v="ORD-2024-10543"/>
    <s v="Unique"/>
    <x v="7"/>
    <n v="2024"/>
    <d v="2024-09-17T00:00:00"/>
    <d v="2024-09-23T00:00:00"/>
    <n v="6"/>
    <s v="Valid"/>
    <s v="CUST-9376"/>
    <s v="Rahul Verma"/>
    <x v="3"/>
    <x v="2"/>
    <s v="Kerala"/>
    <m/>
    <x v="1"/>
    <x v="10"/>
    <s v="Eco Bookcases 759"/>
    <x v="0"/>
    <n v="3"/>
    <n v="4067.62"/>
    <n v="9762.2880000000005"/>
    <n v="0.2"/>
    <n v="0.2"/>
    <s v="Valid"/>
    <s v="Clean"/>
    <n v="9988.5300000000007"/>
    <n v="8368.24"/>
    <n v="1394.0480000000007"/>
    <n v="1394.05"/>
    <n v="0.13956508114807684"/>
    <s v="Paid"/>
    <x v="1"/>
  </r>
  <r>
    <s v="ORD-2024-10544"/>
    <s v="Unique"/>
    <x v="0"/>
    <n v="2024"/>
    <d v="2024-07-14T00:00:00"/>
    <d v="2024-07-20T00:00:00"/>
    <n v="6"/>
    <s v="Valid"/>
    <s v="CUST-9094"/>
    <s v="Mira Das"/>
    <x v="0"/>
    <x v="1"/>
    <s v="Bihar"/>
    <m/>
    <x v="2"/>
    <x v="6"/>
    <s v="Max Copiers 440"/>
    <x v="1"/>
    <n v="1"/>
    <n v="492.67"/>
    <n v="418.76949999999999"/>
    <n v="0.15"/>
    <n v="0.15"/>
    <s v="Valid"/>
    <s v="Clean"/>
    <n v="418.77"/>
    <n v="313.72000000000003"/>
    <n v="105.04949999999997"/>
    <n v="105.05"/>
    <n v="0.25085369057000262"/>
    <s v="Paid"/>
    <x v="0"/>
  </r>
  <r>
    <s v="ORD-2025-10545"/>
    <s v="Unique"/>
    <x v="10"/>
    <n v="2025"/>
    <d v="2025-01-29T00:00:00"/>
    <d v="2025-02-05T00:00:00"/>
    <n v="7"/>
    <s v="Valid"/>
    <s v="CUST-2366"/>
    <s v="Ananya Rao"/>
    <x v="0"/>
    <x v="2"/>
    <s v="Kerala"/>
    <m/>
    <x v="0"/>
    <x v="2"/>
    <s v="Smart Art 201"/>
    <x v="1"/>
    <n v="8"/>
    <n v="3643.62"/>
    <n v="21861.72"/>
    <n v="0.25"/>
    <n v="0.25"/>
    <s v="Valid"/>
    <s v="Clean"/>
    <n v="21861.72"/>
    <n v="18464.34"/>
    <n v="3397.380000000001"/>
    <n v="3397.38"/>
    <n v="0.15540314302808744"/>
    <s v="Paid"/>
    <x v="1"/>
  </r>
  <r>
    <s v="ORD-2024-10546"/>
    <s v="Unique"/>
    <x v="4"/>
    <n v="2024"/>
    <d v="2024-05-27T00:00:00"/>
    <d v="2024-05-30T00:00:00"/>
    <n v="3"/>
    <s v="Valid"/>
    <s v="CUST-7168"/>
    <s v="Kabir Singh"/>
    <x v="1"/>
    <x v="1"/>
    <s v="Jharkhand"/>
    <m/>
    <x v="0"/>
    <x v="8"/>
    <s v="Classic Storage 755"/>
    <x v="1"/>
    <n v="7"/>
    <n v="2900.86"/>
    <n v="17260.116999999998"/>
    <n v="0.15"/>
    <n v="0.15"/>
    <s v="Valid"/>
    <s v="Clean"/>
    <n v="17260.12"/>
    <n v="13513.51"/>
    <n v="3746.6069999999982"/>
    <n v="3746.61"/>
    <n v="0.21706743637935311"/>
    <s v="Paid"/>
    <x v="0"/>
  </r>
  <r>
    <s v="ORD-2025-10547"/>
    <s v="Unique"/>
    <x v="1"/>
    <n v="2025"/>
    <d v="2025-08-14T00:00:00"/>
    <d v="2025-08-22T00:00:00"/>
    <n v="8"/>
    <s v="Valid"/>
    <s v="CUST-8157"/>
    <s v="Arjun Bose"/>
    <x v="2"/>
    <x v="3"/>
    <s v="Gujarat"/>
    <m/>
    <x v="0"/>
    <x v="0"/>
    <s v="Prime Paper 143"/>
    <x v="2"/>
    <n v="5"/>
    <n v="2567.37"/>
    <n v="10911.322499999998"/>
    <n v="0.15"/>
    <n v="0.15"/>
    <s v="Valid"/>
    <s v="Clean"/>
    <n v="10911.32"/>
    <n v="6966.44"/>
    <n v="3944.8824999999988"/>
    <n v="4395.17"/>
    <n v="0.40280827617556814"/>
    <s v="Paid"/>
    <x v="0"/>
  </r>
  <r>
    <s v="ORD-2024-10548"/>
    <s v="Unique"/>
    <x v="4"/>
    <n v="2024"/>
    <d v="2024-05-16T00:00:00"/>
    <d v="2024-05-23T00:00:00"/>
    <n v="7"/>
    <s v="Valid"/>
    <s v="CUST-9146"/>
    <s v="Neha Gupta"/>
    <x v="1"/>
    <x v="0"/>
    <s v="Uttar Pradesh"/>
    <m/>
    <x v="2"/>
    <x v="6"/>
    <s v="Max Copiers 607"/>
    <x v="3"/>
    <n v="9"/>
    <n v="3722.09"/>
    <n v="30148.929"/>
    <n v="0.1"/>
    <n v="0.1"/>
    <s v="Valid"/>
    <s v="Clean"/>
    <n v="30148.93"/>
    <n v="25155.07"/>
    <n v="4993.8590000000004"/>
    <n v="4993.8599999999997"/>
    <n v="0.16563970926994753"/>
    <s v="Paid"/>
    <x v="0"/>
  </r>
  <r>
    <s v="ORD-2024-10549"/>
    <s v="Unique"/>
    <x v="4"/>
    <n v="2024"/>
    <d v="2024-05-29T00:00:00"/>
    <d v="2024-05-29T00:00:00"/>
    <n v="0"/>
    <s v="Valid"/>
    <s v="CUST-5129"/>
    <s v="Rohan Mehta"/>
    <x v="2"/>
    <x v="1"/>
    <s v="Bihar"/>
    <m/>
    <x v="1"/>
    <x v="10"/>
    <s v="Prime Bookcases 402"/>
    <x v="1"/>
    <n v="1"/>
    <n v="1072.01"/>
    <n v="1072.01"/>
    <n v="0"/>
    <n v="0"/>
    <s v="Valid"/>
    <s v="Clean"/>
    <n v="1072.01"/>
    <n v="852.62"/>
    <n v="219.39"/>
    <n v="219.39"/>
    <n v="0.20465294167032022"/>
    <s v="Pending"/>
    <x v="1"/>
  </r>
  <r>
    <s v="ORD-2025-10550"/>
    <s v="Unique"/>
    <x v="9"/>
    <n v="2025"/>
    <d v="2025-10-11T00:00:00"/>
    <d v="2025-10-13T00:00:00"/>
    <n v="2"/>
    <s v="Valid"/>
    <s v="CUST-6028"/>
    <s v="Mira Das"/>
    <x v="2"/>
    <x v="2"/>
    <s v="Telangana"/>
    <m/>
    <x v="0"/>
    <x v="2"/>
    <s v="Pro Art 287"/>
    <x v="0"/>
    <n v="3"/>
    <n v="3804.27"/>
    <n v="10271.529"/>
    <n v="0.1"/>
    <n v="0.1"/>
    <s v="Valid"/>
    <s v="Clean"/>
    <n v="10271.530000000001"/>
    <n v="8272.24"/>
    <n v="1999.2890000000007"/>
    <n v="1999.29"/>
    <n v="0.19464383592317794"/>
    <s v="Paid"/>
    <x v="0"/>
  </r>
  <r>
    <s v="ORD-2024-10551"/>
    <s v="Unique"/>
    <x v="1"/>
    <n v="2024"/>
    <d v="2024-08-02T00:00:00"/>
    <d v="2024-08-10T00:00:00"/>
    <n v="8"/>
    <s v="Valid"/>
    <s v="CUST-8687"/>
    <s v="Mira Das"/>
    <x v="3"/>
    <x v="1"/>
    <s v="Odisha"/>
    <m/>
    <x v="2"/>
    <x v="5"/>
    <s v="Max Accessories 591"/>
    <x v="3"/>
    <n v="6"/>
    <n v="2126.44"/>
    <n v="10206.912"/>
    <n v="0.2"/>
    <n v="0.2"/>
    <s v="Valid"/>
    <s v="Clean"/>
    <n v="10206.91"/>
    <n v="6764.53"/>
    <n v="3442.3820000000005"/>
    <n v="3442.38"/>
    <n v="0.33725975834018329"/>
    <s v="Paid"/>
    <x v="0"/>
  </r>
  <r>
    <s v="ORD-2024-10552"/>
    <s v="Unique"/>
    <x v="6"/>
    <n v="2024"/>
    <d v="2024-02-27T00:00:00"/>
    <d v="2024-02-27T00:00:00"/>
    <n v="0"/>
    <s v="Valid"/>
    <s v="CUST-8172"/>
    <s v="Sneha Kapoor"/>
    <x v="0"/>
    <x v="1"/>
    <s v="Jharkhand"/>
    <m/>
    <x v="1"/>
    <x v="4"/>
    <s v="Elite Chairs 314"/>
    <x v="0"/>
    <n v="3"/>
    <n v="3148.09"/>
    <n v="8027.6295"/>
    <n v="0.15"/>
    <n v="0.15"/>
    <s v="Valid"/>
    <s v="Clean"/>
    <n v="8027.63"/>
    <n v="5496.09"/>
    <n v="2531.5394999999999"/>
    <n v="2531.54"/>
    <n v="0.31535334837305656"/>
    <s v="Paid"/>
    <x v="0"/>
  </r>
  <r>
    <s v="ORD-2025-10553"/>
    <s v="Unique"/>
    <x v="10"/>
    <n v="2025"/>
    <d v="2025-01-24T00:00:00"/>
    <d v="2025-01-30T00:00:00"/>
    <n v="6"/>
    <s v="Valid"/>
    <s v="CUST-8861"/>
    <s v="Ananya Rao"/>
    <x v="2"/>
    <x v="1"/>
    <s v="West Bengal"/>
    <m/>
    <x v="2"/>
    <x v="6"/>
    <s v="Pro Copiers 246"/>
    <x v="3"/>
    <n v="8"/>
    <n v="312.52999999999997"/>
    <s v="Invalid"/>
    <s v="70%"/>
    <s v="Invalid"/>
    <s v="Invalid"/>
    <s v="Invalid"/>
    <n v="1875.18"/>
    <n v="1579.17"/>
    <s v="Invalid"/>
    <n v="296.01"/>
    <n v="0.15785684574280867"/>
    <s v="Paid"/>
    <x v="0"/>
  </r>
  <r>
    <s v="ORD-2025-10554"/>
    <s v="Unique"/>
    <x v="5"/>
    <n v="2025"/>
    <d v="2025-04-25T00:00:00"/>
    <d v="2025-04-28T00:00:00"/>
    <n v="3"/>
    <s v="Valid"/>
    <s v="CUST-9241"/>
    <s v="Aarav Sharma"/>
    <x v="1"/>
    <x v="3"/>
    <s v="Gujarat"/>
    <m/>
    <x v="0"/>
    <x v="8"/>
    <s v="Pro Storage 128"/>
    <x v="2"/>
    <n v="9"/>
    <n v="1294.1099999999999"/>
    <n v="8735.2425000000003"/>
    <n v="0.25"/>
    <n v="0.25"/>
    <s v="Valid"/>
    <s v="Clean"/>
    <n v="8735.24"/>
    <n v="6620.07"/>
    <n v="2115.1725000000006"/>
    <n v="2115.17"/>
    <n v="0.24214217354073844"/>
    <s v="Paid"/>
    <x v="0"/>
  </r>
  <r>
    <s v="ORD-2024-10555"/>
    <s v="Unique"/>
    <x v="9"/>
    <n v="2024"/>
    <d v="2024-10-12T00:00:00"/>
    <d v="2024-10-17T00:00:00"/>
    <n v="5"/>
    <s v="Valid"/>
    <s v="CUST-2126"/>
    <s v="Arjun Bose"/>
    <x v="0"/>
    <x v="4"/>
    <s v="Jharkhand"/>
    <m/>
    <x v="1"/>
    <x v="3"/>
    <s v="Prime Furnishings 892"/>
    <x v="3"/>
    <n v="4"/>
    <n v="1071.22"/>
    <n v="4070.636"/>
    <n v="0.05"/>
    <n v="0.05"/>
    <s v="Valid"/>
    <s v="Clean"/>
    <n v="4070.64"/>
    <n v="2831.62"/>
    <n v="1239.0160000000001"/>
    <n v="1239.02"/>
    <n v="0.30437965528762062"/>
    <s v="Paid"/>
    <x v="0"/>
  </r>
  <r>
    <s v="ORD-2025-10556"/>
    <s v="Unique"/>
    <x v="6"/>
    <n v="2025"/>
    <d v="2025-02-04T00:00:00"/>
    <d v="2025-02-10T00:00:00"/>
    <n v="6"/>
    <s v="Valid"/>
    <s v="CUST-7513"/>
    <s v="Ananya Rao"/>
    <x v="1"/>
    <x v="2"/>
    <s v="Telangana"/>
    <m/>
    <x v="0"/>
    <x v="8"/>
    <s v="Prime Storage 689"/>
    <x v="3"/>
    <n v="6"/>
    <n v="1042.8"/>
    <n v="5943.9599999999991"/>
    <n v="0.05"/>
    <n v="0.05"/>
    <s v="Valid"/>
    <s v="Clean"/>
    <n v="5943.96"/>
    <n v="3604.14"/>
    <n v="2339.8199999999993"/>
    <n v="2339.8200000000002"/>
    <n v="0.39364665980255592"/>
    <s v="Paid"/>
    <x v="0"/>
  </r>
  <r>
    <s v="ORD-2024-10557"/>
    <s v="Unique"/>
    <x v="2"/>
    <n v="2024"/>
    <d v="2024-06-23T00:00:00"/>
    <d v="2024-06-29T00:00:00"/>
    <n v="6"/>
    <s v="Valid"/>
    <s v="CUST-1992"/>
    <s v="Neha Gupta"/>
    <x v="0"/>
    <x v="0"/>
    <s v="Haryana"/>
    <m/>
    <x v="1"/>
    <x v="1"/>
    <s v="Classic Tables 769"/>
    <x v="2"/>
    <n v="1"/>
    <n v="4426.66"/>
    <n v="4426.66"/>
    <n v="0"/>
    <n v="0"/>
    <s v="Valid"/>
    <s v="Clean"/>
    <n v="4426.66"/>
    <n v="3035.2"/>
    <n v="1391.46"/>
    <n v="1816.23"/>
    <n v="0.41029353959870424"/>
    <s v="Paid"/>
    <x v="2"/>
  </r>
  <r>
    <s v="ORD-2024-10558"/>
    <s v="Unique"/>
    <x v="4"/>
    <n v="2024"/>
    <d v="2024-05-08T00:00:00"/>
    <d v="2024-05-14T00:00:00"/>
    <n v="6"/>
    <s v="Valid"/>
    <s v="CUST-8848"/>
    <s v="Vikram Iyer"/>
    <x v="3"/>
    <x v="0"/>
    <s v="Haryana"/>
    <m/>
    <x v="2"/>
    <x v="11"/>
    <s v="Prime Phones 503"/>
    <x v="2"/>
    <n v="9"/>
    <n v="3769.46"/>
    <n v="32228.882999999998"/>
    <n v="0.05"/>
    <n v="0.05"/>
    <s v="Valid"/>
    <s v="Clean"/>
    <n v="32228.880000000001"/>
    <n v="24971.360000000001"/>
    <n v="7257.5229999999974"/>
    <n v="7257.52"/>
    <n v="0.22518685104788005"/>
    <s v="Paid"/>
    <x v="1"/>
  </r>
  <r>
    <s v="ORD-2025-10559"/>
    <s v="Unique"/>
    <x v="7"/>
    <n v="2025"/>
    <d v="2025-09-04T00:00:00"/>
    <d v="2025-09-04T00:00:00"/>
    <n v="0"/>
    <s v="Valid"/>
    <s v="CUST-9368"/>
    <s v="Aditi Sen"/>
    <x v="2"/>
    <x v="0"/>
    <s v="Punjab"/>
    <m/>
    <x v="2"/>
    <x v="12"/>
    <s v="Basic Machines 136"/>
    <x v="2"/>
    <n v="8"/>
    <n v="3079.95"/>
    <n v="19711.68"/>
    <n v="0.2"/>
    <n v="0.2"/>
    <s v="Valid"/>
    <s v="Clean"/>
    <n v="19711.68"/>
    <n v="14461.8"/>
    <n v="5249.880000000001"/>
    <n v="5249.88"/>
    <n v="0.2663334632055715"/>
    <s v="Paid"/>
    <x v="0"/>
  </r>
  <r>
    <s v="ORD-2025-10560"/>
    <s v="Unique"/>
    <x v="7"/>
    <n v="2025"/>
    <d v="2025-09-30T00:00:00"/>
    <d v="2025-10-07T00:00:00"/>
    <n v="7"/>
    <s v="Valid"/>
    <s v="CUST-6797"/>
    <s v="Diya Patel"/>
    <x v="2"/>
    <x v="1"/>
    <s v="Bihar"/>
    <m/>
    <x v="2"/>
    <x v="6"/>
    <s v="Basic Copiers 512"/>
    <x v="0"/>
    <n v="5"/>
    <n v="3277.82"/>
    <n v="14750.190000000002"/>
    <n v="0.1"/>
    <n v="0.1"/>
    <s v="Valid"/>
    <s v="Clean"/>
    <n v="14750.19"/>
    <n v="9482.58"/>
    <n v="5267.6100000000024"/>
    <n v="5267.61"/>
    <n v="0.35712150148574356"/>
    <s v="Paid"/>
    <x v="2"/>
  </r>
  <r>
    <s v="ORD-2024-10561"/>
    <s v="Unique"/>
    <x v="10"/>
    <n v="2024"/>
    <d v="2024-01-16T00:00:00"/>
    <d v="2024-01-22T00:00:00"/>
    <n v="6"/>
    <s v="Valid"/>
    <s v="CUST-9333"/>
    <s v="Arjun Bose"/>
    <x v="0"/>
    <x v="3"/>
    <s v="Goa"/>
    <m/>
    <x v="0"/>
    <x v="8"/>
    <s v="Smart Storage 767"/>
    <x v="3"/>
    <n v="4"/>
    <n v="282.52999999999997"/>
    <n v="1130.1199999999999"/>
    <n v="0"/>
    <n v="0"/>
    <s v="Valid"/>
    <s v="Clean"/>
    <n v="1130.1199999999999"/>
    <n v="848.62"/>
    <n v="281.49999999999989"/>
    <n v="281.5"/>
    <n v="0.24908859236187311"/>
    <s v="Paid"/>
    <x v="1"/>
  </r>
  <r>
    <s v="ORD-2025-10562"/>
    <s v="Unique"/>
    <x v="0"/>
    <n v="2025"/>
    <d v="2025-07-14T00:00:00"/>
    <d v="2025-07-18T00:00:00"/>
    <n v="4"/>
    <s v="Valid"/>
    <s v="CUST-6654"/>
    <s v="Aditi Sen"/>
    <x v="0"/>
    <x v="0"/>
    <s v="Punjab"/>
    <m/>
    <x v="2"/>
    <x v="6"/>
    <s v="Eco Copiers 954"/>
    <x v="2"/>
    <n v="4"/>
    <n v="725.22"/>
    <n v="2900.88"/>
    <n v="0"/>
    <n v="0"/>
    <s v="Valid"/>
    <s v="Clean"/>
    <n v="2900.88"/>
    <n v="2391.85"/>
    <n v="509.0300000000002"/>
    <n v="509.03"/>
    <n v="0.17547433882132316"/>
    <s v="Pending"/>
    <x v="2"/>
  </r>
  <r>
    <s v="ORD-2024-10563"/>
    <s v="Unique"/>
    <x v="4"/>
    <n v="2024"/>
    <d v="2024-05-10T00:00:00"/>
    <d v="2024-05-16T00:00:00"/>
    <n v="6"/>
    <s v="Valid"/>
    <s v="CUST-8622"/>
    <s v="Karan Malhotra"/>
    <x v="0"/>
    <x v="0"/>
    <s v="Punjab"/>
    <m/>
    <x v="0"/>
    <x v="9"/>
    <s v="Elite Binders 143"/>
    <x v="1"/>
    <n v="7"/>
    <n v="121.54"/>
    <n v="680.62400000000014"/>
    <n v="0.2"/>
    <n v="0.2"/>
    <s v="Valid"/>
    <s v="Clean"/>
    <n v="680.62"/>
    <n v="463.49"/>
    <n v="217.13400000000013"/>
    <n v="217.13"/>
    <n v="0.31901795421821277"/>
    <s v="Failed"/>
    <x v="2"/>
  </r>
  <r>
    <s v="ORD-2024-10564"/>
    <s v="Unique"/>
    <x v="4"/>
    <n v="2024"/>
    <d v="2024-05-06T00:00:00"/>
    <d v="2024-05-12T00:00:00"/>
    <n v="6"/>
    <s v="Valid"/>
    <s v="CUST-8776"/>
    <s v="Arjun Bose"/>
    <x v="2"/>
    <x v="3"/>
    <s v="Goa"/>
    <m/>
    <x v="1"/>
    <x v="1"/>
    <s v="Classic Tables 560"/>
    <x v="3"/>
    <n v="9"/>
    <n v="790.97"/>
    <n v="5694.9840000000004"/>
    <n v="0.2"/>
    <n v="0.2"/>
    <s v="Valid"/>
    <s v="Clean"/>
    <n v="5694.98"/>
    <n v="4618.33"/>
    <n v="1076.6540000000005"/>
    <n v="1076.6500000000001"/>
    <n v="0.18905246374877527"/>
    <s v="Pending"/>
    <x v="1"/>
  </r>
  <r>
    <s v="ORD-2024-10565"/>
    <s v="Unique"/>
    <x v="3"/>
    <n v="2024"/>
    <d v="2024-11-10T00:00:00"/>
    <d v="2024-11-14T00:00:00"/>
    <n v="4"/>
    <s v="Valid"/>
    <s v="CUST-9100"/>
    <s v="Sneha Kapoor"/>
    <x v="2"/>
    <x v="2"/>
    <s v="Andhra Pradesh"/>
    <m/>
    <x v="1"/>
    <x v="1"/>
    <s v="Basic Tables 759"/>
    <x v="2"/>
    <n v="2"/>
    <n v="921.34"/>
    <n v="1474.1440000000002"/>
    <n v="0.2"/>
    <n v="0.2"/>
    <s v="Valid"/>
    <s v="Clean"/>
    <n v="1474.14"/>
    <n v="968.46"/>
    <n v="505.6840000000002"/>
    <n v="505.68"/>
    <n v="0.34303390451381821"/>
    <s v="Paid"/>
    <x v="0"/>
  </r>
  <r>
    <s v="ORD-2025-10566"/>
    <s v="Unique"/>
    <x v="1"/>
    <n v="2025"/>
    <d v="2025-08-07T00:00:00"/>
    <d v="2025-08-13T00:00:00"/>
    <n v="6"/>
    <s v="Valid"/>
    <s v="CUST-5601"/>
    <s v="Mira Das"/>
    <x v="2"/>
    <x v="0"/>
    <s v="Delhi"/>
    <m/>
    <x v="2"/>
    <x v="11"/>
    <s v="Prime Phones 564"/>
    <x v="3"/>
    <n v="6"/>
    <n v="1921.86"/>
    <n v="9224.9279999999999"/>
    <n v="0.2"/>
    <n v="0.2"/>
    <s v="Valid"/>
    <s v="Clean"/>
    <n v="9224.93"/>
    <n v="7005.2"/>
    <n v="2219.7280000000001"/>
    <n v="2219.73"/>
    <n v="0.24062296407669218"/>
    <s v="Refunded"/>
    <x v="1"/>
  </r>
  <r>
    <s v="ORD-2024-10567"/>
    <s v="Unique"/>
    <x v="1"/>
    <n v="2024"/>
    <d v="2024-08-11T00:00:00"/>
    <d v="2024-08-19T00:00:00"/>
    <n v="8"/>
    <s v="Valid"/>
    <s v="CUST-5246"/>
    <s v="Sneha Kapoor"/>
    <x v="1"/>
    <x v="3"/>
    <s v="Maharashtra"/>
    <m/>
    <x v="0"/>
    <x v="0"/>
    <s v="Smart Paper 807"/>
    <x v="1"/>
    <n v="2"/>
    <n v="2617.89"/>
    <n v="4712.2020000000002"/>
    <n v="0.1"/>
    <n v="0.1"/>
    <s v="Valid"/>
    <s v="Clean"/>
    <n v="4712.2"/>
    <n v="3851.91"/>
    <n v="860.29200000000037"/>
    <n v="860.29"/>
    <n v="0.18256652943423454"/>
    <s v="Failed"/>
    <x v="2"/>
  </r>
  <r>
    <s v="ORD-2024-10568"/>
    <s v="Unique"/>
    <x v="6"/>
    <n v="2024"/>
    <d v="2024-02-06T00:00:00"/>
    <d v="2024-02-10T00:00:00"/>
    <n v="4"/>
    <s v="Valid"/>
    <s v="CUST-3128"/>
    <s v="Arjun Bose"/>
    <x v="3"/>
    <x v="0"/>
    <s v="Uttar Pradesh"/>
    <m/>
    <x v="1"/>
    <x v="3"/>
    <s v="Pro Furnishings 108"/>
    <x v="1"/>
    <n v="1"/>
    <n v="1374.06"/>
    <n v="1305.357"/>
    <n v="0.05"/>
    <n v="0.05"/>
    <s v="Valid"/>
    <s v="Clean"/>
    <n v="1305.3599999999999"/>
    <n v="731.89"/>
    <n v="573.46699999999998"/>
    <n v="573.47"/>
    <n v="0.43931942146227865"/>
    <s v="Paid"/>
    <x v="0"/>
  </r>
  <r>
    <s v="ORD-2024-10569"/>
    <s v="Unique"/>
    <x v="10"/>
    <n v="2024"/>
    <d v="2024-01-21T00:00:00"/>
    <d v="2024-01-24T00:00:00"/>
    <n v="3"/>
    <s v="Valid"/>
    <s v="CUST-4604"/>
    <s v="Kabir Singh"/>
    <x v="2"/>
    <x v="0"/>
    <s v="Punjab"/>
    <m/>
    <x v="2"/>
    <x v="12"/>
    <s v="Classic Machines 522"/>
    <x v="1"/>
    <n v="1"/>
    <n v="3806.3"/>
    <n v="2854.7250000000004"/>
    <n v="0.25"/>
    <n v="0.25"/>
    <s v="Valid"/>
    <s v="Clean"/>
    <n v="2854.73"/>
    <n v="1968.12"/>
    <n v="886.60500000000047"/>
    <n v="886.61"/>
    <n v="0.31057578124726332"/>
    <s v="Paid"/>
    <x v="0"/>
  </r>
  <r>
    <s v="ORD-2025-10570"/>
    <s v="Unique"/>
    <x v="7"/>
    <n v="2025"/>
    <d v="2025-09-08T00:00:00"/>
    <d v="2025-09-10T00:00:00"/>
    <n v="2"/>
    <s v="Valid"/>
    <s v="CUST-2586"/>
    <s v="Rahul Verma"/>
    <x v="3"/>
    <x v="3"/>
    <s v="Maharashtra"/>
    <m/>
    <x v="1"/>
    <x v="3"/>
    <s v="Elite Furnishings 822"/>
    <x v="3"/>
    <n v="6"/>
    <n v="3251.17"/>
    <n v="14630.264999999999"/>
    <n v="0.25"/>
    <n v="0.25"/>
    <s v="Valid"/>
    <s v="Clean"/>
    <n v="14630.26"/>
    <n v="11906.36"/>
    <n v="2723.9049999999988"/>
    <n v="2723.9"/>
    <n v="0.18618261056194491"/>
    <s v="Refunded"/>
    <x v="2"/>
  </r>
  <r>
    <s v="ORD-2025-10571"/>
    <s v="Unique"/>
    <x v="1"/>
    <n v="2025"/>
    <d v="2025-08-18T00:00:00"/>
    <d v="2025-08-22T00:00:00"/>
    <n v="4"/>
    <s v="Valid"/>
    <s v="CUST-6585"/>
    <s v="Arjun Bose"/>
    <x v="0"/>
    <x v="1"/>
    <s v="Jharkhand"/>
    <m/>
    <x v="1"/>
    <x v="3"/>
    <s v="Max Furnishings 647"/>
    <x v="0"/>
    <n v="3"/>
    <n v="3946.44"/>
    <n v="8879.49"/>
    <n v="0.25"/>
    <n v="0.25"/>
    <s v="Valid"/>
    <s v="Clean"/>
    <n v="8879.49"/>
    <n v="6344.57"/>
    <n v="2534.92"/>
    <n v="2534.92"/>
    <n v="0.28548035979543873"/>
    <s v="Failed"/>
    <x v="2"/>
  </r>
  <r>
    <s v="ORD-2025-10572"/>
    <s v="Duplicate Order ID"/>
    <x v="6"/>
    <n v="2025"/>
    <d v="2025-02-10T00:00:00"/>
    <d v="2025-02-14T00:00:00"/>
    <n v="4"/>
    <s v="Valid"/>
    <s v="CUST-3425"/>
    <s v="Priya Menon"/>
    <x v="1"/>
    <x v="0"/>
    <s v="Uttar Pradesh"/>
    <m/>
    <x v="2"/>
    <x v="11"/>
    <s v="Prime Phones 895"/>
    <x v="4"/>
    <n v="5"/>
    <n v="4276.29"/>
    <n v="21381.45"/>
    <n v="0"/>
    <n v="0"/>
    <s v="Valid"/>
    <s v="Clean"/>
    <n v="21381.45"/>
    <n v="13240.21"/>
    <n v="8141.2400000000016"/>
    <n v="8141.24"/>
    <n v="0.38076182859441243"/>
    <s v="Failed"/>
    <x v="2"/>
  </r>
  <r>
    <s v="ORD-2024-10573"/>
    <s v="Unique"/>
    <x v="10"/>
    <n v="2024"/>
    <d v="2024-01-02T00:00:00"/>
    <d v="2024-01-09T00:00:00"/>
    <n v="7"/>
    <s v="Valid"/>
    <s v="CUST-8633"/>
    <s v="Diya Patel"/>
    <x v="2"/>
    <x v="0"/>
    <s v="Delhi"/>
    <m/>
    <x v="2"/>
    <x v="11"/>
    <s v="Eco Phones 368"/>
    <x v="3"/>
    <n v="3"/>
    <n v="739.56"/>
    <n v="1774.944"/>
    <n v="0.2"/>
    <n v="0.2"/>
    <s v="Valid"/>
    <s v="Clean"/>
    <n v="1774.94"/>
    <n v="1007.4"/>
    <n v="767.54399999999998"/>
    <n v="767.54"/>
    <n v="0.43243151881190345"/>
    <s v="Paid"/>
    <x v="0"/>
  </r>
  <r>
    <s v="ORD-2025-10574"/>
    <s v="Unique"/>
    <x v="7"/>
    <n v="2025"/>
    <d v="2025-09-22T00:00:00"/>
    <d v="2025-09-26T00:00:00"/>
    <n v="4"/>
    <s v="Valid"/>
    <s v="CUST-8243"/>
    <s v="Isha Nair"/>
    <x v="0"/>
    <x v="2"/>
    <s v="Andhra Pradesh"/>
    <m/>
    <x v="2"/>
    <x v="11"/>
    <s v="Pro Phones 644"/>
    <x v="3"/>
    <n v="1"/>
    <n v="573.65"/>
    <n v="573.65"/>
    <n v="0"/>
    <n v="0"/>
    <s v="Valid"/>
    <s v="Clean"/>
    <n v="573.65"/>
    <n v="322.67"/>
    <n v="250.97999999999996"/>
    <n v="250.98"/>
    <n v="0.43751416368866031"/>
    <s v="Paid"/>
    <x v="0"/>
  </r>
  <r>
    <s v="ORD-2024-10575"/>
    <s v="Unique"/>
    <x v="6"/>
    <n v="2024"/>
    <d v="2024-02-20T00:00:00"/>
    <d v="2024-02-25T00:00:00"/>
    <n v="5"/>
    <s v="Valid"/>
    <s v="CUST-9139"/>
    <s v="Diya Patel"/>
    <x v="3"/>
    <x v="0"/>
    <s v="Punjab"/>
    <m/>
    <x v="2"/>
    <x v="12"/>
    <s v="Smart Machines 566"/>
    <x v="3"/>
    <n v="4"/>
    <n v="1355.8"/>
    <n v="5423.2"/>
    <n v="0"/>
    <n v="0"/>
    <s v="Valid"/>
    <s v="Clean"/>
    <n v="5423.2"/>
    <n v="4072.44"/>
    <n v="1350.7599999999998"/>
    <n v="1350.76"/>
    <n v="0.24907065938929046"/>
    <s v="Paid"/>
    <x v="0"/>
  </r>
  <r>
    <s v="ORD-2025-10576"/>
    <s v="Unique"/>
    <x v="11"/>
    <n v="2025"/>
    <d v="2025-03-11T00:00:00"/>
    <d v="2025-03-14T00:00:00"/>
    <n v="3"/>
    <s v="Valid"/>
    <s v="CUST-5496"/>
    <s v="Sneha Kapoor"/>
    <x v="3"/>
    <x v="2"/>
    <s v="Kerala"/>
    <m/>
    <x v="1"/>
    <x v="3"/>
    <s v="Elite Furnishings 173"/>
    <x v="1"/>
    <n v="4"/>
    <n v="1244.82"/>
    <n v="3983.424"/>
    <n v="0.2"/>
    <n v="0.2"/>
    <s v="Valid"/>
    <s v="Clean"/>
    <n v="3983.42"/>
    <n v="3174.91"/>
    <n v="808.51400000000012"/>
    <n v="808.51"/>
    <n v="0.20296880569962494"/>
    <s v="Failed"/>
    <x v="2"/>
  </r>
  <r>
    <s v="ORD-2024-10577"/>
    <s v="Unique"/>
    <x v="6"/>
    <n v="2024"/>
    <d v="2024-02-17T00:00:00"/>
    <d v="2024-02-23T00:00:00"/>
    <n v="6"/>
    <s v="Valid"/>
    <s v="CUST-2228"/>
    <s v="Rohan Mehta"/>
    <x v="3"/>
    <x v="4"/>
    <s v="Bihar"/>
    <m/>
    <x v="0"/>
    <x v="9"/>
    <s v="Smart Binders 417"/>
    <x v="3"/>
    <n v="9"/>
    <n v="2614.46"/>
    <n v="23530.14"/>
    <n v="0"/>
    <n v="0"/>
    <s v="Valid"/>
    <s v="Clean"/>
    <n v="23530.14"/>
    <n v="19537.79"/>
    <n v="3992.3499999999985"/>
    <n v="3992.35"/>
    <n v="0.16966962372514571"/>
    <s v="Refunded"/>
    <x v="2"/>
  </r>
  <r>
    <s v="ORD-2025-10578"/>
    <s v="Unique"/>
    <x v="1"/>
    <n v="2025"/>
    <d v="2025-08-28T00:00:00"/>
    <d v="2025-09-03T00:00:00"/>
    <n v="6"/>
    <s v="Valid"/>
    <s v="CUST-4151"/>
    <s v="Priya Menon"/>
    <x v="2"/>
    <x v="3"/>
    <s v="Madhya Pradesh"/>
    <m/>
    <x v="1"/>
    <x v="3"/>
    <s v="Smart Furnishings 714"/>
    <x v="3"/>
    <n v="7"/>
    <n v="268.45"/>
    <n v="1879.1499999999999"/>
    <n v="0"/>
    <n v="0"/>
    <s v="Valid"/>
    <s v="Clean"/>
    <n v="1879.15"/>
    <n v="1134.9000000000001"/>
    <n v="744.24999999999977"/>
    <n v="744.25"/>
    <n v="0.3960567277758561"/>
    <s v="Paid"/>
    <x v="0"/>
  </r>
  <r>
    <s v="ORD-2024-10579"/>
    <s v="Unique"/>
    <x v="6"/>
    <n v="2024"/>
    <d v="2024-02-21T00:00:00"/>
    <d v="2024-02-23T00:00:00"/>
    <n v="2"/>
    <s v="Valid"/>
    <s v="CUST-4900"/>
    <s v="Neha Gupta"/>
    <x v="1"/>
    <x v="3"/>
    <s v="Gujarat"/>
    <m/>
    <x v="2"/>
    <x v="6"/>
    <s v="Elite Copiers 682"/>
    <x v="2"/>
    <n v="6"/>
    <n v="2633.65"/>
    <n v="15011.805"/>
    <n v="0.05"/>
    <n v="0.05"/>
    <s v="Valid"/>
    <s v="Clean"/>
    <n v="15011.81"/>
    <n v="9660.36"/>
    <n v="5351.4449999999997"/>
    <n v="5351.45"/>
    <n v="0.35648266265027334"/>
    <s v="Paid"/>
    <x v="0"/>
  </r>
  <r>
    <s v="ORD-2024-10580"/>
    <s v="Unique"/>
    <x v="2"/>
    <n v="2024"/>
    <d v="2024-06-19T00:00:00"/>
    <d v="2024-06-24T00:00:00"/>
    <n v="5"/>
    <s v="Valid"/>
    <s v="CUST-9617"/>
    <s v="Aarav Sharma"/>
    <x v="1"/>
    <x v="2"/>
    <s v="Tamil Nadu"/>
    <m/>
    <x v="0"/>
    <x v="8"/>
    <s v="Pro Storage 482"/>
    <x v="1"/>
    <n v="1"/>
    <n v="3202.41"/>
    <n v="3202.41"/>
    <n v="0"/>
    <n v="0"/>
    <s v="Valid"/>
    <s v="Clean"/>
    <n v="3202.41"/>
    <n v="2608.44"/>
    <n v="593.9699999999998"/>
    <n v="593.97"/>
    <n v="0.185475938433867"/>
    <s v="Paid"/>
    <x v="0"/>
  </r>
  <r>
    <s v="ORD-2025-10581"/>
    <s v="Unique"/>
    <x v="11"/>
    <n v="2025"/>
    <d v="2025-03-06T00:00:00"/>
    <d v="2025-03-13T00:00:00"/>
    <n v="7"/>
    <s v="Valid"/>
    <s v="CUST-7958"/>
    <s v="Kabir Singh"/>
    <x v="0"/>
    <x v="2"/>
    <s v="Kerala"/>
    <m/>
    <x v="1"/>
    <x v="4"/>
    <s v="Pro Chairs 888"/>
    <x v="3"/>
    <n v="3"/>
    <n v="163.72"/>
    <n v="417.48599999999999"/>
    <n v="0.15"/>
    <n v="0.15"/>
    <s v="Valid"/>
    <s v="Clean"/>
    <n v="417.49"/>
    <n v="261.67"/>
    <n v="155.81599999999997"/>
    <n v="155.82"/>
    <n v="0.37323049653883922"/>
    <s v="Failed"/>
    <x v="2"/>
  </r>
  <r>
    <s v="ORD-2025-10582"/>
    <s v="Unique"/>
    <x v="1"/>
    <n v="2025"/>
    <d v="2025-08-09T00:00:00"/>
    <d v="2025-08-10T00:00:00"/>
    <n v="1"/>
    <s v="Valid"/>
    <s v="CUST-9931"/>
    <s v="Neha Gupta"/>
    <x v="0"/>
    <x v="0"/>
    <s v="Delhi"/>
    <m/>
    <x v="0"/>
    <x v="2"/>
    <s v="Classic Art 611"/>
    <x v="0"/>
    <n v="4"/>
    <n v="4080.95"/>
    <n v="16323.8"/>
    <n v="0"/>
    <n v="0"/>
    <s v="Valid"/>
    <s v="Clean"/>
    <n v="16323.8"/>
    <n v="9965.7900000000009"/>
    <n v="6358.0099999999984"/>
    <n v="6358.01"/>
    <n v="0.38949325524694006"/>
    <s v="Refunded"/>
    <x v="2"/>
  </r>
  <r>
    <s v="ORD-2024-10583"/>
    <s v="Unique"/>
    <x v="9"/>
    <n v="2024"/>
    <d v="2024-10-15T00:00:00"/>
    <d v="2024-10-20T00:00:00"/>
    <n v="5"/>
    <s v="Valid"/>
    <s v="CUST-2088"/>
    <s v="Ananya Rao"/>
    <x v="0"/>
    <x v="1"/>
    <s v="Odisha"/>
    <m/>
    <x v="0"/>
    <x v="2"/>
    <s v="Basic Art 174"/>
    <x v="2"/>
    <n v="5"/>
    <n v="671.24"/>
    <n v="3356.2"/>
    <n v="0"/>
    <n v="0"/>
    <s v="Valid"/>
    <s v="Clean"/>
    <n v="3356.2"/>
    <n v="2205.7199999999998"/>
    <n v="1150.48"/>
    <n v="1150.48"/>
    <n v="0.34279244383528995"/>
    <s v="Pending"/>
    <x v="2"/>
  </r>
  <r>
    <s v="ORD-2024-10584"/>
    <s v="Unique"/>
    <x v="6"/>
    <n v="2024"/>
    <d v="2024-02-28T00:00:00"/>
    <d v="2024-02-28T00:00:00"/>
    <n v="0"/>
    <s v="Valid"/>
    <s v="CUST-1686"/>
    <s v="Rohan Mehta"/>
    <x v="1"/>
    <x v="1"/>
    <s v="West Bengal"/>
    <m/>
    <x v="0"/>
    <x v="8"/>
    <s v="Classic Storage 451"/>
    <x v="2"/>
    <n v="1"/>
    <n v="2626.84"/>
    <n v="2101.4720000000002"/>
    <n v="0.2"/>
    <n v="0.2"/>
    <s v="Valid"/>
    <s v="Clean"/>
    <n v="2101.4699999999998"/>
    <n v="1217.83"/>
    <n v="883.64200000000028"/>
    <n v="883.64"/>
    <n v="0.4204866117527255"/>
    <s v="Failed"/>
    <x v="2"/>
  </r>
  <r>
    <s v="ORD-2024-10585"/>
    <s v="Unique"/>
    <x v="1"/>
    <n v="2024"/>
    <d v="2024-08-04T00:00:00"/>
    <d v="2024-08-10T00:00:00"/>
    <n v="6"/>
    <s v="Valid"/>
    <s v="CUST-4894"/>
    <s v="Vikram Iyer"/>
    <x v="0"/>
    <x v="1"/>
    <s v="Bihar"/>
    <m/>
    <x v="0"/>
    <x v="2"/>
    <s v="Pro Art 172"/>
    <x v="1"/>
    <n v="1"/>
    <n v="984.93"/>
    <n v="837.19049999999993"/>
    <n v="0.15"/>
    <n v="0.15"/>
    <s v="Valid"/>
    <s v="Clean"/>
    <n v="837.19"/>
    <n v="583.79"/>
    <n v="253.40049999999997"/>
    <n v="253.4"/>
    <n v="0.3026792006593485"/>
    <s v="Pending"/>
    <x v="2"/>
  </r>
  <r>
    <s v="ORD-2025-10586"/>
    <s v="Unique"/>
    <x v="2"/>
    <n v="2025"/>
    <d v="2025-06-22T00:00:00"/>
    <d v="2025-06-25T00:00:00"/>
    <n v="3"/>
    <s v="Valid"/>
    <s v="CUST-5201"/>
    <s v="Diya Patel"/>
    <x v="1"/>
    <x v="3"/>
    <s v="Maharashtra"/>
    <m/>
    <x v="2"/>
    <x v="11"/>
    <s v="Prime Phones 744"/>
    <x v="2"/>
    <n v="8"/>
    <n v="3453.66"/>
    <n v="27629.279999999999"/>
    <n v="0"/>
    <n v="0"/>
    <s v="Valid"/>
    <s v="Clean"/>
    <n v="27629.279999999999"/>
    <n v="22026.48"/>
    <n v="5602.7999999999993"/>
    <n v="5602.8"/>
    <n v="0.20278487170132556"/>
    <s v="Paid"/>
    <x v="0"/>
  </r>
  <r>
    <s v="ORD-2025-10587"/>
    <s v="Unique"/>
    <x v="5"/>
    <n v="2025"/>
    <d v="2025-04-12T00:00:00"/>
    <d v="2025-04-12T00:00:00"/>
    <n v="0"/>
    <s v="Valid"/>
    <s v="CUST-8626"/>
    <s v="Mira Das"/>
    <x v="3"/>
    <x v="0"/>
    <s v="Punjab"/>
    <m/>
    <x v="0"/>
    <x v="9"/>
    <s v="Prime Binders 249"/>
    <x v="0"/>
    <n v="7"/>
    <n v="1334.2"/>
    <n v="7471.52"/>
    <n v="0.2"/>
    <n v="0.2"/>
    <s v="Valid"/>
    <s v="Clean"/>
    <n v="7471.52"/>
    <n v="6184.32"/>
    <n v="1287.2000000000007"/>
    <n v="1287.2"/>
    <n v="0.17228087457438379"/>
    <s v="Paid"/>
    <x v="0"/>
  </r>
  <r>
    <s v="ORD-2025-10588"/>
    <s v="Unique"/>
    <x v="0"/>
    <n v="2025"/>
    <d v="2025-07-23T00:00:00"/>
    <d v="2025-07-31T00:00:00"/>
    <n v="8"/>
    <s v="Valid"/>
    <s v="CUST-1013"/>
    <s v="Kabir Singh"/>
    <x v="3"/>
    <x v="3"/>
    <s v="Madhya Pradesh"/>
    <m/>
    <x v="2"/>
    <x v="5"/>
    <s v="Eco Accessories 948"/>
    <x v="2"/>
    <n v="1"/>
    <n v="4253.84"/>
    <n v="3615.7640000000001"/>
    <n v="0.15"/>
    <n v="0.15"/>
    <s v="Valid"/>
    <s v="Clean"/>
    <n v="3615.76"/>
    <n v="2951.52"/>
    <n v="664.24400000000014"/>
    <n v="664.24"/>
    <n v="0.18370688320021239"/>
    <s v="Refunded"/>
    <x v="1"/>
  </r>
  <r>
    <s v="ORD-2025-10589"/>
    <s v="Unique"/>
    <x v="11"/>
    <n v="2025"/>
    <d v="2025-03-11T00:00:00"/>
    <d v="2025-03-15T00:00:00"/>
    <n v="4"/>
    <s v="Valid"/>
    <s v="CUST-3601"/>
    <s v="Aarav Sharma"/>
    <x v="3"/>
    <x v="2"/>
    <s v="Karnataka"/>
    <m/>
    <x v="2"/>
    <x v="5"/>
    <s v="Classic Accessories 458"/>
    <x v="0"/>
    <n v="8"/>
    <n v="4446.3599999999997"/>
    <n v="32013.791999999998"/>
    <n v="0.1"/>
    <n v="0.1"/>
    <s v="Valid"/>
    <s v="Clean"/>
    <n v="32013.79"/>
    <n v="20896.88"/>
    <n v="11116.911999999997"/>
    <n v="11116.91"/>
    <n v="0.3472537928186572"/>
    <s v="Refunded"/>
    <x v="1"/>
  </r>
  <r>
    <s v="ORD-2024-10590"/>
    <s v="Unique"/>
    <x v="8"/>
    <n v="2024"/>
    <d v="2024-12-06T00:00:00"/>
    <d v="2024-12-12T00:00:00"/>
    <n v="6"/>
    <s v="Valid"/>
    <s v="CUST-7846"/>
    <s v="Rohan Mehta"/>
    <x v="2"/>
    <x v="0"/>
    <s v="Uttar Pradesh"/>
    <m/>
    <x v="2"/>
    <x v="11"/>
    <s v="Max Phones 318"/>
    <x v="2"/>
    <n v="3"/>
    <n v="524.75"/>
    <n v="1574.25"/>
    <n v="0"/>
    <n v="0"/>
    <s v="Valid"/>
    <s v="Clean"/>
    <n v="1574.25"/>
    <n v="1326.12"/>
    <n v="248.13000000000011"/>
    <n v="248.13"/>
    <n v="0.15761791329204383"/>
    <s v="Paid"/>
    <x v="0"/>
  </r>
  <r>
    <s v="ORD-2024-10591"/>
    <s v="Unique"/>
    <x v="4"/>
    <n v="2024"/>
    <d v="2024-05-29T00:00:00"/>
    <d v="2024-05-29T00:00:00"/>
    <n v="0"/>
    <s v="Valid"/>
    <s v="CUST-3433"/>
    <s v="Aarav Sharma"/>
    <x v="3"/>
    <x v="0"/>
    <s v="Delhi"/>
    <m/>
    <x v="1"/>
    <x v="4"/>
    <s v="Elite Chairs 372"/>
    <x v="1"/>
    <n v="6"/>
    <n v="3430.35"/>
    <n v="20582.099999999999"/>
    <n v="0"/>
    <n v="0"/>
    <s v="Valid"/>
    <s v="Clean"/>
    <n v="20582.099999999999"/>
    <n v="15897.65"/>
    <n v="4684.4499999999989"/>
    <n v="4684.45"/>
    <n v="0.22759825285077812"/>
    <s v="Pending"/>
    <x v="1"/>
  </r>
  <r>
    <s v="ORD-2024-10592"/>
    <s v="Unique"/>
    <x v="6"/>
    <n v="2024"/>
    <d v="2024-02-22T00:00:00"/>
    <d v="2024-02-24T00:00:00"/>
    <n v="2"/>
    <s v="Valid"/>
    <s v="CUST-2423"/>
    <s v="Sneha Kapoor"/>
    <x v="0"/>
    <x v="2"/>
    <s v="Karnataka"/>
    <m/>
    <x v="2"/>
    <x v="6"/>
    <s v="Eco Copiers 324"/>
    <x v="2"/>
    <n v="3"/>
    <n v="3545.08"/>
    <n v="10635.24"/>
    <n v="0"/>
    <n v="0"/>
    <s v="Valid"/>
    <s v="Clean"/>
    <n v="10635.24"/>
    <n v="6031.88"/>
    <n v="4603.3599999999997"/>
    <n v="4603.3599999999997"/>
    <n v="0.43284025560307055"/>
    <s v="Failed"/>
    <x v="2"/>
  </r>
  <r>
    <s v="ORD-2024-10593"/>
    <s v="Unique"/>
    <x v="11"/>
    <n v="2024"/>
    <d v="2024-03-04T00:00:00"/>
    <d v="2024-03-09T00:00:00"/>
    <n v="5"/>
    <s v="Valid"/>
    <s v="CUST-3559"/>
    <s v="Mira Das"/>
    <x v="0"/>
    <x v="1"/>
    <s v="West Bengal"/>
    <m/>
    <x v="2"/>
    <x v="5"/>
    <s v="Classic Accessories 131"/>
    <x v="1"/>
    <n v="8"/>
    <n v="4401.41"/>
    <n v="29929.588"/>
    <n v="0.15"/>
    <n v="0.15"/>
    <s v="Valid"/>
    <s v="Clean"/>
    <n v="29929.59"/>
    <n v="22436.03"/>
    <n v="7493.5580000000009"/>
    <n v="7493.56"/>
    <n v="0.25037295866732556"/>
    <s v="Paid"/>
    <x v="0"/>
  </r>
  <r>
    <s v="ORD-2025-10594"/>
    <s v="Unique"/>
    <x v="7"/>
    <n v="2025"/>
    <d v="2025-09-27T00:00:00"/>
    <d v="2025-09-29T00:00:00"/>
    <n v="2"/>
    <s v="Valid"/>
    <s v="CUST-2917"/>
    <s v="Arjun Bose"/>
    <x v="3"/>
    <x v="0"/>
    <s v="Uttar Pradesh"/>
    <m/>
    <x v="1"/>
    <x v="1"/>
    <s v="Eco Tables 550"/>
    <x v="0"/>
    <n v="9"/>
    <n v="4100.1099999999997"/>
    <n v="27675.7425"/>
    <n v="0.25"/>
    <n v="0.25"/>
    <s v="Valid"/>
    <s v="Clean"/>
    <n v="27675.74"/>
    <n v="15571.08"/>
    <n v="12104.6625"/>
    <n v="12104.66"/>
    <n v="0.43737439360248359"/>
    <s v="Paid"/>
    <x v="0"/>
  </r>
  <r>
    <s v="ORD-2024-10595"/>
    <s v="Unique"/>
    <x v="7"/>
    <n v="2024"/>
    <d v="2024-09-19T00:00:00"/>
    <d v="2024-09-21T00:00:00"/>
    <n v="2"/>
    <s v="Valid"/>
    <s v="CUST-6850"/>
    <s v="Karan Malhotra"/>
    <x v="1"/>
    <x v="1"/>
    <s v="West Bengal"/>
    <m/>
    <x v="1"/>
    <x v="4"/>
    <s v="Basic Chairs 932"/>
    <x v="2"/>
    <n v="3"/>
    <n v="3981.76"/>
    <n v="11945.28"/>
    <n v="0"/>
    <n v="0"/>
    <s v="Valid"/>
    <s v="Clean"/>
    <n v="11945.28"/>
    <n v="9700.31"/>
    <n v="2244.9700000000012"/>
    <n v="2244.9699999999998"/>
    <n v="0.18793782983739182"/>
    <s v="Paid"/>
    <x v="0"/>
  </r>
  <r>
    <s v="ORD-2025-10596"/>
    <s v="Unique"/>
    <x v="6"/>
    <n v="2025"/>
    <d v="2025-02-11T00:00:00"/>
    <d v="2025-02-16T00:00:00"/>
    <n v="5"/>
    <s v="Valid"/>
    <s v="CUST-5566"/>
    <s v="Mira Das"/>
    <x v="2"/>
    <x v="0"/>
    <s v="Uttar Pradesh"/>
    <m/>
    <x v="2"/>
    <x v="11"/>
    <s v="Classic Phones 294"/>
    <x v="2"/>
    <n v="8"/>
    <n v="1825.56"/>
    <n v="13144.031999999999"/>
    <n v="0.1"/>
    <n v="0.1"/>
    <s v="Valid"/>
    <s v="Clean"/>
    <n v="13144.03"/>
    <n v="9764"/>
    <n v="3380.0319999999992"/>
    <n v="3380.03"/>
    <n v="0.25715324751997676"/>
    <s v="Paid"/>
    <x v="0"/>
  </r>
  <r>
    <s v="ORD-2024-10597"/>
    <s v="Unique"/>
    <x v="5"/>
    <n v="2024"/>
    <d v="2024-04-10T00:00:00"/>
    <d v="2024-04-16T00:00:00"/>
    <n v="6"/>
    <s v="Valid"/>
    <s v="CUST-2593"/>
    <s v="Aditi Sen"/>
    <x v="0"/>
    <x v="2"/>
    <s v="Kerala"/>
    <m/>
    <x v="1"/>
    <x v="4"/>
    <s v="Elite Chairs 700"/>
    <x v="0"/>
    <n v="9"/>
    <n v="2723.26"/>
    <n v="18382.005000000005"/>
    <n v="0.25"/>
    <n v="0.25"/>
    <s v="Valid"/>
    <s v="Clean"/>
    <n v="18382.009999999998"/>
    <n v="13108.2"/>
    <n v="5273.8050000000039"/>
    <n v="5273.81"/>
    <n v="0.28690061641789993"/>
    <s v="Paid"/>
    <x v="0"/>
  </r>
  <r>
    <s v="ORD-2025-10598"/>
    <s v="Unique"/>
    <x v="0"/>
    <n v="2025"/>
    <d v="2025-07-08T00:00:00"/>
    <d v="2025-07-08T00:00:00"/>
    <n v="0"/>
    <s v="Valid"/>
    <s v="CUST-6957"/>
    <s v="Aditi Sen"/>
    <x v="0"/>
    <x v="2"/>
    <s v="Telangana"/>
    <m/>
    <x v="2"/>
    <x v="6"/>
    <s v="Prime Copiers 969"/>
    <x v="1"/>
    <n v="9"/>
    <n v="274.88"/>
    <n v="1855.44"/>
    <n v="0.25"/>
    <n v="0.25"/>
    <s v="Valid"/>
    <s v="Clean"/>
    <n v="1855.44"/>
    <n v="1262.74"/>
    <n v="592.70000000000005"/>
    <n v="592.70000000000005"/>
    <n v="0.3194390548872505"/>
    <s v="Paid"/>
    <x v="0"/>
  </r>
  <r>
    <s v="ORD-2024-10599"/>
    <s v="Unique"/>
    <x v="1"/>
    <n v="2024"/>
    <d v="2024-08-17T00:00:00"/>
    <d v="2024-08-24T00:00:00"/>
    <n v="7"/>
    <s v="Valid"/>
    <s v="CUST-8498"/>
    <s v="Ananya Rao"/>
    <x v="2"/>
    <x v="1"/>
    <s v="West Bengal"/>
    <m/>
    <x v="2"/>
    <x v="6"/>
    <s v="Eco Copiers 268"/>
    <x v="1"/>
    <n v="3"/>
    <n v="1490.69"/>
    <n v="3354.0524999999998"/>
    <n v="0.25"/>
    <n v="0.25"/>
    <s v="Valid"/>
    <s v="Clean"/>
    <n v="3354.05"/>
    <n v="2672.67"/>
    <n v="681.38249999999971"/>
    <n v="681.38"/>
    <n v="0.20315141396222475"/>
    <s v="Paid"/>
    <x v="0"/>
  </r>
  <r>
    <s v="ORD-2024-10600"/>
    <s v="Unique"/>
    <x v="1"/>
    <n v="2024"/>
    <d v="2024-08-19T00:00:00"/>
    <d v="2024-08-21T00:00:00"/>
    <n v="2"/>
    <s v="Valid"/>
    <s v="CUST-2612"/>
    <s v="Arjun Bose"/>
    <x v="0"/>
    <x v="0"/>
    <s v="Punjab"/>
    <m/>
    <x v="2"/>
    <x v="11"/>
    <s v="Pro Phones 588"/>
    <x v="2"/>
    <n v="3"/>
    <n v="1103.54"/>
    <n v="2482.9650000000001"/>
    <n v="0.25"/>
    <n v="0.25"/>
    <s v="Valid"/>
    <s v="Clean"/>
    <n v="2482.9699999999998"/>
    <n v="1621.72"/>
    <n v="861.24500000000012"/>
    <n v="861.25"/>
    <n v="0.34686282959520254"/>
    <s v="Paid"/>
    <x v="0"/>
  </r>
  <r>
    <s v="ORD-2025-10601"/>
    <s v="Unique"/>
    <x v="11"/>
    <n v="2025"/>
    <d v="2025-03-05T00:00:00"/>
    <d v="2025-03-12T00:00:00"/>
    <n v="7"/>
    <s v="Valid"/>
    <s v="CUST-6013"/>
    <s v="Ananya Rao"/>
    <x v="2"/>
    <x v="3"/>
    <s v="Madhya Pradesh"/>
    <m/>
    <x v="0"/>
    <x v="8"/>
    <s v="Prime Storage 432"/>
    <x v="1"/>
    <n v="3"/>
    <n v="3682.75"/>
    <n v="11048.25"/>
    <n v="0"/>
    <n v="0"/>
    <s v="Valid"/>
    <s v="Clean"/>
    <n v="11048.25"/>
    <n v="9062.7199999999993"/>
    <n v="1985.5300000000007"/>
    <n v="1985.53"/>
    <n v="0.17971443441268978"/>
    <s v="Paid"/>
    <x v="0"/>
  </r>
  <r>
    <s v="ORD-2024-10602"/>
    <s v="Unique"/>
    <x v="10"/>
    <n v="2024"/>
    <d v="2024-01-26T00:00:00"/>
    <d v="2024-01-31T00:00:00"/>
    <n v="5"/>
    <s v="Valid"/>
    <s v="CUST-8289"/>
    <s v="Ananya Rao"/>
    <x v="3"/>
    <x v="1"/>
    <s v="West Bengal"/>
    <m/>
    <x v="0"/>
    <x v="0"/>
    <s v="Basic Paper 452"/>
    <x v="0"/>
    <n v="5"/>
    <n v="1615.03"/>
    <n v="6460.12"/>
    <n v="0.2"/>
    <n v="0.2"/>
    <s v="Valid"/>
    <s v="Clean"/>
    <n v="6460.12"/>
    <n v="3604.03"/>
    <n v="2856.0899999999997"/>
    <n v="2856.09"/>
    <n v="0.4421109824585302"/>
    <s v="Paid"/>
    <x v="0"/>
  </r>
  <r>
    <s v="ORD-2024-10603"/>
    <s v="Unique"/>
    <x v="9"/>
    <n v="2024"/>
    <d v="2024-10-23T00:00:00"/>
    <d v="2024-10-30T00:00:00"/>
    <n v="7"/>
    <s v="Valid"/>
    <s v="CUST-5668"/>
    <s v="Aarav Sharma"/>
    <x v="0"/>
    <x v="1"/>
    <s v="Jharkhand"/>
    <m/>
    <x v="2"/>
    <x v="6"/>
    <s v="Max Copiers 477"/>
    <x v="0"/>
    <n v="9"/>
    <n v="3423.82"/>
    <n v="26192.223000000002"/>
    <n v="0.15"/>
    <n v="0.15"/>
    <s v="Valid"/>
    <s v="Clean"/>
    <n v="26192.22"/>
    <n v="20795.55"/>
    <n v="5396.6730000000025"/>
    <n v="5396.67"/>
    <n v="0.20604095414592577"/>
    <s v="Paid"/>
    <x v="0"/>
  </r>
  <r>
    <s v="ORD-2025-10604"/>
    <s v="Unique"/>
    <x v="10"/>
    <n v="2025"/>
    <d v="2025-01-03T00:00:00"/>
    <d v="2025-01-11T00:00:00"/>
    <n v="8"/>
    <s v="Valid"/>
    <s v="CUST-5808"/>
    <s v="Vikram Iyer"/>
    <x v="2"/>
    <x v="1"/>
    <s v="Bihar"/>
    <m/>
    <x v="2"/>
    <x v="5"/>
    <s v="Prime Accessories 300"/>
    <x v="2"/>
    <n v="8"/>
    <n v="2574.29"/>
    <n v="19564.603999999999"/>
    <n v="0.05"/>
    <n v="0.05"/>
    <s v="Valid"/>
    <s v="Clean"/>
    <n v="19564.599999999999"/>
    <n v="11154.59"/>
    <n v="8410.0139999999992"/>
    <n v="8410.01"/>
    <n v="0.42985851997996388"/>
    <s v="Pending"/>
    <x v="1"/>
  </r>
  <r>
    <s v="ORD-2025-10605"/>
    <s v="Unique"/>
    <x v="6"/>
    <n v="2025"/>
    <d v="2025-02-05T00:00:00"/>
    <d v="2025-02-06T00:00:00"/>
    <n v="1"/>
    <s v="Valid"/>
    <s v="CUST-4526"/>
    <s v="Ananya Rao"/>
    <x v="0"/>
    <x v="3"/>
    <s v="Madhya Pradesh"/>
    <m/>
    <x v="0"/>
    <x v="9"/>
    <s v="Max Binders 547"/>
    <x v="1"/>
    <n v="3"/>
    <n v="1076.3"/>
    <n v="3228.8999999999996"/>
    <n v="0"/>
    <n v="0"/>
    <s v="Valid"/>
    <s v="Clean"/>
    <n v="3228.9"/>
    <n v="1853.23"/>
    <n v="1375.6699999999996"/>
    <n v="1375.67"/>
    <n v="0.42604911889497971"/>
    <s v="Paid"/>
    <x v="0"/>
  </r>
  <r>
    <s v="ORD-2025-10606"/>
    <s v="Unique"/>
    <x v="0"/>
    <n v="2025"/>
    <d v="2025-07-09T00:00:00"/>
    <d v="2025-07-13T00:00:00"/>
    <n v="4"/>
    <s v="Valid"/>
    <s v="CUST-4447"/>
    <s v="Kabir Singh"/>
    <x v="2"/>
    <x v="3"/>
    <s v="Goa"/>
    <m/>
    <x v="1"/>
    <x v="3"/>
    <s v="Pro Furnishings 267"/>
    <x v="0"/>
    <n v="5"/>
    <n v="1680.01"/>
    <s v="Invalid"/>
    <s v="85%"/>
    <s v="Invalid"/>
    <s v="Invalid"/>
    <s v="Invalid"/>
    <n v="7560.04"/>
    <n v="6448.05"/>
    <s v="Invalid"/>
    <n v="1111.99"/>
    <n v="0.14708784609605241"/>
    <s v="Paid"/>
    <x v="1"/>
  </r>
  <r>
    <s v="ORD-2025-10607"/>
    <s v="Unique"/>
    <x v="6"/>
    <n v="2025"/>
    <d v="2025-02-22T00:00:00"/>
    <d v="2025-02-28T00:00:00"/>
    <n v="6"/>
    <s v="Valid"/>
    <s v="CUST-2698"/>
    <s v="Rahul Verma"/>
    <x v="3"/>
    <x v="3"/>
    <s v="Madhya Pradesh"/>
    <m/>
    <x v="2"/>
    <x v="6"/>
    <s v="Max Copiers 520"/>
    <x v="1"/>
    <n v="3"/>
    <n v="3890.81"/>
    <n v="8754.3225000000002"/>
    <n v="0.25"/>
    <n v="0.25"/>
    <s v="Valid"/>
    <s v="Clean"/>
    <n v="8754.32"/>
    <n v="6238.9"/>
    <n v="2515.4225000000006"/>
    <n v="2515.42"/>
    <n v="0.28733471017737533"/>
    <s v="Paid"/>
    <x v="0"/>
  </r>
  <r>
    <s v="ORD-2025-10608"/>
    <s v="Unique"/>
    <x v="6"/>
    <n v="2025"/>
    <d v="2025-02-16T00:00:00"/>
    <d v="2025-02-22T00:00:00"/>
    <n v="6"/>
    <s v="Valid"/>
    <s v="CUST-6297"/>
    <s v="Sneha Kapoor"/>
    <x v="3"/>
    <x v="1"/>
    <s v="Bihar"/>
    <m/>
    <x v="0"/>
    <x v="8"/>
    <s v="Max Storage 424"/>
    <x v="1"/>
    <n v="5"/>
    <n v="954.67"/>
    <n v="4057.3474999999994"/>
    <n v="0.15"/>
    <n v="0.15"/>
    <s v="Valid"/>
    <s v="Clean"/>
    <n v="4057.35"/>
    <n v="2862.03"/>
    <n v="1195.3174999999992"/>
    <n v="1195.32"/>
    <n v="0.29460608525268955"/>
    <s v="Paid"/>
    <x v="0"/>
  </r>
  <r>
    <s v="ORD-2024-10609"/>
    <s v="Unique"/>
    <x v="2"/>
    <n v="2024"/>
    <d v="2024-06-21T00:00:00"/>
    <d v="2024-06-23T00:00:00"/>
    <n v="2"/>
    <s v="Valid"/>
    <s v="CUST-7690"/>
    <s v="Karan Malhotra"/>
    <x v="3"/>
    <x v="3"/>
    <s v="Goa"/>
    <m/>
    <x v="1"/>
    <x v="3"/>
    <s v="Elite Furnishings 706"/>
    <x v="0"/>
    <n v="9"/>
    <n v="2153.75"/>
    <n v="19383.75"/>
    <n v="0"/>
    <n v="0"/>
    <s v="Valid"/>
    <s v="Clean"/>
    <n v="19383.75"/>
    <n v="11667.43"/>
    <n v="7716.32"/>
    <n v="7716.32"/>
    <n v="0.39808189849745274"/>
    <s v="Paid"/>
    <x v="0"/>
  </r>
  <r>
    <s v="ORD-2025-10610"/>
    <s v="Unique"/>
    <x v="10"/>
    <n v="2025"/>
    <d v="2025-01-08T00:00:00"/>
    <d v="2025-01-12T00:00:00"/>
    <n v="4"/>
    <s v="Valid"/>
    <s v="CUST-4380"/>
    <s v="Sneha Kapoor"/>
    <x v="3"/>
    <x v="2"/>
    <s v="Karnataka"/>
    <m/>
    <x v="1"/>
    <x v="4"/>
    <s v="Pro Chairs 908"/>
    <x v="3"/>
    <n v="7"/>
    <n v="4337.4799999999996"/>
    <n v="30362.359999999997"/>
    <n v="0"/>
    <n v="0"/>
    <s v="Valid"/>
    <s v="Clean"/>
    <n v="30362.36"/>
    <n v="25065.4"/>
    <n v="5296.9599999999955"/>
    <n v="5296.96"/>
    <n v="0.17445811195177185"/>
    <s v="Paid"/>
    <x v="0"/>
  </r>
  <r>
    <s v="ORD-2024-10611"/>
    <s v="Unique"/>
    <x v="4"/>
    <n v="2024"/>
    <d v="2024-05-20T00:00:00"/>
    <d v="2024-05-20T00:00:00"/>
    <n v="0"/>
    <s v="Valid"/>
    <s v="CUST-2779"/>
    <s v="Karan Malhotra"/>
    <x v="3"/>
    <x v="3"/>
    <s v="Madhya Pradesh"/>
    <m/>
    <x v="1"/>
    <x v="4"/>
    <s v="Pro Chairs 712"/>
    <x v="3"/>
    <n v="1"/>
    <n v="3032.95"/>
    <n v="2729.6549999999997"/>
    <n v="0.1"/>
    <n v="0.1"/>
    <s v="Valid"/>
    <s v="Clean"/>
    <n v="2729.65"/>
    <n v="1715.36"/>
    <n v="1014.2949999999998"/>
    <n v="1014.29"/>
    <n v="0.37158243730881246"/>
    <s v="Paid"/>
    <x v="0"/>
  </r>
  <r>
    <s v="ORD-2025-10612"/>
    <s v="Unique"/>
    <x v="0"/>
    <n v="2025"/>
    <d v="2025-07-08T00:00:00"/>
    <d v="2025-07-15T00:00:00"/>
    <n v="7"/>
    <s v="Valid"/>
    <s v="CUST-6108"/>
    <s v="Ananya Rao"/>
    <x v="1"/>
    <x v="0"/>
    <s v="Rajasthan"/>
    <m/>
    <x v="0"/>
    <x v="9"/>
    <s v="Max Binders 785"/>
    <x v="1"/>
    <n v="8"/>
    <n v="655.28"/>
    <n v="4718.0159999999996"/>
    <n v="0.1"/>
    <n v="0.1"/>
    <s v="Valid"/>
    <s v="Clean"/>
    <n v="4718.0200000000004"/>
    <n v="3908.23"/>
    <n v="809.7859999999996"/>
    <n v="809.79"/>
    <n v="0.17163767851768325"/>
    <s v="Paid"/>
    <x v="0"/>
  </r>
  <r>
    <s v="ORD-2025-10613"/>
    <s v="Unique"/>
    <x v="5"/>
    <n v="2025"/>
    <d v="2025-04-06T00:00:00"/>
    <d v="2025-04-13T00:00:00"/>
    <n v="7"/>
    <s v="Valid"/>
    <s v="CUST-5663"/>
    <s v="Aditi Sen"/>
    <x v="0"/>
    <x v="4"/>
    <s v="Odisha"/>
    <m/>
    <x v="2"/>
    <x v="11"/>
    <s v="Elite Phones 239"/>
    <x v="3"/>
    <n v="1"/>
    <n v="3844.01"/>
    <n v="3844.01"/>
    <n v="0"/>
    <n v="0"/>
    <s v="Valid"/>
    <s v="Clean"/>
    <n v="3844.01"/>
    <n v="2195.79"/>
    <n v="1648.2200000000003"/>
    <n v="1648.22"/>
    <n v="0.4287761998537985"/>
    <s v="Paid"/>
    <x v="0"/>
  </r>
  <r>
    <s v="ORD-2024-10614"/>
    <s v="Unique"/>
    <x v="9"/>
    <n v="2024"/>
    <d v="2024-10-05T00:00:00"/>
    <d v="2024-10-10T00:00:00"/>
    <n v="5"/>
    <s v="Valid"/>
    <s v="CUST-9311"/>
    <s v="Diya Patel"/>
    <x v="3"/>
    <x v="3"/>
    <s v="Gujarat"/>
    <m/>
    <x v="2"/>
    <x v="12"/>
    <s v="Basic Machines 413"/>
    <x v="1"/>
    <n v="9"/>
    <n v="3361.3"/>
    <n v="22688.775000000001"/>
    <n v="0.25"/>
    <n v="0.25"/>
    <s v="Valid"/>
    <s v="Clean"/>
    <n v="22688.78"/>
    <n v="14672.41"/>
    <n v="8016.3650000000016"/>
    <n v="8016.37"/>
    <n v="0.35331868879684147"/>
    <s v="Paid"/>
    <x v="0"/>
  </r>
  <r>
    <s v="ORD-2024-10615"/>
    <s v="Unique"/>
    <x v="6"/>
    <n v="2024"/>
    <d v="2024-02-11T00:00:00"/>
    <d v="2024-02-19T00:00:00"/>
    <n v="8"/>
    <s v="Valid"/>
    <s v="CUST-8154"/>
    <s v="Ananya Rao"/>
    <x v="3"/>
    <x v="2"/>
    <s v="Telangana"/>
    <m/>
    <x v="1"/>
    <x v="4"/>
    <s v="Elite Chairs 140"/>
    <x v="3"/>
    <n v="8"/>
    <n v="3398.32"/>
    <n v="20389.920000000002"/>
    <n v="0.25"/>
    <n v="0.25"/>
    <s v="Valid"/>
    <s v="Clean"/>
    <n v="20389.919999999998"/>
    <n v="16661.080000000002"/>
    <n v="3728.84"/>
    <n v="3728.84"/>
    <n v="0.18287663708342164"/>
    <s v="Refunded"/>
    <x v="1"/>
  </r>
  <r>
    <s v="ORD-2024-10616"/>
    <s v="Unique"/>
    <x v="9"/>
    <n v="2024"/>
    <d v="2024-10-04T00:00:00"/>
    <d v="2024-10-07T00:00:00"/>
    <n v="3"/>
    <s v="Valid"/>
    <s v="CUST-4462"/>
    <s v="Rahul Verma"/>
    <x v="2"/>
    <x v="2"/>
    <s v="Kerala"/>
    <m/>
    <x v="0"/>
    <x v="2"/>
    <s v="Basic Art 771"/>
    <x v="0"/>
    <n v="2"/>
    <n v="3144.38"/>
    <n v="5659.884"/>
    <n v="0.1"/>
    <n v="0.1"/>
    <s v="Valid"/>
    <s v="Clean"/>
    <n v="5904.57"/>
    <n v="4337.79"/>
    <n v="1322.0940000000001"/>
    <n v="1322.09"/>
    <n v="0.22390961577219001"/>
    <s v="Paid"/>
    <x v="0"/>
  </r>
  <r>
    <s v="ORD-2024-10617"/>
    <s v="Unique"/>
    <x v="1"/>
    <n v="2024"/>
    <d v="2024-08-16T00:00:00"/>
    <d v="2024-08-19T00:00:00"/>
    <n v="3"/>
    <s v="Valid"/>
    <s v="CUST-4660"/>
    <s v="Kabir Singh"/>
    <x v="0"/>
    <x v="2"/>
    <s v="Telangana"/>
    <m/>
    <x v="0"/>
    <x v="0"/>
    <s v="Prime Paper 664"/>
    <x v="3"/>
    <n v="6"/>
    <n v="3925.55"/>
    <n v="18842.640000000003"/>
    <n v="0.2"/>
    <n v="0.2"/>
    <s v="Valid"/>
    <s v="Clean"/>
    <n v="18842.64"/>
    <n v="11840.58"/>
    <n v="7002.0600000000031"/>
    <n v="7002.06"/>
    <n v="0.37160716332743188"/>
    <s v="Paid"/>
    <x v="0"/>
  </r>
  <r>
    <s v="ORD-2024-10618"/>
    <s v="Unique"/>
    <x v="7"/>
    <n v="2024"/>
    <d v="2024-09-29T00:00:00"/>
    <d v="2024-09-30T00:00:00"/>
    <n v="1"/>
    <s v="Valid"/>
    <s v="CUST-9002"/>
    <s v="Mira Das"/>
    <x v="3"/>
    <x v="2"/>
    <s v="Telangana"/>
    <m/>
    <x v="2"/>
    <x v="11"/>
    <s v="Pro Phones 226"/>
    <x v="3"/>
    <n v="9"/>
    <n v="2741.91"/>
    <n v="24677.19"/>
    <n v="0"/>
    <n v="0"/>
    <s v="Valid"/>
    <s v="Clean"/>
    <n v="24677.19"/>
    <n v="20350.849999999999"/>
    <n v="4326.34"/>
    <n v="4326.34"/>
    <n v="0.17531736798233513"/>
    <s v="Paid"/>
    <x v="0"/>
  </r>
  <r>
    <s v="ORD-2024-10619"/>
    <s v="Unique"/>
    <x v="0"/>
    <n v="2024"/>
    <d v="2024-07-23T00:00:00"/>
    <d v="2024-07-30T00:00:00"/>
    <n v="7"/>
    <s v="Valid"/>
    <s v="CUST-1057"/>
    <s v="Kabir Singh"/>
    <x v="2"/>
    <x v="0"/>
    <s v="Rajasthan"/>
    <m/>
    <x v="1"/>
    <x v="1"/>
    <s v="Basic Tables 684"/>
    <x v="1"/>
    <n v="9"/>
    <n v="1870.11"/>
    <n v="12623.242499999998"/>
    <n v="0.25"/>
    <n v="0.25"/>
    <s v="Valid"/>
    <s v="Clean"/>
    <n v="12623.24"/>
    <n v="10540.8"/>
    <n v="2082.4424999999992"/>
    <n v="2082.44"/>
    <n v="0.16496874019665317"/>
    <s v="Failed"/>
    <x v="1"/>
  </r>
  <r>
    <s v="ORD-2024-10620"/>
    <s v="Unique"/>
    <x v="3"/>
    <n v="2024"/>
    <d v="2024-11-22T00:00:00"/>
    <d v="2024-11-27T00:00:00"/>
    <n v="5"/>
    <s v="Valid"/>
    <s v="CUST-9596"/>
    <s v="Priya Menon"/>
    <x v="2"/>
    <x v="2"/>
    <s v="Tamil Nadu"/>
    <m/>
    <x v="0"/>
    <x v="9"/>
    <s v="Prime Binders 938"/>
    <x v="2"/>
    <n v="1"/>
    <n v="4251.26"/>
    <n v="3401.0080000000003"/>
    <n v="0.2"/>
    <n v="0.2"/>
    <s v="Valid"/>
    <s v="Clean"/>
    <n v="3401.01"/>
    <n v="2917.54"/>
    <n v="483.4680000000003"/>
    <n v="483.47"/>
    <n v="0.14215483047682895"/>
    <s v="Refunded"/>
    <x v="2"/>
  </r>
  <r>
    <s v="ORD-2024-10621"/>
    <s v="Unique"/>
    <x v="1"/>
    <n v="2024"/>
    <d v="2024-08-18T00:00:00"/>
    <d v="2024-08-21T00:00:00"/>
    <n v="3"/>
    <s v="Valid"/>
    <s v="CUST-6947"/>
    <s v="Vikram Iyer"/>
    <x v="0"/>
    <x v="0"/>
    <s v="Uttar Pradesh"/>
    <m/>
    <x v="2"/>
    <x v="12"/>
    <s v="Classic Machines 337"/>
    <x v="3"/>
    <n v="9"/>
    <n v="734.34"/>
    <n v="6609.06"/>
    <n v="0"/>
    <n v="0"/>
    <s v="Valid"/>
    <s v="Clean"/>
    <n v="6609.06"/>
    <n v="4946.78"/>
    <n v="1662.2800000000007"/>
    <n v="1662.28"/>
    <n v="0.2515153440882667"/>
    <s v="Paid"/>
    <x v="0"/>
  </r>
  <r>
    <s v="ORD-2024-10622"/>
    <s v="Unique"/>
    <x v="3"/>
    <n v="2024"/>
    <d v="2024-11-28T00:00:00"/>
    <d v="2024-12-06T00:00:00"/>
    <n v="8"/>
    <s v="Valid"/>
    <s v="CUST-7236"/>
    <s v="Aditi Sen"/>
    <x v="0"/>
    <x v="3"/>
    <s v="Maharashtra"/>
    <m/>
    <x v="1"/>
    <x v="4"/>
    <s v="Max Chairs 748"/>
    <x v="1"/>
    <n v="5"/>
    <n v="1092.8399999999999"/>
    <n v="5464.2"/>
    <n v="0"/>
    <n v="0"/>
    <s v="Valid"/>
    <s v="Clean"/>
    <n v="5464.2"/>
    <n v="3318.09"/>
    <n v="2146.1099999999997"/>
    <n v="2146.11"/>
    <n v="0.39275831777753378"/>
    <s v="Paid"/>
    <x v="0"/>
  </r>
  <r>
    <s v="ORD-2025-10623"/>
    <s v="Unique"/>
    <x v="10"/>
    <n v="2025"/>
    <d v="2025-01-29T00:00:00"/>
    <d v="2025-02-06T00:00:00"/>
    <n v="8"/>
    <s v="Valid"/>
    <s v="CUST-1127"/>
    <s v="Vikram Iyer"/>
    <x v="0"/>
    <x v="1"/>
    <s v="Bihar"/>
    <m/>
    <x v="0"/>
    <x v="8"/>
    <s v="Basic Storage 934"/>
    <x v="3"/>
    <n v="4"/>
    <n v="2759.01"/>
    <n v="10484.238000000001"/>
    <n v="0.05"/>
    <n v="0.05"/>
    <s v="Valid"/>
    <s v="Clean"/>
    <n v="10484.24"/>
    <n v="6680.15"/>
    <n v="3804.0880000000016"/>
    <n v="3804.09"/>
    <n v="0.3628388896095473"/>
    <s v="Paid"/>
    <x v="0"/>
  </r>
  <r>
    <s v="ORD-2024-10624"/>
    <s v="Unique"/>
    <x v="1"/>
    <n v="2024"/>
    <d v="2024-08-08T00:00:00"/>
    <d v="2024-08-14T00:00:00"/>
    <n v="6"/>
    <s v="Valid"/>
    <s v="CUST-6262"/>
    <s v="Vikram Iyer"/>
    <x v="3"/>
    <x v="0"/>
    <s v="Punjab"/>
    <m/>
    <x v="0"/>
    <x v="8"/>
    <s v="Pro Storage 509"/>
    <x v="0"/>
    <n v="8"/>
    <n v="1359.19"/>
    <n v="10329.843999999999"/>
    <n v="0.05"/>
    <n v="0.05"/>
    <s v="Valid"/>
    <s v="Clean"/>
    <n v="10329.84"/>
    <n v="7512.22"/>
    <n v="2817.6239999999989"/>
    <n v="2817.62"/>
    <n v="0.27276511543257204"/>
    <s v="Paid"/>
    <x v="0"/>
  </r>
  <r>
    <s v="ORD-2024-10625"/>
    <s v="Unique"/>
    <x v="10"/>
    <n v="2024"/>
    <d v="2024-01-30T00:00:00"/>
    <d v="2024-02-01T00:00:00"/>
    <n v="2"/>
    <s v="Valid"/>
    <s v="CUST-5070"/>
    <s v="Neha Gupta"/>
    <x v="3"/>
    <x v="1"/>
    <s v="Assam"/>
    <m/>
    <x v="1"/>
    <x v="4"/>
    <s v="Prime Chairs 765"/>
    <x v="2"/>
    <n v="2"/>
    <n v="4451.03"/>
    <n v="8456.9569999999985"/>
    <n v="0.05"/>
    <n v="0.05"/>
    <s v="Valid"/>
    <s v="Clean"/>
    <n v="8456.9599999999991"/>
    <n v="5462.85"/>
    <n v="2994.1069999999982"/>
    <n v="2994.11"/>
    <n v="0.35404093196609659"/>
    <s v="Paid"/>
    <x v="0"/>
  </r>
  <r>
    <s v="ORD-2024-10626"/>
    <s v="Unique"/>
    <x v="8"/>
    <n v="2024"/>
    <d v="2024-12-15T00:00:00"/>
    <d v="2024-12-21T00:00:00"/>
    <n v="6"/>
    <s v="Valid"/>
    <s v="CUST-7946"/>
    <s v="Diya Patel"/>
    <x v="2"/>
    <x v="3"/>
    <s v="Rajasthan"/>
    <m/>
    <x v="1"/>
    <x v="4"/>
    <s v="Elite Chairs 358"/>
    <x v="1"/>
    <n v="3"/>
    <n v="527.66999999999996"/>
    <n v="1266.4079999999999"/>
    <n v="0.2"/>
    <n v="0.2"/>
    <s v="Valid"/>
    <s v="Clean"/>
    <n v="1266.4100000000001"/>
    <n v="983.92"/>
    <n v="282.48799999999994"/>
    <n v="282.49"/>
    <n v="0.22306362078631722"/>
    <s v="Paid"/>
    <x v="0"/>
  </r>
  <r>
    <s v="ORD-2025-10627"/>
    <s v="Unique"/>
    <x v="2"/>
    <n v="2025"/>
    <d v="2025-06-04T00:00:00"/>
    <d v="2025-06-07T00:00:00"/>
    <n v="3"/>
    <s v="Valid"/>
    <s v="CUST-1793"/>
    <s v="Sneha Kapoor"/>
    <x v="3"/>
    <x v="1"/>
    <s v="Assam"/>
    <m/>
    <x v="2"/>
    <x v="12"/>
    <s v="Elite Machines 971"/>
    <x v="3"/>
    <n v="8"/>
    <n v="1434.13"/>
    <n v="11473.04"/>
    <n v="0"/>
    <n v="0"/>
    <s v="Valid"/>
    <s v="Clean"/>
    <n v="11473.04"/>
    <n v="8931.33"/>
    <n v="2541.7100000000009"/>
    <n v="2541.71"/>
    <n v="0.22153762211236078"/>
    <s v="Pending"/>
    <x v="2"/>
  </r>
  <r>
    <s v="ORD-2025-10628"/>
    <s v="Unique"/>
    <x v="6"/>
    <n v="2025"/>
    <d v="2025-02-13T00:00:00"/>
    <d v="2025-02-21T00:00:00"/>
    <n v="8"/>
    <s v="Valid"/>
    <s v="CUST-8839"/>
    <s v="Karan Malhotra"/>
    <x v="1"/>
    <x v="2"/>
    <s v="Kerala"/>
    <m/>
    <x v="2"/>
    <x v="11"/>
    <s v="Max Phones 825"/>
    <x v="0"/>
    <n v="2"/>
    <n v="2360.02"/>
    <n v="4012.0339999999997"/>
    <n v="0.15"/>
    <n v="0.15"/>
    <s v="Valid"/>
    <s v="Clean"/>
    <n v="4012.03"/>
    <n v="3142.92"/>
    <n v="869.11399999999958"/>
    <n v="869.11"/>
    <n v="0.21662599731308091"/>
    <s v="Pending"/>
    <x v="1"/>
  </r>
  <r>
    <s v="ORD-2025-10629"/>
    <s v="Unique"/>
    <x v="9"/>
    <n v="2025"/>
    <d v="2025-10-05T00:00:00"/>
    <d v="2025-10-12T00:00:00"/>
    <n v="7"/>
    <s v="Valid"/>
    <s v="CUST-6725"/>
    <s v="Ananya Rao"/>
    <x v="3"/>
    <x v="1"/>
    <s v="Jharkhand"/>
    <m/>
    <x v="2"/>
    <x v="5"/>
    <s v="Eco Accessories 933"/>
    <x v="1"/>
    <n v="7"/>
    <n v="806.67"/>
    <n v="5364.3554999999997"/>
    <n v="0.05"/>
    <n v="0.05"/>
    <s v="Valid"/>
    <s v="Clean"/>
    <n v="5364.36"/>
    <n v="4391.29"/>
    <n v="973.0654999999997"/>
    <n v="973.07"/>
    <n v="0.18139535750769897"/>
    <s v="Paid"/>
    <x v="0"/>
  </r>
  <r>
    <s v="ORD-2025-10630"/>
    <s v="Unique"/>
    <x v="7"/>
    <n v="2025"/>
    <d v="2025-09-10T00:00:00"/>
    <d v="2025-09-14T00:00:00"/>
    <n v="4"/>
    <s v="Valid"/>
    <s v="CUST-3793"/>
    <s v="Arjun Bose"/>
    <x v="3"/>
    <x v="3"/>
    <s v="Gujarat"/>
    <m/>
    <x v="1"/>
    <x v="1"/>
    <s v="Max Tables 908"/>
    <x v="1"/>
    <n v="3"/>
    <n v="4198.46"/>
    <n v="10706.073"/>
    <n v="0.15"/>
    <n v="0.15"/>
    <s v="Valid"/>
    <s v="Clean"/>
    <n v="10706.07"/>
    <n v="5927.1"/>
    <n v="4778.973"/>
    <n v="4778.97"/>
    <n v="0.44637948378816883"/>
    <s v="Paid"/>
    <x v="0"/>
  </r>
  <r>
    <s v="ORD-2024-10631"/>
    <s v="Unique"/>
    <x v="5"/>
    <n v="2024"/>
    <d v="2024-04-09T00:00:00"/>
    <d v="2024-04-10T00:00:00"/>
    <n v="1"/>
    <s v="Valid"/>
    <s v="CUST-6075"/>
    <s v="Priya Menon"/>
    <x v="2"/>
    <x v="1"/>
    <s v="Assam"/>
    <m/>
    <x v="0"/>
    <x v="0"/>
    <s v="Elite Paper 239"/>
    <x v="3"/>
    <n v="4"/>
    <n v="3047.05"/>
    <n v="10969.380000000001"/>
    <n v="0.1"/>
    <n v="0.1"/>
    <s v="Valid"/>
    <s v="Clean"/>
    <n v="10969.38"/>
    <n v="9254.4599999999991"/>
    <n v="1714.9200000000019"/>
    <n v="1714.92"/>
    <n v="0.15633700354988159"/>
    <s v="Paid"/>
    <x v="0"/>
  </r>
  <r>
    <s v="ORD-2024-10632"/>
    <s v="Unique"/>
    <x v="5"/>
    <n v="2024"/>
    <d v="2024-04-10T00:00:00"/>
    <d v="2024-04-15T00:00:00"/>
    <n v="5"/>
    <s v="Valid"/>
    <s v="CUST-6381"/>
    <s v="Aarav Sharma"/>
    <x v="3"/>
    <x v="3"/>
    <s v="Rajasthan"/>
    <m/>
    <x v="1"/>
    <x v="4"/>
    <s v="Eco Chairs 452"/>
    <x v="3"/>
    <n v="8"/>
    <n v="4362.4799999999996"/>
    <n v="31409.855999999996"/>
    <n v="0.1"/>
    <n v="0.1"/>
    <s v="Valid"/>
    <s v="Clean"/>
    <n v="31409.86"/>
    <n v="22523.54"/>
    <n v="8886.3159999999953"/>
    <n v="8886.32"/>
    <n v="0.28291498274745575"/>
    <s v="Paid"/>
    <x v="0"/>
  </r>
  <r>
    <s v="ORD-2025-10633"/>
    <s v="Unique"/>
    <x v="5"/>
    <n v="2025"/>
    <d v="2025-04-15T00:00:00"/>
    <d v="2025-04-16T00:00:00"/>
    <n v="1"/>
    <s v="Valid"/>
    <s v="CUST-4593"/>
    <s v="Sneha Kapoor"/>
    <x v="1"/>
    <x v="2"/>
    <s v="Karnataka"/>
    <m/>
    <x v="1"/>
    <x v="3"/>
    <s v="Smart Furnishings 721"/>
    <x v="2"/>
    <n v="5"/>
    <n v="2850.53"/>
    <n v="14252.650000000001"/>
    <n v="0"/>
    <n v="0"/>
    <s v="Valid"/>
    <s v="Clean"/>
    <n v="14252.65"/>
    <n v="11558.31"/>
    <n v="2694.340000000002"/>
    <n v="2694.34"/>
    <n v="0.18904133617257143"/>
    <s v="Paid"/>
    <x v="0"/>
  </r>
  <r>
    <s v="ORD-2025-10634"/>
    <s v="Unique"/>
    <x v="5"/>
    <n v="2025"/>
    <d v="2025-04-18T00:00:00"/>
    <d v="2025-04-20T00:00:00"/>
    <n v="2"/>
    <s v="Valid"/>
    <s v="CUST-5043"/>
    <s v="Aarav Sharma"/>
    <x v="1"/>
    <x v="2"/>
    <s v="Tamil Nadu"/>
    <m/>
    <x v="2"/>
    <x v="5"/>
    <s v="Basic Accessories 729"/>
    <x v="0"/>
    <n v="1"/>
    <n v="1626.08"/>
    <n v="1382.1679999999999"/>
    <n v="0.15"/>
    <n v="0.15"/>
    <s v="Valid"/>
    <s v="Clean"/>
    <n v="1382.17"/>
    <n v="810.03"/>
    <n v="572.13799999999992"/>
    <n v="572.14"/>
    <n v="0.41394329206971642"/>
    <s v="Paid"/>
    <x v="0"/>
  </r>
  <r>
    <s v="ORD-2025-10635"/>
    <s v="Unique"/>
    <x v="10"/>
    <n v="2025"/>
    <d v="2025-01-11T00:00:00"/>
    <d v="2025-01-12T00:00:00"/>
    <n v="1"/>
    <s v="Valid"/>
    <s v="CUST-4722"/>
    <s v="Aditi Sen"/>
    <x v="0"/>
    <x v="2"/>
    <s v="Telangana"/>
    <m/>
    <x v="1"/>
    <x v="4"/>
    <s v="Classic Chairs 220"/>
    <x v="0"/>
    <n v="4"/>
    <n v="2427.15"/>
    <n v="9223.17"/>
    <n v="0.05"/>
    <n v="0.05"/>
    <s v="Valid"/>
    <s v="Clean"/>
    <n v="9223.17"/>
    <n v="5103.7"/>
    <n v="4119.47"/>
    <n v="4119.47"/>
    <n v="0.44664361602355807"/>
    <s v="Paid"/>
    <x v="0"/>
  </r>
  <r>
    <s v="ORD-2024-10636"/>
    <s v="Unique"/>
    <x v="4"/>
    <n v="2024"/>
    <d v="2024-05-20T00:00:00"/>
    <d v="2024-05-25T00:00:00"/>
    <n v="5"/>
    <s v="Valid"/>
    <s v="CUST-7931"/>
    <s v="Mira Das"/>
    <x v="2"/>
    <x v="2"/>
    <s v="Andhra Pradesh"/>
    <m/>
    <x v="1"/>
    <x v="4"/>
    <s v="Max Chairs 305"/>
    <x v="1"/>
    <n v="7"/>
    <n v="3122.85"/>
    <n v="16394.962500000001"/>
    <n v="0.25"/>
    <n v="0.25"/>
    <s v="Valid"/>
    <s v="Clean"/>
    <n v="16394.96"/>
    <n v="10404.17"/>
    <n v="5990.7925000000014"/>
    <n v="5990.79"/>
    <n v="0.36540436817168204"/>
    <s v="Paid"/>
    <x v="0"/>
  </r>
  <r>
    <s v="ORD-2024-10637"/>
    <s v="Unique"/>
    <x v="9"/>
    <n v="2024"/>
    <d v="2024-10-02T00:00:00"/>
    <d v="2024-10-09T00:00:00"/>
    <n v="7"/>
    <s v="Valid"/>
    <s v="CUST-7221"/>
    <s v="Ananya Rao"/>
    <x v="0"/>
    <x v="2"/>
    <s v="Tamil Nadu"/>
    <m/>
    <x v="0"/>
    <x v="0"/>
    <s v="Smart Paper 872"/>
    <x v="3"/>
    <n v="8"/>
    <n v="1910.31"/>
    <n v="12990.108"/>
    <n v="0.15"/>
    <n v="0.15"/>
    <s v="Valid"/>
    <s v="Clean"/>
    <n v="12990.11"/>
    <n v="10200.799999999999"/>
    <n v="2789.3080000000009"/>
    <n v="2789.31"/>
    <n v="0.21472566437081747"/>
    <s v="Paid"/>
    <x v="0"/>
  </r>
  <r>
    <s v="ORD-2024-10638"/>
    <s v="Unique"/>
    <x v="4"/>
    <n v="2024"/>
    <d v="2024-05-26T00:00:00"/>
    <d v="2024-05-26T00:00:00"/>
    <n v="0"/>
    <s v="Valid"/>
    <s v="CUST-2594"/>
    <s v="Rahul Verma"/>
    <x v="1"/>
    <x v="3"/>
    <s v="Goa"/>
    <m/>
    <x v="2"/>
    <x v="6"/>
    <s v="Max Copiers 994"/>
    <x v="2"/>
    <n v="2"/>
    <n v="3192.47"/>
    <n v="5107.9520000000002"/>
    <n v="0.2"/>
    <n v="0.2"/>
    <s v="Valid"/>
    <s v="Clean"/>
    <n v="5107.95"/>
    <n v="3133.08"/>
    <n v="1974.8720000000003"/>
    <n v="1974.87"/>
    <n v="0.38662672892256189"/>
    <s v="Paid"/>
    <x v="0"/>
  </r>
  <r>
    <s v="ORD-2024-10639"/>
    <s v="Unique"/>
    <x v="10"/>
    <n v="2024"/>
    <d v="2024-01-26T00:00:00"/>
    <d v="2024-01-31T00:00:00"/>
    <n v="5"/>
    <s v="Valid"/>
    <s v="CUST-2111"/>
    <s v="Karan Malhotra"/>
    <x v="2"/>
    <x v="2"/>
    <s v="Kerala"/>
    <m/>
    <x v="0"/>
    <x v="8"/>
    <s v="Pro Storage 744"/>
    <x v="0"/>
    <n v="3"/>
    <n v="3224.32"/>
    <n v="7738.3680000000013"/>
    <n v="0.2"/>
    <n v="0.2"/>
    <s v="Valid"/>
    <s v="Clean"/>
    <n v="7738.37"/>
    <n v="4626.8500000000004"/>
    <n v="3111.5180000000009"/>
    <n v="3111.52"/>
    <n v="0.40208984579439855"/>
    <s v="Failed"/>
    <x v="2"/>
  </r>
  <r>
    <s v="ORD-2024-10640"/>
    <s v="Unique"/>
    <x v="8"/>
    <n v="2024"/>
    <d v="2024-12-27T00:00:00"/>
    <d v="2024-12-31T00:00:00"/>
    <n v="4"/>
    <s v="Valid"/>
    <s v="CUST-6829"/>
    <s v="Isha Nair"/>
    <x v="1"/>
    <x v="1"/>
    <s v="Odisha"/>
    <m/>
    <x v="1"/>
    <x v="4"/>
    <s v="Elite Chairs 744"/>
    <x v="0"/>
    <n v="1"/>
    <n v="1594.7"/>
    <n v="1514.9649999999999"/>
    <n v="0.05"/>
    <n v="0.05"/>
    <s v="Valid"/>
    <s v="Clean"/>
    <n v="1514.96"/>
    <n v="1046.17"/>
    <n v="468.79499999999985"/>
    <n v="468.79"/>
    <n v="0.30944051328087868"/>
    <s v="Paid"/>
    <x v="0"/>
  </r>
  <r>
    <s v="ORD-2025-10641"/>
    <s v="Unique"/>
    <x v="10"/>
    <n v="2025"/>
    <d v="2025-01-14T00:00:00"/>
    <d v="2025-01-17T00:00:00"/>
    <n v="3"/>
    <s v="Valid"/>
    <s v="CUST-5061"/>
    <s v="Vikram Iyer"/>
    <x v="0"/>
    <x v="3"/>
    <s v="Goa"/>
    <m/>
    <x v="0"/>
    <x v="8"/>
    <s v="Basic Storage 973"/>
    <x v="2"/>
    <n v="1"/>
    <n v="1584.12"/>
    <n v="1267.296"/>
    <n v="0.2"/>
    <n v="0.2"/>
    <s v="Valid"/>
    <s v="Clean"/>
    <n v="1267.3"/>
    <n v="923.53"/>
    <n v="343.76600000000008"/>
    <n v="343.77"/>
    <n v="0.27126173755227651"/>
    <s v="Paid"/>
    <x v="0"/>
  </r>
  <r>
    <s v="ORD-2025-10642"/>
    <s v="Unique"/>
    <x v="5"/>
    <n v="2025"/>
    <d v="2025-04-09T00:00:00"/>
    <d v="2025-04-14T00:00:00"/>
    <n v="5"/>
    <s v="Valid"/>
    <s v="CUST-7915"/>
    <s v="Karan Malhotra"/>
    <x v="0"/>
    <x v="0"/>
    <s v="Delhi"/>
    <m/>
    <x v="1"/>
    <x v="3"/>
    <s v="Smart Furnishings 783"/>
    <x v="1"/>
    <n v="2"/>
    <n v="3202.87"/>
    <n v="6405.74"/>
    <n v="0"/>
    <n v="0"/>
    <s v="Valid"/>
    <s v="Clean"/>
    <n v="6405.74"/>
    <n v="3561.87"/>
    <n v="2843.87"/>
    <n v="2843.87"/>
    <n v="0.44395651400150488"/>
    <s v="Paid"/>
    <x v="0"/>
  </r>
  <r>
    <s v="ORD-2024-10643"/>
    <s v="Unique"/>
    <x v="1"/>
    <n v="2024"/>
    <d v="2024-08-29T00:00:00"/>
    <d v="2024-08-31T00:00:00"/>
    <n v="2"/>
    <s v="Valid"/>
    <s v="CUST-1940"/>
    <s v="Isha Nair"/>
    <x v="3"/>
    <x v="1"/>
    <s v="Assam"/>
    <m/>
    <x v="0"/>
    <x v="9"/>
    <s v="Prime Binders 287"/>
    <x v="0"/>
    <n v="9"/>
    <n v="1275.21"/>
    <n v="8607.6674999999996"/>
    <n v="0.25"/>
    <n v="0.25"/>
    <s v="Valid"/>
    <s v="Clean"/>
    <n v="8607.67"/>
    <n v="5337.64"/>
    <n v="3270.0274999999992"/>
    <n v="3270.03"/>
    <n v="0.37989723119032215"/>
    <s v="Failed"/>
    <x v="2"/>
  </r>
  <r>
    <s v="ORD-2024-10644"/>
    <s v="Unique"/>
    <x v="6"/>
    <n v="2024"/>
    <d v="2024-02-05T00:00:00"/>
    <d v="2024-02-13T00:00:00"/>
    <n v="8"/>
    <s v="Valid"/>
    <s v="CUST-1986"/>
    <s v="Aarav Sharma"/>
    <x v="3"/>
    <x v="0"/>
    <s v="Uttar Pradesh"/>
    <m/>
    <x v="0"/>
    <x v="7"/>
    <s v="Elite Labels 654"/>
    <x v="3"/>
    <n v="8"/>
    <n v="3871.18"/>
    <n v="26324.023999999998"/>
    <n v="0.15"/>
    <n v="0.15"/>
    <s v="Valid"/>
    <s v="Clean"/>
    <n v="26324.02"/>
    <n v="16277.96"/>
    <n v="10046.063999999998"/>
    <n v="10046.06"/>
    <n v="0.38163092111311264"/>
    <s v="Failed"/>
    <x v="2"/>
  </r>
  <r>
    <s v="ORD-2025-10645"/>
    <s v="Unique"/>
    <x v="5"/>
    <n v="2025"/>
    <d v="2025-04-10T00:00:00"/>
    <d v="2025-04-17T00:00:00"/>
    <n v="7"/>
    <s v="Valid"/>
    <s v="CUST-5549"/>
    <s v="Vikram Iyer"/>
    <x v="0"/>
    <x v="1"/>
    <s v="West Bengal"/>
    <m/>
    <x v="1"/>
    <x v="4"/>
    <s v="Pro Chairs 812"/>
    <x v="3"/>
    <n v="4"/>
    <n v="3750.02"/>
    <n v="14250.075999999999"/>
    <n v="0.05"/>
    <n v="0.05"/>
    <s v="Valid"/>
    <s v="Clean"/>
    <n v="14250.08"/>
    <n v="10914.92"/>
    <n v="3335.155999999999"/>
    <n v="3335.16"/>
    <n v="0.23404500185262117"/>
    <s v="Paid"/>
    <x v="0"/>
  </r>
  <r>
    <s v="ORD-2024-10646"/>
    <s v="Unique"/>
    <x v="10"/>
    <n v="2024"/>
    <d v="2024-01-04T00:00:00"/>
    <d v="2024-01-09T00:00:00"/>
    <n v="5"/>
    <s v="Valid"/>
    <s v="CUST-2314"/>
    <s v="Kabir Singh"/>
    <x v="0"/>
    <x v="1"/>
    <s v="Bihar"/>
    <m/>
    <x v="1"/>
    <x v="4"/>
    <s v="Basic Chairs 480"/>
    <x v="0"/>
    <n v="6"/>
    <n v="2423.61"/>
    <n v="13087.494000000001"/>
    <n v="0.1"/>
    <n v="0.1"/>
    <s v="Valid"/>
    <s v="Clean"/>
    <n v="13087.49"/>
    <n v="7608.89"/>
    <n v="5478.6040000000003"/>
    <n v="5133.22"/>
    <n v="0.39222341335122324"/>
    <s v="Paid"/>
    <x v="0"/>
  </r>
  <r>
    <s v="ORD-2024-10647"/>
    <s v="Unique"/>
    <x v="7"/>
    <n v="2024"/>
    <d v="2024-09-18T00:00:00"/>
    <d v="2024-09-24T00:00:00"/>
    <n v="6"/>
    <s v="Valid"/>
    <s v="CUST-6360"/>
    <s v="Vikram Iyer"/>
    <x v="1"/>
    <x v="1"/>
    <s v="Jharkhand"/>
    <m/>
    <x v="2"/>
    <x v="12"/>
    <s v="Elite Machines 955"/>
    <x v="2"/>
    <n v="3"/>
    <n v="729.14"/>
    <n v="1640.5650000000001"/>
    <n v="0.25"/>
    <n v="0.25"/>
    <s v="Valid"/>
    <s v="Clean"/>
    <n v="1640.57"/>
    <n v="1136.98"/>
    <n v="503.58500000000004"/>
    <n v="503.59"/>
    <n v="0.30696038571959744"/>
    <s v="Paid"/>
    <x v="0"/>
  </r>
  <r>
    <s v="ORD-2025-10648"/>
    <s v="Unique"/>
    <x v="10"/>
    <n v="2025"/>
    <d v="2025-01-01T00:00:00"/>
    <d v="2025-01-09T00:00:00"/>
    <n v="8"/>
    <s v="Valid"/>
    <s v="CUST-9942"/>
    <s v="Rohan Mehta"/>
    <x v="1"/>
    <x v="0"/>
    <s v="Punjab"/>
    <m/>
    <x v="0"/>
    <x v="2"/>
    <s v="Prime Art 461"/>
    <x v="2"/>
    <n v="8"/>
    <n v="2123.81"/>
    <n v="14441.907999999999"/>
    <n v="0.15"/>
    <n v="0.15"/>
    <s v="Valid"/>
    <s v="Clean"/>
    <n v="14441.91"/>
    <n v="10872.89"/>
    <n v="3569.018"/>
    <n v="3569.02"/>
    <n v="0.24712936169800256"/>
    <s v="Paid"/>
    <x v="0"/>
  </r>
  <r>
    <s v="ORD-2024-10649"/>
    <s v="Unique"/>
    <x v="5"/>
    <n v="2024"/>
    <d v="2024-04-21T00:00:00"/>
    <d v="2024-04-24T00:00:00"/>
    <n v="3"/>
    <s v="Valid"/>
    <s v="CUST-1808"/>
    <s v="Neha Gupta"/>
    <x v="1"/>
    <x v="2"/>
    <s v="Andhra Pradesh"/>
    <m/>
    <x v="0"/>
    <x v="2"/>
    <s v="Prime Art 301"/>
    <x v="1"/>
    <n v="9"/>
    <n v="703.59"/>
    <n v="5065.8480000000009"/>
    <n v="0.2"/>
    <n v="0.2"/>
    <s v="Valid"/>
    <s v="Clean"/>
    <n v="5065.8500000000004"/>
    <n v="3517.23"/>
    <n v="1548.6180000000008"/>
    <n v="1548.62"/>
    <n v="0.30569795789452903"/>
    <s v="Failed"/>
    <x v="2"/>
  </r>
  <r>
    <s v="ORD-2025-10650"/>
    <s v="Unique"/>
    <x v="1"/>
    <n v="2025"/>
    <d v="2025-08-11T00:00:00"/>
    <d v="2025-08-19T00:00:00"/>
    <n v="8"/>
    <s v="Valid"/>
    <s v="CUST-7277"/>
    <s v="Kabir Singh"/>
    <x v="1"/>
    <x v="2"/>
    <s v="Kerala"/>
    <m/>
    <x v="2"/>
    <x v="5"/>
    <s v="Classic Accessories 354"/>
    <x v="3"/>
    <n v="4"/>
    <n v="2258.96"/>
    <n v="6776.88"/>
    <n v="0.25"/>
    <n v="0.25"/>
    <s v="Valid"/>
    <s v="Clean"/>
    <n v="6776.88"/>
    <n v="3836.24"/>
    <n v="2940.6400000000003"/>
    <n v="2940.64"/>
    <n v="0.43392239496641521"/>
    <s v="Paid"/>
    <x v="0"/>
  </r>
  <r>
    <s v="ORD-2024-10651"/>
    <s v="Unique"/>
    <x v="5"/>
    <n v="2024"/>
    <d v="2024-04-13T00:00:00"/>
    <d v="2024-04-21T00:00:00"/>
    <n v="8"/>
    <s v="Valid"/>
    <s v="CUST-7744"/>
    <s v="Aarav Sharma"/>
    <x v="3"/>
    <x v="1"/>
    <s v="Bihar"/>
    <m/>
    <x v="2"/>
    <x v="5"/>
    <s v="Basic Accessories 210"/>
    <x v="1"/>
    <n v="7"/>
    <n v="2648.76"/>
    <n v="15760.121999999999"/>
    <n v="0.15"/>
    <n v="0.15"/>
    <s v="Valid"/>
    <s v="Clean"/>
    <n v="15760.12"/>
    <n v="9931.5300000000007"/>
    <n v="5828.5919999999987"/>
    <n v="5828.59"/>
    <n v="0.3698315748864856"/>
    <s v="Failed"/>
    <x v="2"/>
  </r>
  <r>
    <s v="ORD-2025-10652"/>
    <s v="Unique"/>
    <x v="1"/>
    <n v="2025"/>
    <d v="2025-08-06T00:00:00"/>
    <d v="2025-08-09T00:00:00"/>
    <n v="3"/>
    <s v="Valid"/>
    <s v="CUST-2660"/>
    <s v="Mira Das"/>
    <x v="1"/>
    <x v="2"/>
    <s v="Andhra Pradesh"/>
    <m/>
    <x v="0"/>
    <x v="0"/>
    <s v="Smart Paper 364"/>
    <x v="0"/>
    <n v="3"/>
    <n v="598.54999999999995"/>
    <n v="1795.6499999999999"/>
    <n v="0"/>
    <n v="0"/>
    <s v="Valid"/>
    <s v="Clean"/>
    <n v="1795.65"/>
    <n v="996.72"/>
    <n v="798.92999999999984"/>
    <n v="798.93"/>
    <n v="0.44492523598696848"/>
    <s v="Paid"/>
    <x v="0"/>
  </r>
  <r>
    <s v="ORD-2025-10653"/>
    <s v="Unique"/>
    <x v="11"/>
    <n v="2025"/>
    <d v="2025-03-17T00:00:00"/>
    <d v="2025-03-21T00:00:00"/>
    <n v="4"/>
    <s v="Valid"/>
    <s v="CUST-8177"/>
    <s v="Sneha Kapoor"/>
    <x v="0"/>
    <x v="0"/>
    <s v="Uttar Pradesh"/>
    <m/>
    <x v="0"/>
    <x v="9"/>
    <s v="Smart Binders 999"/>
    <x v="3"/>
    <n v="5"/>
    <n v="4320.59"/>
    <n v="18362.5075"/>
    <n v="0.15"/>
    <n v="0.15"/>
    <s v="Valid"/>
    <s v="Clean"/>
    <n v="18362.509999999998"/>
    <n v="11133.97"/>
    <n v="7228.5375000000004"/>
    <n v="7228.54"/>
    <n v="0.39365751196323384"/>
    <s v="Paid"/>
    <x v="0"/>
  </r>
  <r>
    <s v="ORD-2025-10654"/>
    <s v="Unique"/>
    <x v="5"/>
    <n v="2025"/>
    <d v="2025-04-04T00:00:00"/>
    <d v="2025-04-07T00:00:00"/>
    <n v="3"/>
    <s v="Valid"/>
    <s v="CUST-3970"/>
    <s v="Priya Menon"/>
    <x v="1"/>
    <x v="2"/>
    <s v="Tamil Nadu"/>
    <m/>
    <x v="2"/>
    <x v="6"/>
    <s v="Max Copiers 356"/>
    <x v="0"/>
    <n v="7"/>
    <n v="4457.93"/>
    <n v="26524.683500000003"/>
    <n v="0.15"/>
    <n v="0.15"/>
    <s v="Valid"/>
    <s v="Clean"/>
    <n v="26524.68"/>
    <n v="20574.3"/>
    <n v="5950.3835000000036"/>
    <n v="5950.38"/>
    <n v="0.22433371486479761"/>
    <s v="Paid"/>
    <x v="0"/>
  </r>
  <r>
    <s v="ORD-2025-10655"/>
    <s v="Unique"/>
    <x v="9"/>
    <n v="2025"/>
    <d v="2025-10-12T00:00:00"/>
    <d v="2025-10-16T00:00:00"/>
    <n v="4"/>
    <s v="Valid"/>
    <s v="CUST-8249"/>
    <s v="Diya Patel"/>
    <x v="2"/>
    <x v="1"/>
    <s v="Bihar"/>
    <m/>
    <x v="2"/>
    <x v="12"/>
    <s v="Classic Machines 639"/>
    <x v="1"/>
    <n v="1"/>
    <n v="2570.06"/>
    <n v="2056.0480000000002"/>
    <n v="0.2"/>
    <n v="0.2"/>
    <s v="Valid"/>
    <s v="Clean"/>
    <n v="2056.0500000000002"/>
    <n v="1662.39"/>
    <n v="393.65800000000013"/>
    <n v="393.66"/>
    <n v="0.19146421536441233"/>
    <s v="Paid"/>
    <x v="0"/>
  </r>
  <r>
    <s v="ORD-2025-10656"/>
    <s v="Unique"/>
    <x v="1"/>
    <n v="2025"/>
    <d v="2025-08-26T00:00:00"/>
    <d v="2025-08-26T00:00:00"/>
    <n v="0"/>
    <s v="Valid"/>
    <s v="CUST-8039"/>
    <s v="Neha Gupta"/>
    <x v="3"/>
    <x v="1"/>
    <s v="West Bengal"/>
    <m/>
    <x v="1"/>
    <x v="3"/>
    <s v="Smart Furnishings 748"/>
    <x v="3"/>
    <n v="4"/>
    <n v="2151.8200000000002"/>
    <n v="8607.2800000000007"/>
    <n v="0"/>
    <n v="0"/>
    <s v="Valid"/>
    <s v="Clean"/>
    <n v="8607.2800000000007"/>
    <n v="5124.01"/>
    <n v="3483.2700000000004"/>
    <n v="3483.27"/>
    <n v="0.40468882155570629"/>
    <s v="Paid"/>
    <x v="0"/>
  </r>
  <r>
    <s v="ORD-2024-10657"/>
    <s v="Unique"/>
    <x v="4"/>
    <n v="2024"/>
    <d v="2024-05-07T00:00:00"/>
    <d v="2024-05-14T00:00:00"/>
    <n v="7"/>
    <s v="Valid"/>
    <s v="CUST-4446"/>
    <s v="Neha Gupta"/>
    <x v="1"/>
    <x v="0"/>
    <s v="Haryana"/>
    <m/>
    <x v="2"/>
    <x v="12"/>
    <s v="Pro Machines 589"/>
    <x v="1"/>
    <n v="4"/>
    <n v="2751.1"/>
    <s v="Invalid"/>
    <n v="-0.05"/>
    <s v="Invalid"/>
    <s v="Invalid"/>
    <s v="Invalid"/>
    <n v="9903.9599999999991"/>
    <n v="7696.28"/>
    <s v="Invalid"/>
    <n v="2207.6799999999998"/>
    <n v="0.22290881627147122"/>
    <s v="Paid"/>
    <x v="0"/>
  </r>
  <r>
    <s v="ORD-2025-10658"/>
    <s v="Unique"/>
    <x v="1"/>
    <n v="2025"/>
    <d v="2025-08-07T00:00:00"/>
    <d v="2025-08-10T00:00:00"/>
    <n v="3"/>
    <s v="Valid"/>
    <s v="CUST-7787"/>
    <s v="Aditi Sen"/>
    <x v="3"/>
    <x v="1"/>
    <s v="Bihar"/>
    <m/>
    <x v="0"/>
    <x v="8"/>
    <s v="Eco Storage 316"/>
    <x v="0"/>
    <n v="1"/>
    <n v="2541.25"/>
    <n v="2033"/>
    <n v="0.2"/>
    <n v="0.2"/>
    <s v="Valid"/>
    <s v="Clean"/>
    <n v="2033"/>
    <n v="1291.4100000000001"/>
    <n v="741.58999999999992"/>
    <n v="741.59"/>
    <n v="0.36477619281849483"/>
    <s v="Paid"/>
    <x v="0"/>
  </r>
  <r>
    <s v="ORD-2025-10659"/>
    <s v="Unique"/>
    <x v="2"/>
    <n v="2025"/>
    <d v="2025-06-09T00:00:00"/>
    <d v="2025-06-12T00:00:00"/>
    <n v="3"/>
    <s v="Valid"/>
    <s v="CUST-9074"/>
    <s v="Sneha Kapoor"/>
    <x v="0"/>
    <x v="4"/>
    <s v="Bihar"/>
    <m/>
    <x v="0"/>
    <x v="2"/>
    <s v="Eco Art 763"/>
    <x v="2"/>
    <n v="7"/>
    <n v="2852.42"/>
    <n v="19966.940000000002"/>
    <n v="0"/>
    <n v="0"/>
    <s v="Valid"/>
    <s v="Clean"/>
    <n v="19966.939999999999"/>
    <n v="12690.83"/>
    <n v="7276.1100000000024"/>
    <n v="7276.11"/>
    <n v="0.36440786620283327"/>
    <s v="Refunded"/>
    <x v="1"/>
  </r>
  <r>
    <s v="ORD-2025-10660"/>
    <s v="Unique"/>
    <x v="10"/>
    <n v="2025"/>
    <d v="2025-01-21T00:00:00"/>
    <d v="2025-01-22T00:00:00"/>
    <n v="1"/>
    <s v="Valid"/>
    <s v="CUST-8330"/>
    <s v="Diya Patel"/>
    <x v="2"/>
    <x v="2"/>
    <s v="Karnataka"/>
    <m/>
    <x v="2"/>
    <x v="11"/>
    <s v="Pro Phones 356"/>
    <x v="0"/>
    <n v="2"/>
    <n v="444.31"/>
    <n v="710.89600000000007"/>
    <n v="0.2"/>
    <n v="0.2"/>
    <s v="Valid"/>
    <s v="Clean"/>
    <n v="710.9"/>
    <n v="513.88"/>
    <n v="197.01600000000008"/>
    <n v="197.02"/>
    <n v="0.27714165142776764"/>
    <s v="Refunded"/>
    <x v="1"/>
  </r>
  <r>
    <s v="ORD-2025-10661"/>
    <s v="Unique"/>
    <x v="0"/>
    <n v="2025"/>
    <d v="2025-07-15T00:00:00"/>
    <d v="2025-07-15T00:00:00"/>
    <n v="0"/>
    <s v="Valid"/>
    <s v="CUST-5638"/>
    <s v="Arjun Bose"/>
    <x v="1"/>
    <x v="1"/>
    <s v="Jharkhand"/>
    <m/>
    <x v="2"/>
    <x v="11"/>
    <s v="Basic Phones 865"/>
    <x v="1"/>
    <n v="4"/>
    <n v="4442.91"/>
    <n v="15994.476000000001"/>
    <n v="0.1"/>
    <n v="0.1"/>
    <s v="Valid"/>
    <s v="Clean"/>
    <n v="15994.48"/>
    <n v="9224.2800000000007"/>
    <n v="6770.1959999999999"/>
    <n v="6770.2"/>
    <n v="0.42328353281882247"/>
    <s v="Paid"/>
    <x v="0"/>
  </r>
  <r>
    <s v="ORD-2024-10662"/>
    <s v="Unique"/>
    <x v="4"/>
    <n v="2024"/>
    <d v="2024-05-17T00:00:00"/>
    <d v="2024-05-22T00:00:00"/>
    <n v="5"/>
    <s v="Valid"/>
    <s v="CUST-4537"/>
    <s v="Sneha Kapoor"/>
    <x v="0"/>
    <x v="2"/>
    <s v="Andhra Pradesh"/>
    <m/>
    <x v="2"/>
    <x v="12"/>
    <s v="Max Machines 595"/>
    <x v="0"/>
    <n v="7"/>
    <n v="232.5"/>
    <n v="1627.5"/>
    <n v="0"/>
    <n v="0"/>
    <s v="Valid"/>
    <s v="Clean"/>
    <n v="1627.5"/>
    <n v="939.9"/>
    <n v="687.6"/>
    <n v="687.6"/>
    <n v="0.4224884792626728"/>
    <s v="Paid"/>
    <x v="0"/>
  </r>
  <r>
    <s v="ORD-2024-10663"/>
    <s v="Unique"/>
    <x v="10"/>
    <n v="2024"/>
    <d v="2024-01-14T00:00:00"/>
    <d v="2024-01-18T00:00:00"/>
    <n v="4"/>
    <s v="Valid"/>
    <s v="CUST-3181"/>
    <s v="Mira Das"/>
    <x v="3"/>
    <x v="3"/>
    <s v="Rajasthan"/>
    <m/>
    <x v="2"/>
    <x v="12"/>
    <s v="Elite Machines 367"/>
    <x v="1"/>
    <n v="6"/>
    <n v="1784.8"/>
    <n v="9637.92"/>
    <n v="0.1"/>
    <n v="0.1"/>
    <s v="Valid"/>
    <s v="Clean"/>
    <n v="9637.92"/>
    <n v="7329.29"/>
    <n v="2308.63"/>
    <n v="2308.63"/>
    <n v="0.2395361239769577"/>
    <s v="Paid"/>
    <x v="0"/>
  </r>
  <r>
    <s v="ORD-2024-10664"/>
    <s v="Unique"/>
    <x v="4"/>
    <n v="2024"/>
    <d v="2024-05-02T00:00:00"/>
    <d v="2024-05-08T00:00:00"/>
    <n v="6"/>
    <s v="Valid"/>
    <s v="CUST-1015"/>
    <s v="Rahul Verma"/>
    <x v="3"/>
    <x v="1"/>
    <s v="Jharkhand"/>
    <m/>
    <x v="2"/>
    <x v="6"/>
    <s v="Basic Copiers 787"/>
    <x v="0"/>
    <n v="2"/>
    <n v="3185.01"/>
    <s v="Invalid"/>
    <n v="-0.24"/>
    <s v="Invalid"/>
    <s v="Invalid"/>
    <s v="Invalid"/>
    <n v="4777.5200000000004"/>
    <n v="3152.98"/>
    <s v="Invalid"/>
    <n v="1624.54"/>
    <n v="0.34003834625496071"/>
    <s v="Paid"/>
    <x v="0"/>
  </r>
  <r>
    <s v="ORD-2024-10665"/>
    <s v="Unique"/>
    <x v="8"/>
    <n v="2024"/>
    <d v="2024-12-07T00:00:00"/>
    <d v="2024-12-10T00:00:00"/>
    <n v="3"/>
    <s v="Valid"/>
    <s v="CUST-2709"/>
    <s v="Mira Das"/>
    <x v="3"/>
    <x v="2"/>
    <s v="Telangana"/>
    <m/>
    <x v="2"/>
    <x v="5"/>
    <s v="Max Accessories 903"/>
    <x v="3"/>
    <n v="1"/>
    <n v="1908.83"/>
    <n v="1527.0640000000001"/>
    <n v="0.2"/>
    <n v="0.2"/>
    <s v="Valid"/>
    <s v="Clean"/>
    <n v="1527.06"/>
    <n v="1055.8900000000001"/>
    <n v="471.17399999999998"/>
    <n v="471.17"/>
    <n v="0.30854714287585294"/>
    <s v="Paid"/>
    <x v="0"/>
  </r>
  <r>
    <s v="ORD-2025-10666"/>
    <s v="Unique"/>
    <x v="10"/>
    <n v="2025"/>
    <d v="2025-01-13T00:00:00"/>
    <d v="2025-01-13T00:00:00"/>
    <n v="0"/>
    <s v="Valid"/>
    <s v="CUST-1197"/>
    <s v="Rahul Verma"/>
    <x v="3"/>
    <x v="3"/>
    <s v="Gujarat"/>
    <m/>
    <x v="0"/>
    <x v="2"/>
    <s v="Max Art 660"/>
    <x v="3"/>
    <n v="3"/>
    <n v="2110.52"/>
    <n v="5698.4039999999995"/>
    <n v="0.1"/>
    <n v="0.1"/>
    <s v="Valid"/>
    <s v="Clean"/>
    <n v="5698.4"/>
    <n v="3640.89"/>
    <n v="2057.5139999999997"/>
    <n v="2057.5100000000002"/>
    <n v="0.36106801909307884"/>
    <s v="Failed"/>
    <x v="1"/>
  </r>
  <r>
    <s v="ORD-2024-10667"/>
    <s v="Unique"/>
    <x v="2"/>
    <n v="2024"/>
    <d v="2024-06-21T00:00:00"/>
    <d v="2024-06-26T00:00:00"/>
    <n v="5"/>
    <s v="Valid"/>
    <s v="CUST-7758"/>
    <s v="Rohan Mehta"/>
    <x v="1"/>
    <x v="0"/>
    <s v="Punjab"/>
    <m/>
    <x v="2"/>
    <x v="6"/>
    <s v="Classic Copiers 908"/>
    <x v="1"/>
    <n v="1"/>
    <n v="279.83"/>
    <n v="265.83849999999995"/>
    <n v="0.05"/>
    <n v="0.05"/>
    <s v="Valid"/>
    <s v="Clean"/>
    <n v="265.83999999999997"/>
    <n v="223.49"/>
    <n v="42.348499999999945"/>
    <n v="42.35"/>
    <n v="0.15930634968402049"/>
    <s v="Paid"/>
    <x v="0"/>
  </r>
  <r>
    <s v="ORD-2025-10668"/>
    <s v="Unique"/>
    <x v="4"/>
    <n v="2025"/>
    <d v="2025-05-20T00:00:00"/>
    <d v="2025-05-27T00:00:00"/>
    <n v="7"/>
    <s v="Valid"/>
    <s v="CUST-3912"/>
    <s v="Diya Patel"/>
    <x v="1"/>
    <x v="1"/>
    <s v="Bihar"/>
    <m/>
    <x v="2"/>
    <x v="12"/>
    <s v="Pro Machines 706"/>
    <x v="3"/>
    <n v="1"/>
    <n v="3959.14"/>
    <n v="3959.14"/>
    <n v="0"/>
    <n v="0"/>
    <s v="Valid"/>
    <s v="Clean"/>
    <n v="3959.14"/>
    <n v="3239.53"/>
    <n v="719.60999999999967"/>
    <n v="719.61"/>
    <n v="0.18175916992074037"/>
    <s v="Pending"/>
    <x v="2"/>
  </r>
  <r>
    <s v="ORD-2024-10669"/>
    <s v="Unique"/>
    <x v="3"/>
    <n v="2024"/>
    <d v="2024-11-21T00:00:00"/>
    <d v="2024-11-23T00:00:00"/>
    <n v="2"/>
    <s v="Valid"/>
    <s v="CUST-4190"/>
    <s v="Mira Das"/>
    <x v="2"/>
    <x v="3"/>
    <s v="Gujarat"/>
    <m/>
    <x v="0"/>
    <x v="0"/>
    <s v="Pro Paper 187"/>
    <x v="0"/>
    <n v="5"/>
    <n v="600.46"/>
    <n v="2401.84"/>
    <n v="0.2"/>
    <n v="0.2"/>
    <s v="Valid"/>
    <s v="Clean"/>
    <n v="2401.84"/>
    <n v="1873.11"/>
    <n v="528.73000000000025"/>
    <n v="528.73"/>
    <n v="0.22013539619624953"/>
    <s v="Paid"/>
    <x v="0"/>
  </r>
  <r>
    <s v="ORD-2024-10670"/>
    <s v="Unique"/>
    <x v="11"/>
    <n v="2024"/>
    <d v="2024-03-24T00:00:00"/>
    <d v="2024-04-01T00:00:00"/>
    <n v="8"/>
    <s v="Valid"/>
    <s v="CUST-7568"/>
    <s v="Ananya Rao"/>
    <x v="3"/>
    <x v="3"/>
    <s v="Maharashtra"/>
    <m/>
    <x v="1"/>
    <x v="1"/>
    <s v="Classic Tables 606"/>
    <x v="0"/>
    <n v="4"/>
    <n v="1700.72"/>
    <n v="5102.16"/>
    <n v="0.25"/>
    <n v="0.25"/>
    <s v="Valid"/>
    <s v="Clean"/>
    <n v="5102.16"/>
    <n v="3226.45"/>
    <n v="1875.71"/>
    <n v="1875.71"/>
    <n v="0.36763057214983458"/>
    <s v="Paid"/>
    <x v="0"/>
  </r>
  <r>
    <s v="ORD-2025-10671"/>
    <s v="Unique"/>
    <x v="6"/>
    <n v="2025"/>
    <d v="2025-02-02T00:00:00"/>
    <d v="2025-02-06T00:00:00"/>
    <n v="4"/>
    <s v="Valid"/>
    <s v="CUST-5604"/>
    <s v="Sneha Kapoor"/>
    <x v="2"/>
    <x v="0"/>
    <s v="Uttar Pradesh"/>
    <m/>
    <x v="1"/>
    <x v="1"/>
    <s v="Smart Tables 835"/>
    <x v="3"/>
    <n v="8"/>
    <n v="857.86"/>
    <n v="6176.5920000000006"/>
    <n v="0.1"/>
    <n v="0.1"/>
    <s v="Valid"/>
    <s v="Clean"/>
    <n v="6176.59"/>
    <n v="3560.96"/>
    <n v="2615.6320000000005"/>
    <n v="2615.63"/>
    <n v="0.42347476520215849"/>
    <s v="Paid"/>
    <x v="0"/>
  </r>
  <r>
    <s v="ORD-2024-10672"/>
    <s v="Unique"/>
    <x v="11"/>
    <n v="2024"/>
    <d v="2024-03-22T00:00:00"/>
    <d v="2024-03-27T00:00:00"/>
    <n v="5"/>
    <s v="Valid"/>
    <s v="CUST-3293"/>
    <s v="Aditi Sen"/>
    <x v="3"/>
    <x v="3"/>
    <s v="Goa"/>
    <m/>
    <x v="2"/>
    <x v="6"/>
    <s v="Classic Copiers 583"/>
    <x v="0"/>
    <n v="9"/>
    <n v="3649.51"/>
    <n v="31203.310500000003"/>
    <n v="0.05"/>
    <n v="0.05"/>
    <s v="Valid"/>
    <s v="Clean"/>
    <n v="31203.31"/>
    <n v="17738.13"/>
    <n v="13465.180500000002"/>
    <n v="13465.18"/>
    <n v="0.43153050109107016"/>
    <s v="Paid"/>
    <x v="0"/>
  </r>
  <r>
    <s v="ORD-2024-10673"/>
    <s v="Unique"/>
    <x v="7"/>
    <n v="2024"/>
    <d v="2024-09-04T00:00:00"/>
    <d v="2024-09-05T00:00:00"/>
    <n v="1"/>
    <s v="Valid"/>
    <s v="CUST-8180"/>
    <s v="Aditi Sen"/>
    <x v="2"/>
    <x v="3"/>
    <s v="Madhya Pradesh"/>
    <m/>
    <x v="1"/>
    <x v="4"/>
    <s v="Classic Chairs 460"/>
    <x v="3"/>
    <n v="5"/>
    <n v="2528.5300000000002"/>
    <n v="12010.5175"/>
    <n v="0.05"/>
    <n v="0.05"/>
    <s v="Valid"/>
    <s v="Clean"/>
    <n v="12010.52"/>
    <n v="7864.61"/>
    <n v="4145.9075000000003"/>
    <n v="4145.91"/>
    <n v="0.34518988353543389"/>
    <s v="Paid"/>
    <x v="2"/>
  </r>
  <r>
    <s v="ORD-2025-10674"/>
    <s v="Unique"/>
    <x v="6"/>
    <n v="2025"/>
    <d v="2025-02-13T00:00:00"/>
    <d v="2025-02-16T00:00:00"/>
    <n v="3"/>
    <s v="Valid"/>
    <s v="CUST-2807"/>
    <s v="Arjun Bose"/>
    <x v="1"/>
    <x v="3"/>
    <s v="Rajasthan"/>
    <m/>
    <x v="1"/>
    <x v="10"/>
    <s v="Classic Bookcases 488"/>
    <x v="0"/>
    <n v="4"/>
    <n v="4072.9"/>
    <n v="13847.86"/>
    <n v="0.15"/>
    <n v="0.15"/>
    <s v="Valid"/>
    <s v="Clean"/>
    <n v="13847.86"/>
    <n v="8471.7800000000007"/>
    <n v="5376.08"/>
    <n v="5376.08"/>
    <n v="0.38822460654570451"/>
    <s v="Paid"/>
    <x v="0"/>
  </r>
  <r>
    <s v="ORD-2024-10675"/>
    <s v="Unique"/>
    <x v="4"/>
    <n v="2024"/>
    <d v="2024-05-18T00:00:00"/>
    <d v="2024-05-21T00:00:00"/>
    <n v="3"/>
    <s v="Valid"/>
    <s v="CUST-4081"/>
    <s v="Vikram Iyer"/>
    <x v="2"/>
    <x v="1"/>
    <s v="Jharkhand"/>
    <m/>
    <x v="2"/>
    <x v="5"/>
    <s v="Basic Accessories 944"/>
    <x v="0"/>
    <n v="1"/>
    <n v="1033.71"/>
    <n v="1033.71"/>
    <n v="0"/>
    <n v="0"/>
    <s v="Valid"/>
    <s v="Clean"/>
    <n v="1033.71"/>
    <n v="630.82000000000005"/>
    <n v="402.89"/>
    <n v="402.89"/>
    <n v="0.38975147768716562"/>
    <s v="Pending"/>
    <x v="2"/>
  </r>
  <r>
    <s v="ORD-2025-10676"/>
    <s v="Unique"/>
    <x v="2"/>
    <n v="2025"/>
    <d v="2025-06-07T00:00:00"/>
    <d v="2025-06-10T00:00:00"/>
    <n v="3"/>
    <s v="Valid"/>
    <s v="CUST-5061"/>
    <s v="Aarav Sharma"/>
    <x v="0"/>
    <x v="0"/>
    <s v="Rajasthan"/>
    <m/>
    <x v="1"/>
    <x v="3"/>
    <s v="Eco Furnishings 217"/>
    <x v="1"/>
    <n v="3"/>
    <n v="963.26"/>
    <n v="2889.7799999999997"/>
    <n v="0"/>
    <n v="0"/>
    <s v="Valid"/>
    <s v="Clean"/>
    <n v="2889.78"/>
    <n v="1811.23"/>
    <n v="1078.5499999999997"/>
    <n v="1078.55"/>
    <n v="0.37322910394562903"/>
    <s v="Paid"/>
    <x v="0"/>
  </r>
  <r>
    <s v="ORD-2025-10677"/>
    <s v="Unique"/>
    <x v="7"/>
    <n v="2025"/>
    <d v="2025-09-11T00:00:00"/>
    <d v="2025-09-18T00:00:00"/>
    <n v="7"/>
    <s v="Valid"/>
    <s v="CUST-9212"/>
    <s v="Rahul Verma"/>
    <x v="1"/>
    <x v="0"/>
    <s v="Delhi"/>
    <m/>
    <x v="2"/>
    <x v="11"/>
    <s v="Smart Phones 967"/>
    <x v="1"/>
    <n v="7"/>
    <n v="3411.21"/>
    <n v="20296.699499999999"/>
    <n v="0.15"/>
    <n v="0.15"/>
    <s v="Valid"/>
    <s v="Clean"/>
    <n v="20296.7"/>
    <n v="14920.87"/>
    <n v="5375.829499999998"/>
    <n v="5375.83"/>
    <n v="0.26486226825050374"/>
    <s v="Paid"/>
    <x v="0"/>
  </r>
  <r>
    <s v="ORD-2024-10678"/>
    <s v="Unique"/>
    <x v="2"/>
    <n v="2024"/>
    <d v="2024-06-22T00:00:00"/>
    <d v="2024-06-27T00:00:00"/>
    <n v="5"/>
    <s v="Valid"/>
    <s v="CUST-4655"/>
    <s v="Isha Nair"/>
    <x v="3"/>
    <x v="2"/>
    <s v="Karnataka"/>
    <m/>
    <x v="1"/>
    <x v="4"/>
    <s v="Smart Chairs 610"/>
    <x v="1"/>
    <n v="7"/>
    <n v="2623.48"/>
    <n v="18364.36"/>
    <n v="0"/>
    <n v="0"/>
    <s v="Valid"/>
    <s v="Clean"/>
    <n v="18364.36"/>
    <n v="15445.81"/>
    <n v="2918.5500000000011"/>
    <n v="2918.55"/>
    <n v="0.15892467801763852"/>
    <s v="Paid"/>
    <x v="0"/>
  </r>
  <r>
    <s v="ORD-2024-10679"/>
    <s v="Unique"/>
    <x v="3"/>
    <n v="2024"/>
    <d v="2024-11-24T00:00:00"/>
    <d v="2024-12-01T00:00:00"/>
    <n v="7"/>
    <s v="Valid"/>
    <s v="CUST-1674"/>
    <s v="Kabir Singh"/>
    <x v="2"/>
    <x v="2"/>
    <s v="Karnataka"/>
    <m/>
    <x v="1"/>
    <x v="1"/>
    <s v="Prime Tables 123"/>
    <x v="0"/>
    <n v="9"/>
    <n v="2763.61"/>
    <n v="21141.6165"/>
    <n v="0.15"/>
    <n v="0.15"/>
    <s v="Valid"/>
    <s v="Clean"/>
    <n v="21141.62"/>
    <n v="11676.33"/>
    <n v="9465.2865000000002"/>
    <n v="9465.2900000000009"/>
    <n v="0.44770883215193547"/>
    <s v="Paid"/>
    <x v="0"/>
  </r>
  <r>
    <s v="ORD-2025-10680"/>
    <s v="Unique"/>
    <x v="1"/>
    <n v="2025"/>
    <d v="2025-08-16T00:00:00"/>
    <d v="2025-08-23T00:00:00"/>
    <n v="7"/>
    <s v="Valid"/>
    <s v="CUST-2897"/>
    <s v="Rohan Mehta"/>
    <x v="2"/>
    <x v="0"/>
    <s v="Punjab"/>
    <m/>
    <x v="2"/>
    <x v="6"/>
    <s v="Smart Copiers 579"/>
    <x v="1"/>
    <n v="4"/>
    <n v="1410.57"/>
    <s v="Invalid"/>
    <s v="70%"/>
    <s v="Invalid"/>
    <s v="Invalid"/>
    <s v="Invalid"/>
    <n v="5360.17"/>
    <n v="3881.51"/>
    <s v="Invalid"/>
    <n v="1478.66"/>
    <n v="0.27586065367329771"/>
    <s v="Refunded"/>
    <x v="1"/>
  </r>
  <r>
    <s v="ORD-2024-10681"/>
    <s v="Unique"/>
    <x v="4"/>
    <n v="2024"/>
    <d v="2024-05-29T00:00:00"/>
    <d v="2024-06-05T00:00:00"/>
    <n v="7"/>
    <s v="Valid"/>
    <s v="CUST-1136"/>
    <s v="Kabir Singh"/>
    <x v="2"/>
    <x v="2"/>
    <s v="Tamil Nadu"/>
    <m/>
    <x v="2"/>
    <x v="5"/>
    <s v="Eco Accessories 658"/>
    <x v="2"/>
    <n v="4"/>
    <n v="3700.24"/>
    <n v="14800.96"/>
    <n v="0"/>
    <n v="0"/>
    <s v="Valid"/>
    <s v="Clean"/>
    <n v="14800.96"/>
    <n v="12048.39"/>
    <n v="2752.5699999999997"/>
    <n v="2752.57"/>
    <n v="0.18597239638509935"/>
    <s v="Paid"/>
    <x v="0"/>
  </r>
  <r>
    <s v="ORD-2024-10682"/>
    <s v="Unique"/>
    <x v="0"/>
    <n v="2024"/>
    <d v="2024-07-04T00:00:00"/>
    <d v="2024-07-10T00:00:00"/>
    <n v="6"/>
    <s v="Valid"/>
    <s v="CUST-1376"/>
    <s v="Vikram Iyer"/>
    <x v="2"/>
    <x v="0"/>
    <s v="Delhi"/>
    <m/>
    <x v="1"/>
    <x v="1"/>
    <s v="Smart Tables 777"/>
    <x v="0"/>
    <n v="5"/>
    <n v="1200.27"/>
    <n v="6001.35"/>
    <n v="0"/>
    <n v="0"/>
    <s v="Valid"/>
    <s v="Clean"/>
    <n v="6001.35"/>
    <n v="4182.99"/>
    <n v="1818.3600000000006"/>
    <n v="1818.36"/>
    <n v="0.3029918268389612"/>
    <s v="Paid"/>
    <x v="1"/>
  </r>
  <r>
    <s v="ORD-2025-10683"/>
    <s v="Unique"/>
    <x v="6"/>
    <n v="2025"/>
    <d v="2025-02-05T00:00:00"/>
    <d v="2025-02-05T00:00:00"/>
    <n v="0"/>
    <s v="Valid"/>
    <s v="CUST-1553"/>
    <s v="Ananya Rao"/>
    <x v="2"/>
    <x v="0"/>
    <s v="Haryana"/>
    <m/>
    <x v="0"/>
    <x v="8"/>
    <s v="Eco Storage 861"/>
    <x v="1"/>
    <n v="3"/>
    <n v="2590.7800000000002"/>
    <n v="7772.34"/>
    <n v="0"/>
    <n v="0"/>
    <s v="Valid"/>
    <s v="Clean"/>
    <n v="7383.72"/>
    <n v="4113.66"/>
    <n v="3658.6800000000003"/>
    <n v="3270.06"/>
    <n v="0.44287432351172579"/>
    <s v="Paid"/>
    <x v="0"/>
  </r>
  <r>
    <s v="ORD-2025-10684"/>
    <s v="Unique"/>
    <x v="0"/>
    <n v="2025"/>
    <d v="2025-07-20T00:00:00"/>
    <d v="2025-07-24T00:00:00"/>
    <n v="4"/>
    <s v="Valid"/>
    <s v="CUST-5704"/>
    <s v="Arjun Bose"/>
    <x v="1"/>
    <x v="2"/>
    <s v="Telangana"/>
    <m/>
    <x v="1"/>
    <x v="3"/>
    <s v="Eco Furnishings 875"/>
    <x v="0"/>
    <n v="6"/>
    <n v="1646.45"/>
    <n v="7902.9600000000009"/>
    <n v="0.2"/>
    <n v="0.2"/>
    <s v="Valid"/>
    <s v="Clean"/>
    <n v="7902.96"/>
    <n v="5512.03"/>
    <n v="2390.9300000000012"/>
    <n v="2390.9299999999998"/>
    <n v="0.30253601182341805"/>
    <s v="Refunded"/>
    <x v="1"/>
  </r>
  <r>
    <s v="ORD-2025-10685"/>
    <s v="Unique"/>
    <x v="0"/>
    <n v="2025"/>
    <d v="2025-07-21T00:00:00"/>
    <d v="2025-07-21T00:00:00"/>
    <n v="0"/>
    <s v="Valid"/>
    <s v="CUST-6738"/>
    <s v="Isha Nair"/>
    <x v="3"/>
    <x v="2"/>
    <s v="Tamil Nadu"/>
    <m/>
    <x v="1"/>
    <x v="10"/>
    <s v="Prime Bookcases 784"/>
    <x v="2"/>
    <n v="7"/>
    <n v="4396.6499999999996"/>
    <n v="24621.239999999998"/>
    <n v="0.2"/>
    <n v="0.2"/>
    <s v="Valid"/>
    <s v="Clean"/>
    <n v="24621.24"/>
    <n v="17155.48"/>
    <n v="7465.7599999999984"/>
    <n v="7465.76"/>
    <n v="0.3032243705028666"/>
    <s v="Refunded"/>
    <x v="1"/>
  </r>
  <r>
    <s v="ORD-2025-10686"/>
    <s v="Unique"/>
    <x v="9"/>
    <n v="2025"/>
    <d v="2025-10-01T00:00:00"/>
    <d v="2025-10-03T00:00:00"/>
    <n v="2"/>
    <s v="Valid"/>
    <s v="CUST-2586"/>
    <s v="Neha Gupta"/>
    <x v="2"/>
    <x v="3"/>
    <s v="Goa"/>
    <m/>
    <x v="0"/>
    <x v="2"/>
    <s v="Classic Art 380"/>
    <x v="3"/>
    <n v="9"/>
    <n v="818.15"/>
    <n v="3313.5074999999993"/>
    <n v="0.55000000000000004"/>
    <n v="0.55000000000000004"/>
    <s v="Valid"/>
    <s v="Clean"/>
    <n v="6627.01"/>
    <n v="5606.79"/>
    <n v="-2293.2825000000007"/>
    <n v="1020.22"/>
    <n v="0.15394876422398637"/>
    <s v="Failed"/>
    <x v="1"/>
  </r>
  <r>
    <s v="ORD-2024-10687"/>
    <s v="Unique"/>
    <x v="11"/>
    <n v="2024"/>
    <d v="2024-03-25T00:00:00"/>
    <d v="2024-04-02T00:00:00"/>
    <n v="8"/>
    <s v="Valid"/>
    <s v="CUST-3127"/>
    <s v="Sneha Kapoor"/>
    <x v="3"/>
    <x v="2"/>
    <s v="Tamil Nadu"/>
    <m/>
    <x v="2"/>
    <x v="6"/>
    <s v="Pro Copiers 502"/>
    <x v="3"/>
    <n v="2"/>
    <n v="2349.13"/>
    <n v="4698.26"/>
    <n v="0"/>
    <n v="0"/>
    <s v="Valid"/>
    <s v="Clean"/>
    <n v="4698.26"/>
    <n v="2654.92"/>
    <n v="2043.3400000000001"/>
    <n v="2043.34"/>
    <n v="0.43491420227914163"/>
    <s v="Paid"/>
    <x v="0"/>
  </r>
  <r>
    <s v="ORD-2025-10688"/>
    <s v="Unique"/>
    <x v="9"/>
    <n v="2025"/>
    <d v="2025-10-08T00:00:00"/>
    <d v="2025-10-13T00:00:00"/>
    <n v="5"/>
    <s v="Valid"/>
    <s v="CUST-9347"/>
    <s v="Mira Das"/>
    <x v="3"/>
    <x v="0"/>
    <s v="Punjab"/>
    <m/>
    <x v="1"/>
    <x v="1"/>
    <s v="Prime Tables 604"/>
    <x v="2"/>
    <n v="4"/>
    <n v="172.05"/>
    <n v="688.2"/>
    <n v="0"/>
    <n v="0"/>
    <s v="Valid"/>
    <s v="Clean"/>
    <n v="688.2"/>
    <n v="497.68"/>
    <n v="190.52000000000004"/>
    <n v="190.52"/>
    <n v="0.27683812845103167"/>
    <s v="Failed"/>
    <x v="1"/>
  </r>
  <r>
    <s v="ORD-2025-10689"/>
    <s v="Unique"/>
    <x v="6"/>
    <n v="2025"/>
    <d v="2025-02-26T00:00:00"/>
    <d v="2025-02-27T00:00:00"/>
    <n v="1"/>
    <s v="Valid"/>
    <s v="CUST-8575"/>
    <s v="Neha Gupta"/>
    <x v="3"/>
    <x v="0"/>
    <s v="Haryana"/>
    <m/>
    <x v="0"/>
    <x v="2"/>
    <s v="Basic Art 798"/>
    <x v="0"/>
    <n v="6"/>
    <n v="3037.66"/>
    <n v="15492.065999999999"/>
    <n v="0.15"/>
    <n v="0.15"/>
    <s v="Valid"/>
    <s v="Clean"/>
    <n v="15492.07"/>
    <n v="12581.23"/>
    <n v="2910.8359999999993"/>
    <n v="2910.84"/>
    <n v="0.18789225713542479"/>
    <s v="Paid"/>
    <x v="0"/>
  </r>
  <r>
    <s v="ORD-2024-10690"/>
    <s v="Unique"/>
    <x v="9"/>
    <n v="2024"/>
    <d v="2024-10-05T00:00:00"/>
    <d v="2024-10-06T00:00:00"/>
    <n v="1"/>
    <s v="Valid"/>
    <s v="CUST-4382"/>
    <s v="Rohan Mehta"/>
    <x v="1"/>
    <x v="0"/>
    <s v="Punjab"/>
    <m/>
    <x v="1"/>
    <x v="1"/>
    <s v="Elite Tables 717"/>
    <x v="3"/>
    <n v="9"/>
    <n v="489.58"/>
    <n v="3745.2870000000003"/>
    <n v="0.15"/>
    <n v="0.15"/>
    <s v="Valid"/>
    <s v="Clean"/>
    <n v="3745.29"/>
    <n v="2302.65"/>
    <n v="1442.6370000000002"/>
    <n v="1442.64"/>
    <n v="0.38518779587161478"/>
    <s v="Failed"/>
    <x v="1"/>
  </r>
  <r>
    <s v="ORD-2024-10691"/>
    <s v="Unique"/>
    <x v="7"/>
    <n v="2024"/>
    <d v="2024-09-11T00:00:00"/>
    <d v="2024-09-15T00:00:00"/>
    <n v="4"/>
    <s v="Valid"/>
    <s v="CUST-6815"/>
    <s v="Sneha Kapoor"/>
    <x v="2"/>
    <x v="2"/>
    <s v="Tamil Nadu"/>
    <m/>
    <x v="0"/>
    <x v="2"/>
    <s v="Max Art 725"/>
    <x v="3"/>
    <n v="4"/>
    <n v="865.63"/>
    <n v="3462.52"/>
    <n v="0"/>
    <n v="0"/>
    <s v="Valid"/>
    <s v="Clean"/>
    <n v="3462.52"/>
    <n v="2797.29"/>
    <n v="665.23"/>
    <n v="665.23"/>
    <n v="0.19212307798944123"/>
    <s v="Failed"/>
    <x v="2"/>
  </r>
  <r>
    <s v="ORD-2024-10692"/>
    <s v="Unique"/>
    <x v="8"/>
    <n v="2024"/>
    <d v="2024-12-15T00:00:00"/>
    <d v="2024-12-16T00:00:00"/>
    <n v="1"/>
    <s v="Valid"/>
    <s v="CUST-7309"/>
    <s v="Rohan Mehta"/>
    <x v="0"/>
    <x v="1"/>
    <s v="Odisha"/>
    <m/>
    <x v="2"/>
    <x v="6"/>
    <s v="Smart Copiers 456"/>
    <x v="0"/>
    <n v="6"/>
    <n v="1538.1"/>
    <n v="8767.1699999999983"/>
    <n v="0.05"/>
    <n v="0.05"/>
    <s v="Valid"/>
    <s v="Clean"/>
    <n v="8767.17"/>
    <n v="5098.2"/>
    <n v="3668.9699999999984"/>
    <n v="3668.97"/>
    <n v="0.41848966085977568"/>
    <s v="Paid"/>
    <x v="0"/>
  </r>
  <r>
    <s v="ORD-2025-10693"/>
    <s v="Unique"/>
    <x v="9"/>
    <n v="2025"/>
    <d v="2025-10-05T00:00:00"/>
    <d v="2025-10-10T00:00:00"/>
    <n v="5"/>
    <s v="Valid"/>
    <s v="CUST-9531"/>
    <s v="Isha Nair"/>
    <x v="2"/>
    <x v="2"/>
    <s v="Karnataka"/>
    <m/>
    <x v="1"/>
    <x v="3"/>
    <s v="Prime Furnishings 883"/>
    <x v="0"/>
    <n v="4"/>
    <n v="2365.6799999999998"/>
    <n v="8516.4480000000003"/>
    <n v="0.1"/>
    <n v="0.1"/>
    <s v="Valid"/>
    <s v="Clean"/>
    <n v="8516.4500000000007"/>
    <n v="5903.81"/>
    <n v="2612.6379999999999"/>
    <n v="2612.64"/>
    <n v="0.30677571053666725"/>
    <s v="Paid"/>
    <x v="0"/>
  </r>
  <r>
    <s v="ORD-2025-10694"/>
    <s v="Unique"/>
    <x v="5"/>
    <n v="2025"/>
    <d v="2025-04-03T00:00:00"/>
    <d v="2025-04-11T00:00:00"/>
    <n v="8"/>
    <s v="Valid"/>
    <s v="CUST-6032"/>
    <s v="Arjun Bose"/>
    <x v="0"/>
    <x v="2"/>
    <s v="Tamil Nadu"/>
    <m/>
    <x v="1"/>
    <x v="10"/>
    <s v="Smart Bookcases 828"/>
    <x v="0"/>
    <n v="3"/>
    <n v="4149.7700000000004"/>
    <n v="11826.844500000001"/>
    <n v="0.05"/>
    <n v="0.05"/>
    <s v="Valid"/>
    <s v="Clean"/>
    <n v="11826.84"/>
    <n v="8035.96"/>
    <n v="3790.884500000001"/>
    <n v="3790.88"/>
    <n v="0.32053194259836104"/>
    <s v="Paid"/>
    <x v="0"/>
  </r>
  <r>
    <s v="ORD-2025-10695"/>
    <s v="Unique"/>
    <x v="1"/>
    <n v="2025"/>
    <d v="2025-08-01T00:00:00"/>
    <d v="2025-08-09T00:00:00"/>
    <n v="8"/>
    <s v="Valid"/>
    <s v="CUST-8025"/>
    <s v="Isha Nair"/>
    <x v="0"/>
    <x v="2"/>
    <s v="Andhra Pradesh"/>
    <m/>
    <x v="0"/>
    <x v="8"/>
    <s v="Classic Storage 291"/>
    <x v="2"/>
    <n v="5"/>
    <n v="2736.24"/>
    <n v="11629.019999999999"/>
    <n v="0.15"/>
    <n v="0.15"/>
    <s v="Valid"/>
    <s v="Clean"/>
    <n v="11629.02"/>
    <n v="9627.2099999999991"/>
    <n v="2001.8099999999995"/>
    <n v="2001.81"/>
    <n v="0.1721391828374188"/>
    <s v="Paid"/>
    <x v="0"/>
  </r>
  <r>
    <s v="ORD-2024-10696"/>
    <s v="Unique"/>
    <x v="0"/>
    <n v="2024"/>
    <d v="2024-07-01T00:00:00"/>
    <d v="2024-07-01T00:00:00"/>
    <n v="0"/>
    <s v="Valid"/>
    <s v="CUST-6257"/>
    <s v="Aarav Sharma"/>
    <x v="0"/>
    <x v="3"/>
    <s v="Madhya Pradesh"/>
    <m/>
    <x v="2"/>
    <x v="12"/>
    <s v="Prime Machines 102"/>
    <x v="3"/>
    <n v="4"/>
    <n v="257.39"/>
    <n v="1029.56"/>
    <n v="0"/>
    <n v="0"/>
    <s v="Valid"/>
    <s v="Clean"/>
    <n v="1029.56"/>
    <n v="626.33000000000004"/>
    <n v="403.2299999999999"/>
    <n v="403.23"/>
    <n v="0.39165274486188278"/>
    <s v="Paid"/>
    <x v="0"/>
  </r>
  <r>
    <s v="ORD-2025-10697"/>
    <s v="Unique"/>
    <x v="7"/>
    <n v="2025"/>
    <d v="2025-09-22T00:00:00"/>
    <d v="2025-09-25T00:00:00"/>
    <n v="3"/>
    <s v="Valid"/>
    <s v="CUST-7812"/>
    <s v="Isha Nair"/>
    <x v="1"/>
    <x v="2"/>
    <s v="Kerala"/>
    <m/>
    <x v="2"/>
    <x v="11"/>
    <s v="Classic Phones 842"/>
    <x v="4"/>
    <n v="4"/>
    <n v="1178.8399999999999"/>
    <n v="3536.5199999999995"/>
    <n v="0.25"/>
    <n v="0.25"/>
    <s v="Valid"/>
    <s v="Clean"/>
    <n v="3536.52"/>
    <n v="2102.41"/>
    <n v="1434.1099999999997"/>
    <n v="1363.28"/>
    <n v="0.38548629726397698"/>
    <s v="Paid"/>
    <x v="0"/>
  </r>
  <r>
    <s v="ORD-2025-10698"/>
    <s v="Unique"/>
    <x v="11"/>
    <n v="2025"/>
    <d v="2025-03-01T00:00:00"/>
    <d v="2025-03-07T00:00:00"/>
    <n v="6"/>
    <s v="Valid"/>
    <s v="CUST-6205"/>
    <s v="Arjun Bose"/>
    <x v="2"/>
    <x v="2"/>
    <s v="Andhra Pradesh"/>
    <m/>
    <x v="0"/>
    <x v="7"/>
    <s v="Max Labels 970"/>
    <x v="2"/>
    <n v="7"/>
    <n v="567.15"/>
    <n v="3970.0499999999997"/>
    <n v="0"/>
    <n v="0"/>
    <s v="Valid"/>
    <s v="Clean"/>
    <n v="2977.54"/>
    <n v="1849.3"/>
    <n v="2120.75"/>
    <n v="1128.24"/>
    <n v="0.37891682395534571"/>
    <s v="Refunded"/>
    <x v="2"/>
  </r>
  <r>
    <s v="ORD-2024-10699"/>
    <s v="Unique"/>
    <x v="7"/>
    <n v="2024"/>
    <d v="2024-09-14T00:00:00"/>
    <d v="2024-09-14T00:00:00"/>
    <n v="0"/>
    <s v="Valid"/>
    <s v="CUST-5357"/>
    <s v="Mira Das"/>
    <x v="2"/>
    <x v="0"/>
    <s v="Rajasthan"/>
    <m/>
    <x v="2"/>
    <x v="12"/>
    <s v="Classic Machines 648"/>
    <x v="3"/>
    <n v="8"/>
    <n v="4081.66"/>
    <n v="27755.287999999997"/>
    <n v="0.15"/>
    <n v="0.15"/>
    <s v="Valid"/>
    <s v="Clean"/>
    <n v="28208.1"/>
    <n v="23751.91"/>
    <n v="4003.377999999997"/>
    <n v="4003.38"/>
    <n v="0.14192306465164262"/>
    <s v="Paid"/>
    <x v="2"/>
  </r>
  <r>
    <s v="ORD-2024-10700"/>
    <s v="Unique"/>
    <x v="2"/>
    <n v="2024"/>
    <d v="2024-06-11T00:00:00"/>
    <d v="2024-06-11T00:00:00"/>
    <n v="0"/>
    <s v="Valid"/>
    <s v="CUST-9802"/>
    <s v="Arjun Bose"/>
    <x v="1"/>
    <x v="2"/>
    <s v="Karnataka"/>
    <m/>
    <x v="1"/>
    <x v="10"/>
    <s v="Max Bookcases 565"/>
    <x v="3"/>
    <n v="9"/>
    <n v="1400.11"/>
    <n v="9450.7425000000003"/>
    <n v="0.25"/>
    <n v="0.25"/>
    <s v="Valid"/>
    <s v="Clean"/>
    <n v="9450.74"/>
    <n v="7798.56"/>
    <n v="1652.1824999999999"/>
    <n v="1652.18"/>
    <n v="0.17482017281186449"/>
    <s v="Paid"/>
    <x v="0"/>
  </r>
  <r>
    <s v="ORD-2024-10701"/>
    <s v="Unique"/>
    <x v="7"/>
    <n v="2024"/>
    <d v="2024-09-18T00:00:00"/>
    <d v="2024-09-21T00:00:00"/>
    <n v="3"/>
    <s v="Valid"/>
    <s v="CUST-5646"/>
    <s v="Neha Gupta"/>
    <x v="2"/>
    <x v="1"/>
    <s v="West Bengal"/>
    <m/>
    <x v="2"/>
    <x v="12"/>
    <s v="Basic Machines 220"/>
    <x v="3"/>
    <n v="3"/>
    <n v="3055.9"/>
    <n v="7792.5450000000001"/>
    <n v="0.15"/>
    <n v="0.15"/>
    <s v="Valid"/>
    <s v="Clean"/>
    <n v="7792.55"/>
    <n v="4691.7299999999996"/>
    <n v="3100.8150000000005"/>
    <n v="3100.82"/>
    <n v="0.39792109129874048"/>
    <s v="Paid"/>
    <x v="0"/>
  </r>
  <r>
    <s v="ORD-2024-10702"/>
    <s v="Unique"/>
    <x v="5"/>
    <n v="2024"/>
    <d v="2024-04-30T00:00:00"/>
    <d v="2024-05-04T00:00:00"/>
    <n v="4"/>
    <s v="Valid"/>
    <s v="CUST-7171"/>
    <s v="Rohan Mehta"/>
    <x v="1"/>
    <x v="3"/>
    <s v="Gujarat"/>
    <m/>
    <x v="0"/>
    <x v="2"/>
    <s v="Pro Art 151"/>
    <x v="1"/>
    <n v="7"/>
    <n v="1224.94"/>
    <n v="8574.58"/>
    <n v="0"/>
    <n v="0"/>
    <s v="Valid"/>
    <s v="Clean"/>
    <n v="8574.58"/>
    <n v="6685.81"/>
    <n v="1888.7699999999995"/>
    <n v="1888.77"/>
    <n v="0.22027551203674114"/>
    <s v="Paid"/>
    <x v="2"/>
  </r>
  <r>
    <s v="ORD-2025-10703"/>
    <s v="Unique"/>
    <x v="6"/>
    <n v="2025"/>
    <d v="2025-02-02T00:00:00"/>
    <d v="2025-02-06T00:00:00"/>
    <n v="4"/>
    <s v="Valid"/>
    <s v="CUST-5231"/>
    <s v="Karan Malhotra"/>
    <x v="1"/>
    <x v="3"/>
    <s v="Rajasthan"/>
    <m/>
    <x v="1"/>
    <x v="1"/>
    <s v="Pro Tables 980"/>
    <x v="0"/>
    <n v="3"/>
    <n v="997.34"/>
    <n v="2692.8180000000002"/>
    <n v="0.1"/>
    <n v="0.1"/>
    <s v="Valid"/>
    <s v="Clean"/>
    <n v="2692.82"/>
    <n v="1820.08"/>
    <n v="872.73800000000028"/>
    <n v="872.74"/>
    <n v="0.3240989000378785"/>
    <s v="Paid"/>
    <x v="0"/>
  </r>
  <r>
    <s v="ORD-2024-10704"/>
    <s v="Unique"/>
    <x v="9"/>
    <n v="2024"/>
    <d v="2024-10-19T00:00:00"/>
    <d v="2024-10-20T00:00:00"/>
    <n v="1"/>
    <s v="Valid"/>
    <s v="CUST-8734"/>
    <s v="Aditi Sen"/>
    <x v="2"/>
    <x v="0"/>
    <s v="Rajasthan"/>
    <m/>
    <x v="1"/>
    <x v="1"/>
    <s v="Classic Tables 997"/>
    <x v="2"/>
    <n v="1"/>
    <n v="1150.03"/>
    <n v="1035.027"/>
    <n v="0.1"/>
    <n v="0.1"/>
    <s v="Valid"/>
    <s v="Clean"/>
    <n v="1035.03"/>
    <n v="854.35"/>
    <n v="180.67700000000002"/>
    <n v="180.68"/>
    <n v="0.17456498845444093"/>
    <s v="Paid"/>
    <x v="0"/>
  </r>
  <r>
    <s v="ORD-2024-10705"/>
    <s v="Unique"/>
    <x v="11"/>
    <n v="2024"/>
    <d v="2024-03-13T00:00:00"/>
    <d v="2024-03-20T00:00:00"/>
    <n v="7"/>
    <s v="Valid"/>
    <s v="CUST-4916"/>
    <s v="Priya Menon"/>
    <x v="3"/>
    <x v="2"/>
    <s v="Tamil Nadu"/>
    <m/>
    <x v="1"/>
    <x v="10"/>
    <s v="Max Bookcases 738"/>
    <x v="4"/>
    <n v="1"/>
    <n v="2825.63"/>
    <n v="2401.7855"/>
    <n v="0.15"/>
    <n v="0.15"/>
    <s v="Valid"/>
    <s v="Clean"/>
    <n v="2401.79"/>
    <n v="1820.34"/>
    <n v="581.44550000000004"/>
    <n v="581.45000000000005"/>
    <n v="0.24209027433705696"/>
    <s v="Paid"/>
    <x v="0"/>
  </r>
  <r>
    <s v="ORD-2024-10706"/>
    <s v="Unique"/>
    <x v="7"/>
    <n v="2024"/>
    <d v="2024-09-08T00:00:00"/>
    <d v="2024-09-14T00:00:00"/>
    <n v="6"/>
    <s v="Valid"/>
    <s v="CUST-3289"/>
    <s v="Rohan Mehta"/>
    <x v="0"/>
    <x v="0"/>
    <s v="Rajasthan"/>
    <m/>
    <x v="0"/>
    <x v="9"/>
    <s v="Max Binders 411"/>
    <x v="3"/>
    <n v="5"/>
    <n v="3371.75"/>
    <n v="16015.8125"/>
    <n v="0.05"/>
    <n v="0.05"/>
    <s v="Valid"/>
    <s v="Clean"/>
    <n v="16015.81"/>
    <n v="11352.38"/>
    <n v="4663.4325000000008"/>
    <n v="4663.43"/>
    <n v="0.2911766560667241"/>
    <s v="Paid"/>
    <x v="0"/>
  </r>
  <r>
    <s v="ORD-2024-10707"/>
    <s v="Unique"/>
    <x v="2"/>
    <n v="2024"/>
    <d v="2024-06-24T00:00:00"/>
    <d v="2024-06-28T00:00:00"/>
    <n v="4"/>
    <s v="Valid"/>
    <s v="CUST-4928"/>
    <s v="Isha Nair"/>
    <x v="1"/>
    <x v="1"/>
    <s v="Odisha"/>
    <m/>
    <x v="0"/>
    <x v="0"/>
    <s v="Max Paper 343"/>
    <x v="1"/>
    <n v="1"/>
    <n v="2112.75"/>
    <n v="1901.4750000000001"/>
    <n v="0.1"/>
    <n v="0.1"/>
    <s v="Valid"/>
    <s v="Clean"/>
    <n v="1901.48"/>
    <n v="1354.28"/>
    <n v="547.19500000000016"/>
    <n v="547.20000000000005"/>
    <n v="0.2877758377684751"/>
    <s v="Paid"/>
    <x v="0"/>
  </r>
  <r>
    <s v="ORD-2025-10708"/>
    <s v="Unique"/>
    <x v="2"/>
    <n v="2025"/>
    <d v="2025-06-24T00:00:00"/>
    <d v="2025-06-26T00:00:00"/>
    <n v="2"/>
    <s v="Valid"/>
    <s v="CUST-4902"/>
    <s v="Vikram Iyer"/>
    <x v="0"/>
    <x v="0"/>
    <s v="Rajasthan"/>
    <m/>
    <x v="2"/>
    <x v="5"/>
    <s v="Pro Accessories 485"/>
    <x v="1"/>
    <n v="5"/>
    <n v="3722.66"/>
    <n v="8375.9849999999988"/>
    <n v="0.55000000000000004"/>
    <n v="0.55000000000000004"/>
    <s v="Valid"/>
    <s v="Clean"/>
    <n v="16751.97"/>
    <n v="11678.32"/>
    <n v="-3302.3350000000009"/>
    <n v="5073.6499999999996"/>
    <n v="0.3028688566180574"/>
    <s v="Paid"/>
    <x v="0"/>
  </r>
  <r>
    <s v="ORD-2025-10709"/>
    <s v="Unique"/>
    <x v="11"/>
    <n v="2025"/>
    <d v="2025-03-20T00:00:00"/>
    <d v="2025-03-26T00:00:00"/>
    <n v="6"/>
    <s v="Valid"/>
    <s v="CUST-6504"/>
    <s v="Sneha Kapoor"/>
    <x v="0"/>
    <x v="1"/>
    <s v="Assam"/>
    <m/>
    <x v="1"/>
    <x v="10"/>
    <s v="Elite Bookcases 113"/>
    <x v="2"/>
    <n v="4"/>
    <n v="4357.66"/>
    <n v="16559.108"/>
    <n v="0.05"/>
    <n v="0.05"/>
    <s v="Valid"/>
    <s v="Clean"/>
    <n v="16559.11"/>
    <n v="13233.79"/>
    <n v="3325.3179999999993"/>
    <n v="3325.32"/>
    <n v="0.20081514042723311"/>
    <s v="Paid"/>
    <x v="0"/>
  </r>
  <r>
    <s v="ORD-2025-10710"/>
    <s v="Unique"/>
    <x v="10"/>
    <n v="2025"/>
    <d v="2025-01-19T00:00:00"/>
    <d v="2025-01-23T00:00:00"/>
    <n v="4"/>
    <s v="Valid"/>
    <s v="CUST-8036"/>
    <s v="Kabir Singh"/>
    <x v="3"/>
    <x v="0"/>
    <s v="Punjab"/>
    <m/>
    <x v="2"/>
    <x v="11"/>
    <s v="Eco Phones 787"/>
    <x v="1"/>
    <n v="7"/>
    <n v="1363.04"/>
    <n v="8110.0879999999988"/>
    <n v="0.15"/>
    <n v="0.15"/>
    <s v="Valid"/>
    <s v="Clean"/>
    <n v="8110.09"/>
    <n v="6417.32"/>
    <n v="1692.7679999999991"/>
    <n v="1692.77"/>
    <n v="0.20872394757641408"/>
    <s v="Paid"/>
    <x v="1"/>
  </r>
  <r>
    <s v="ORD-2024-10711"/>
    <s v="Unique"/>
    <x v="0"/>
    <n v="2024"/>
    <d v="2024-07-12T00:00:00"/>
    <d v="2024-07-19T00:00:00"/>
    <n v="7"/>
    <s v="Valid"/>
    <s v="CUST-7199"/>
    <s v="Vikram Iyer"/>
    <x v="2"/>
    <x v="0"/>
    <s v="Punjab"/>
    <m/>
    <x v="0"/>
    <x v="2"/>
    <s v="Smart Art 279"/>
    <x v="0"/>
    <n v="5"/>
    <n v="1559.16"/>
    <n v="7406.01"/>
    <n v="0.05"/>
    <n v="0.05"/>
    <s v="Valid"/>
    <s v="Clean"/>
    <n v="7406.01"/>
    <n v="5941.74"/>
    <n v="1464.2700000000004"/>
    <n v="1464.27"/>
    <n v="0.19771374869869199"/>
    <s v="Paid"/>
    <x v="0"/>
  </r>
  <r>
    <s v="ORD-2025-10712"/>
    <s v="Unique"/>
    <x v="6"/>
    <n v="2025"/>
    <d v="2025-02-02T00:00:00"/>
    <d v="2025-02-02T00:00:00"/>
    <n v="0"/>
    <s v="Valid"/>
    <s v="CUST-6176"/>
    <s v="Kabir Singh"/>
    <x v="2"/>
    <x v="1"/>
    <s v="West Bengal"/>
    <m/>
    <x v="2"/>
    <x v="12"/>
    <s v="Basic Machines 172"/>
    <x v="2"/>
    <n v="1"/>
    <n v="4326.75"/>
    <n v="4110.4124999999995"/>
    <n v="0.05"/>
    <n v="0.05"/>
    <s v="Valid"/>
    <s v="Clean"/>
    <n v="4110.41"/>
    <n v="2394.14"/>
    <n v="1716.2724999999996"/>
    <n v="1716.27"/>
    <n v="0.41754228896874035"/>
    <s v="Pending"/>
    <x v="2"/>
  </r>
  <r>
    <s v="ORD-2024-10713"/>
    <s v="Unique"/>
    <x v="6"/>
    <n v="2024"/>
    <d v="2024-02-10T00:00:00"/>
    <d v="2024-02-18T00:00:00"/>
    <n v="8"/>
    <s v="Valid"/>
    <s v="CUST-5127"/>
    <s v="Isha Nair"/>
    <x v="3"/>
    <x v="3"/>
    <s v="Madhya Pradesh"/>
    <m/>
    <x v="1"/>
    <x v="4"/>
    <s v="Smart Chairs 259"/>
    <x v="2"/>
    <n v="7"/>
    <n v="1382.86"/>
    <n v="9680.0199999999986"/>
    <n v="0"/>
    <n v="0"/>
    <s v="Valid"/>
    <s v="Clean"/>
    <n v="9680.02"/>
    <n v="6876.66"/>
    <n v="2803.3599999999988"/>
    <n v="2803.36"/>
    <n v="0.28960270743242267"/>
    <s v="Paid"/>
    <x v="0"/>
  </r>
  <r>
    <s v="ORD-2025-10714"/>
    <s v="Unique"/>
    <x v="2"/>
    <n v="2025"/>
    <d v="2025-06-06T00:00:00"/>
    <d v="2025-06-10T00:00:00"/>
    <n v="4"/>
    <s v="Valid"/>
    <s v="CUST-2548"/>
    <s v="Mira Das"/>
    <x v="0"/>
    <x v="3"/>
    <s v="Rajasthan"/>
    <m/>
    <x v="2"/>
    <x v="12"/>
    <s v="Pro Machines 987"/>
    <x v="0"/>
    <n v="1"/>
    <n v="289.97000000000003"/>
    <n v="217.47750000000002"/>
    <n v="0.25"/>
    <n v="0.25"/>
    <s v="Valid"/>
    <s v="Clean"/>
    <n v="217.48"/>
    <n v="132.13"/>
    <n v="85.347500000000025"/>
    <n v="85.35"/>
    <n v="0.39244988044877688"/>
    <s v="Paid"/>
    <x v="0"/>
  </r>
  <r>
    <s v="ORD-2025-10715"/>
    <s v="Unique"/>
    <x v="11"/>
    <n v="2025"/>
    <d v="2025-03-22T00:00:00"/>
    <d v="2025-03-23T00:00:00"/>
    <n v="1"/>
    <s v="Valid"/>
    <s v="CUST-9902"/>
    <s v="Karan Malhotra"/>
    <x v="3"/>
    <x v="0"/>
    <s v="Delhi"/>
    <m/>
    <x v="2"/>
    <x v="6"/>
    <s v="Pro Copiers 206"/>
    <x v="3"/>
    <n v="9"/>
    <n v="2075.02"/>
    <n v="18675.18"/>
    <n v="0"/>
    <n v="0"/>
    <s v="Valid"/>
    <s v="Clean"/>
    <n v="18675.18"/>
    <n v="13974.7"/>
    <n v="4700.4799999999996"/>
    <n v="4700.4799999999996"/>
    <n v="0.25169663692665878"/>
    <s v="Paid"/>
    <x v="0"/>
  </r>
  <r>
    <s v="ORD-2025-10716"/>
    <s v="Unique"/>
    <x v="1"/>
    <n v="2025"/>
    <d v="2025-08-22T00:00:00"/>
    <d v="2025-08-27T00:00:00"/>
    <n v="5"/>
    <s v="Valid"/>
    <s v="CUST-7446"/>
    <s v="Priya Menon"/>
    <x v="0"/>
    <x v="0"/>
    <s v="Haryana"/>
    <m/>
    <x v="1"/>
    <x v="4"/>
    <s v="Max Chairs 372"/>
    <x v="0"/>
    <n v="7"/>
    <n v="2843.09"/>
    <n v="19901.63"/>
    <n v="0"/>
    <n v="0"/>
    <s v="Valid"/>
    <s v="Clean"/>
    <n v="19901.63"/>
    <n v="15492.03"/>
    <n v="4409.6000000000004"/>
    <n v="4409.6000000000004"/>
    <n v="0.22156979101711771"/>
    <s v="Refunded"/>
    <x v="1"/>
  </r>
  <r>
    <s v="ORD-2025-10717"/>
    <s v="Unique"/>
    <x v="1"/>
    <n v="2025"/>
    <d v="2025-08-26T00:00:00"/>
    <d v="2025-08-31T00:00:00"/>
    <n v="5"/>
    <s v="Valid"/>
    <s v="CUST-7540"/>
    <s v="Diya Patel"/>
    <x v="1"/>
    <x v="0"/>
    <s v="Haryana"/>
    <m/>
    <x v="2"/>
    <x v="11"/>
    <s v="Basic Phones 496"/>
    <x v="2"/>
    <n v="1"/>
    <n v="3388.02"/>
    <n v="2879.817"/>
    <n v="0.15"/>
    <n v="0.15"/>
    <s v="Valid"/>
    <s v="Clean"/>
    <n v="2879.82"/>
    <n v="1824.88"/>
    <n v="1054.9369999999999"/>
    <n v="1054.94"/>
    <n v="0.36632150620524895"/>
    <s v="Paid"/>
    <x v="0"/>
  </r>
  <r>
    <s v="ORD-2025-10718"/>
    <s v="Unique"/>
    <x v="9"/>
    <n v="2025"/>
    <d v="2025-10-12T00:00:00"/>
    <d v="2025-10-15T00:00:00"/>
    <n v="3"/>
    <s v="Valid"/>
    <s v="CUST-8351"/>
    <s v="Kabir Singh"/>
    <x v="1"/>
    <x v="0"/>
    <s v="Haryana"/>
    <m/>
    <x v="2"/>
    <x v="12"/>
    <s v="Prime Machines 612"/>
    <x v="3"/>
    <n v="9"/>
    <n v="2598.92"/>
    <n v="18712.223999999998"/>
    <n v="0.2"/>
    <n v="0.2"/>
    <s v="Valid"/>
    <s v="Clean"/>
    <n v="18712.22"/>
    <n v="11852.22"/>
    <n v="6860.003999999999"/>
    <n v="6860"/>
    <n v="0.36660535201061123"/>
    <s v="Pending"/>
    <x v="1"/>
  </r>
  <r>
    <s v="ORD-2024-10719"/>
    <s v="Unique"/>
    <x v="7"/>
    <n v="2024"/>
    <d v="2024-09-06T00:00:00"/>
    <d v="2024-09-09T00:00:00"/>
    <n v="3"/>
    <s v="Valid"/>
    <s v="CUST-3918"/>
    <s v="Mira Das"/>
    <x v="0"/>
    <x v="3"/>
    <s v="Maharashtra"/>
    <m/>
    <x v="0"/>
    <x v="2"/>
    <s v="Smart Art 866"/>
    <x v="1"/>
    <n v="3"/>
    <n v="1972.27"/>
    <n v="4733.4479999999994"/>
    <n v="0.2"/>
    <n v="0.2"/>
    <s v="Valid"/>
    <s v="Clean"/>
    <n v="4733.45"/>
    <n v="3672.32"/>
    <n v="1061.1279999999992"/>
    <n v="1061.1300000000001"/>
    <n v="0.22417686887999241"/>
    <s v="Paid"/>
    <x v="0"/>
  </r>
  <r>
    <s v="ORD-2025-10720"/>
    <s v="Unique"/>
    <x v="7"/>
    <n v="2025"/>
    <d v="2025-09-08T00:00:00"/>
    <d v="2025-09-09T00:00:00"/>
    <n v="1"/>
    <s v="Valid"/>
    <s v="CUST-3190"/>
    <s v="Kabir Singh"/>
    <x v="2"/>
    <x v="3"/>
    <s v="Gujarat"/>
    <m/>
    <x v="0"/>
    <x v="2"/>
    <s v="Pro Art 447"/>
    <x v="1"/>
    <n v="2"/>
    <n v="2372.41"/>
    <n v="3795.8559999999998"/>
    <n v="0.2"/>
    <n v="0.2"/>
    <s v="Valid"/>
    <s v="Clean"/>
    <n v="3795.86"/>
    <n v="2264.92"/>
    <n v="1530.9359999999997"/>
    <n v="1530.94"/>
    <n v="0.40331835209939249"/>
    <s v="Paid"/>
    <x v="0"/>
  </r>
  <r>
    <s v="ORD-2024-10721"/>
    <s v="Unique"/>
    <x v="0"/>
    <n v="2024"/>
    <d v="2024-07-16T00:00:00"/>
    <d v="2024-07-16T00:00:00"/>
    <n v="0"/>
    <s v="Valid"/>
    <s v="CUST-1991"/>
    <s v="Aditi Sen"/>
    <x v="3"/>
    <x v="3"/>
    <s v="Madhya Pradesh"/>
    <m/>
    <x v="2"/>
    <x v="6"/>
    <s v="Smart Copiers 196"/>
    <x v="1"/>
    <n v="4"/>
    <n v="4479.92"/>
    <n v="15231.727999999999"/>
    <n v="0.15"/>
    <n v="0.15"/>
    <s v="Valid"/>
    <s v="Clean"/>
    <n v="15231.73"/>
    <n v="12451.46"/>
    <n v="2780.268"/>
    <n v="2780.27"/>
    <n v="0.18253146556563174"/>
    <s v="Paid"/>
    <x v="0"/>
  </r>
  <r>
    <s v="ORD-2025-10722"/>
    <s v="Unique"/>
    <x v="2"/>
    <n v="2025"/>
    <d v="2025-06-19T00:00:00"/>
    <d v="2025-06-23T00:00:00"/>
    <n v="4"/>
    <s v="Valid"/>
    <s v="CUST-7606"/>
    <s v="Sneha Kapoor"/>
    <x v="0"/>
    <x v="2"/>
    <s v="Karnataka"/>
    <m/>
    <x v="2"/>
    <x v="6"/>
    <s v="Pro Copiers 532"/>
    <x v="2"/>
    <n v="5"/>
    <n v="2729.95"/>
    <n v="13649.75"/>
    <n v="0"/>
    <n v="0"/>
    <s v="Valid"/>
    <s v="Clean"/>
    <n v="13649.75"/>
    <n v="10288.030000000001"/>
    <n v="3361.7199999999993"/>
    <n v="3361.72"/>
    <n v="0.24628436418249416"/>
    <s v="Paid"/>
    <x v="0"/>
  </r>
  <r>
    <s v="ORD-2024-10723"/>
    <s v="Unique"/>
    <x v="9"/>
    <n v="2024"/>
    <d v="2024-10-07T00:00:00"/>
    <d v="2024-10-10T00:00:00"/>
    <n v="3"/>
    <s v="Valid"/>
    <s v="CUST-8844"/>
    <s v="Vikram Iyer"/>
    <x v="0"/>
    <x v="1"/>
    <s v="West Bengal"/>
    <m/>
    <x v="1"/>
    <x v="4"/>
    <s v="Eco Chairs 442"/>
    <x v="0"/>
    <n v="9"/>
    <n v="481.51"/>
    <n v="4333.59"/>
    <n v="0"/>
    <n v="0"/>
    <s v="Valid"/>
    <s v="Clean"/>
    <n v="4333.59"/>
    <n v="2533.59"/>
    <n v="1800"/>
    <n v="1800"/>
    <n v="0.41536001329152039"/>
    <s v="Refunded"/>
    <x v="1"/>
  </r>
  <r>
    <s v="ORD-2025-10724"/>
    <s v="Unique"/>
    <x v="9"/>
    <n v="2025"/>
    <d v="2025-10-06T00:00:00"/>
    <d v="2025-10-13T00:00:00"/>
    <n v="7"/>
    <s v="Valid"/>
    <s v="CUST-4335"/>
    <s v="Kabir Singh"/>
    <x v="3"/>
    <x v="1"/>
    <s v="Jharkhand"/>
    <m/>
    <x v="2"/>
    <x v="5"/>
    <s v="Eco Accessories 364"/>
    <x v="3"/>
    <n v="6"/>
    <n v="2391.9299999999998"/>
    <n v="13634.000999999998"/>
    <n v="0.05"/>
    <n v="0.05"/>
    <s v="Valid"/>
    <s v="Clean"/>
    <n v="13634"/>
    <n v="9589.81"/>
    <n v="4044.1909999999989"/>
    <n v="4044.19"/>
    <n v="0.29662534839372157"/>
    <s v="Failed"/>
    <x v="2"/>
  </r>
  <r>
    <s v="ORD-2024-10725"/>
    <s v="Unique"/>
    <x v="6"/>
    <n v="2024"/>
    <d v="2024-02-10T00:00:00"/>
    <d v="2024-02-16T00:00:00"/>
    <n v="6"/>
    <s v="Valid"/>
    <s v="CUST-5891"/>
    <s v="Karan Malhotra"/>
    <x v="0"/>
    <x v="3"/>
    <s v="Goa"/>
    <m/>
    <x v="1"/>
    <x v="3"/>
    <s v="Elite Furnishings 921"/>
    <x v="0"/>
    <n v="3"/>
    <n v="253.43"/>
    <n v="760.29"/>
    <n v="0"/>
    <n v="0"/>
    <s v="Valid"/>
    <s v="Clean"/>
    <n v="760.29"/>
    <n v="497.77"/>
    <n v="262.52"/>
    <n v="262.52"/>
    <n v="0.34528929750489945"/>
    <s v="Paid"/>
    <x v="0"/>
  </r>
  <r>
    <s v="ORD-2025-10726"/>
    <s v="Unique"/>
    <x v="9"/>
    <n v="2025"/>
    <d v="2025-10-05T00:00:00"/>
    <d v="2025-10-12T00:00:00"/>
    <n v="7"/>
    <s v="Valid"/>
    <s v="CUST-6371"/>
    <s v="Priya Menon"/>
    <x v="2"/>
    <x v="2"/>
    <s v="Karnataka"/>
    <m/>
    <x v="1"/>
    <x v="1"/>
    <s v="Max Tables 309"/>
    <x v="0"/>
    <n v="7"/>
    <n v="2134.73"/>
    <n v="14943.11"/>
    <n v="0"/>
    <n v="0"/>
    <s v="Valid"/>
    <s v="Clean"/>
    <n v="14943.11"/>
    <n v="8521.5"/>
    <n v="6421.6100000000006"/>
    <n v="6421.61"/>
    <n v="0.42973718322357257"/>
    <s v="Paid"/>
    <x v="0"/>
  </r>
  <r>
    <s v="ORD-2024-10727"/>
    <s v="Unique"/>
    <x v="10"/>
    <n v="2024"/>
    <d v="2024-01-17T00:00:00"/>
    <d v="2024-01-23T00:00:00"/>
    <n v="6"/>
    <s v="Valid"/>
    <s v="CUST-6655"/>
    <s v="Kabir Singh"/>
    <x v="3"/>
    <x v="3"/>
    <s v="Gujarat"/>
    <m/>
    <x v="2"/>
    <x v="11"/>
    <s v="Pro Phones 857"/>
    <x v="3"/>
    <n v="5"/>
    <n v="2018"/>
    <n v="8072"/>
    <n v="0.2"/>
    <n v="0.2"/>
    <s v="Valid"/>
    <s v="Clean"/>
    <n v="8072"/>
    <n v="5379.22"/>
    <n v="2692.7799999999997"/>
    <n v="2692.78"/>
    <n v="0.33359514370664028"/>
    <s v="Pending"/>
    <x v="2"/>
  </r>
  <r>
    <s v="ORD-2024-10728"/>
    <s v="Unique"/>
    <x v="9"/>
    <n v="2024"/>
    <d v="2024-10-13T00:00:00"/>
    <d v="2024-10-13T00:00:00"/>
    <n v="0"/>
    <s v="Valid"/>
    <s v="CUST-6492"/>
    <s v="Aarav Sharma"/>
    <x v="1"/>
    <x v="1"/>
    <s v="Assam"/>
    <m/>
    <x v="2"/>
    <x v="5"/>
    <s v="Max Accessories 567"/>
    <x v="0"/>
    <n v="8"/>
    <n v="3730.66"/>
    <n v="28353.015999999996"/>
    <n v="0.05"/>
    <n v="0.05"/>
    <s v="Valid"/>
    <s v="Clean"/>
    <n v="28353.02"/>
    <n v="19257.849999999999"/>
    <n v="9095.1659999999974"/>
    <n v="9095.17"/>
    <n v="0.32078311234570428"/>
    <s v="Paid"/>
    <x v="0"/>
  </r>
  <r>
    <s v="ORD-2024-10729"/>
    <s v="Unique"/>
    <x v="10"/>
    <n v="2024"/>
    <d v="2024-01-04T00:00:00"/>
    <d v="2024-01-07T00:00:00"/>
    <n v="3"/>
    <s v="Valid"/>
    <s v="CUST-1154"/>
    <s v="Sneha Kapoor"/>
    <x v="1"/>
    <x v="2"/>
    <s v="Karnataka"/>
    <m/>
    <x v="2"/>
    <x v="12"/>
    <s v="Max Machines 200"/>
    <x v="2"/>
    <n v="1"/>
    <n v="2363.02"/>
    <n v="2008.567"/>
    <n v="0.15"/>
    <n v="0.15"/>
    <s v="Valid"/>
    <s v="Clean"/>
    <n v="2008.57"/>
    <n v="1194.83"/>
    <n v="813.73700000000008"/>
    <n v="813.74"/>
    <n v="0.40513400080654399"/>
    <s v="Paid"/>
    <x v="0"/>
  </r>
  <r>
    <s v="ORD-2025-10730"/>
    <s v="Unique"/>
    <x v="4"/>
    <n v="2025"/>
    <d v="2025-05-17T00:00:00"/>
    <d v="2025-05-25T00:00:00"/>
    <n v="8"/>
    <s v="Valid"/>
    <s v="CUST-8713"/>
    <s v="Ananya Rao"/>
    <x v="2"/>
    <x v="2"/>
    <s v="Tamil Nadu"/>
    <m/>
    <x v="2"/>
    <x v="12"/>
    <s v="Pro Machines 563"/>
    <x v="1"/>
    <n v="6"/>
    <n v="1810.63"/>
    <n v="9234.2129999999997"/>
    <n v="0.15"/>
    <n v="0.15"/>
    <s v="Valid"/>
    <s v="Clean"/>
    <n v="9234.2099999999991"/>
    <n v="5516.52"/>
    <n v="3717.6929999999993"/>
    <n v="3717.69"/>
    <n v="0.4025996809689189"/>
    <s v="Paid"/>
    <x v="0"/>
  </r>
  <r>
    <s v="ORD-2025-10731"/>
    <s v="Unique"/>
    <x v="2"/>
    <n v="2025"/>
    <d v="2025-06-19T00:00:00"/>
    <d v="2025-06-24T00:00:00"/>
    <n v="5"/>
    <s v="Valid"/>
    <s v="CUST-6765"/>
    <s v="Arjun Bose"/>
    <x v="0"/>
    <x v="1"/>
    <s v="West Bengal"/>
    <m/>
    <x v="0"/>
    <x v="2"/>
    <s v="Elite Art 696"/>
    <x v="0"/>
    <n v="4"/>
    <n v="782.01"/>
    <n v="2658.8339999999998"/>
    <n v="0.15"/>
    <n v="0.15"/>
    <s v="Valid"/>
    <s v="Clean"/>
    <n v="2658.83"/>
    <n v="2226.9699999999998"/>
    <n v="431.86400000000003"/>
    <n v="431.86"/>
    <n v="0.16242482595728197"/>
    <s v="Refunded"/>
    <x v="2"/>
  </r>
  <r>
    <s v="ORD-2024-10732"/>
    <s v="Unique"/>
    <x v="11"/>
    <n v="2024"/>
    <d v="2024-03-17T00:00:00"/>
    <d v="2024-03-19T00:00:00"/>
    <n v="2"/>
    <s v="Valid"/>
    <s v="CUST-6849"/>
    <s v="Ananya Rao"/>
    <x v="2"/>
    <x v="1"/>
    <s v="Odisha"/>
    <m/>
    <x v="0"/>
    <x v="9"/>
    <s v="Eco Binders 178"/>
    <x v="2"/>
    <n v="4"/>
    <n v="4376.68"/>
    <n v="15756.048000000001"/>
    <n v="0.1"/>
    <n v="0.1"/>
    <s v="Valid"/>
    <s v="Clean"/>
    <n v="15756.05"/>
    <n v="10245.44"/>
    <n v="5510.6080000000002"/>
    <n v="5510.61"/>
    <n v="0.34974565325700285"/>
    <s v="Paid"/>
    <x v="0"/>
  </r>
  <r>
    <s v="ORD-2024-10733"/>
    <s v="Unique"/>
    <x v="3"/>
    <n v="2024"/>
    <d v="2024-11-28T00:00:00"/>
    <d v="2024-12-06T00:00:00"/>
    <n v="8"/>
    <s v="Valid"/>
    <s v="CUST-4973"/>
    <s v="Arjun Bose"/>
    <x v="1"/>
    <x v="0"/>
    <s v="Punjab"/>
    <m/>
    <x v="2"/>
    <x v="11"/>
    <s v="Max Phones 678"/>
    <x v="3"/>
    <n v="6"/>
    <n v="2464.63"/>
    <n v="14787.78"/>
    <n v="0"/>
    <n v="0"/>
    <s v="Valid"/>
    <s v="Clean"/>
    <n v="14787.78"/>
    <n v="8596.65"/>
    <n v="6191.130000000001"/>
    <n v="6191.13"/>
    <n v="0.41866527632950989"/>
    <s v="Paid"/>
    <x v="0"/>
  </r>
  <r>
    <s v="ORD-2024-10734"/>
    <s v="Unique"/>
    <x v="2"/>
    <n v="2024"/>
    <d v="2024-06-21T00:00:00"/>
    <d v="2024-06-28T00:00:00"/>
    <n v="7"/>
    <s v="Valid"/>
    <s v="CUST-2394"/>
    <s v="Aarav Sharma"/>
    <x v="3"/>
    <x v="0"/>
    <s v="Rajasthan"/>
    <m/>
    <x v="1"/>
    <x v="3"/>
    <s v="Classic Furnishings 582"/>
    <x v="2"/>
    <n v="9"/>
    <n v="2797.96"/>
    <n v="25181.64"/>
    <n v="0"/>
    <n v="0"/>
    <s v="Valid"/>
    <s v="Clean"/>
    <n v="25181.64"/>
    <n v="15337.9"/>
    <n v="9843.74"/>
    <n v="9843.74"/>
    <n v="0.39090940860086953"/>
    <s v="Paid"/>
    <x v="0"/>
  </r>
  <r>
    <s v="ORD-2024-10735"/>
    <s v="Unique"/>
    <x v="1"/>
    <n v="2024"/>
    <d v="2024-08-24T00:00:00"/>
    <d v="2024-08-24T00:00:00"/>
    <n v="0"/>
    <s v="Valid"/>
    <s v="CUST-5406"/>
    <s v="Ananya Rao"/>
    <x v="1"/>
    <x v="0"/>
    <s v="Rajasthan"/>
    <m/>
    <x v="2"/>
    <x v="5"/>
    <s v="Classic Accessories 981"/>
    <x v="2"/>
    <n v="4"/>
    <n v="2761.86"/>
    <n v="8837.9520000000011"/>
    <n v="0.2"/>
    <n v="0.2"/>
    <s v="Valid"/>
    <s v="Clean"/>
    <n v="8837.9500000000007"/>
    <n v="6157.27"/>
    <n v="2680.6820000000007"/>
    <n v="2680.68"/>
    <n v="0.30331468270356809"/>
    <s v="Paid"/>
    <x v="0"/>
  </r>
  <r>
    <s v="ORD-2024-10736"/>
    <s v="Unique"/>
    <x v="1"/>
    <n v="2024"/>
    <d v="2024-08-11T00:00:00"/>
    <d v="2024-08-19T00:00:00"/>
    <n v="8"/>
    <s v="Valid"/>
    <s v="CUST-1963"/>
    <s v="Mira Das"/>
    <x v="0"/>
    <x v="3"/>
    <s v="Maharashtra"/>
    <m/>
    <x v="1"/>
    <x v="1"/>
    <s v="Classic Tables 534"/>
    <x v="3"/>
    <n v="6"/>
    <n v="1515.79"/>
    <n v="7275.7920000000004"/>
    <n v="0.2"/>
    <n v="0.2"/>
    <s v="Valid"/>
    <s v="Clean"/>
    <n v="7275.79"/>
    <n v="6152.87"/>
    <n v="1122.9220000000005"/>
    <n v="1122.92"/>
    <n v="0.15433650503931534"/>
    <s v="Paid"/>
    <x v="0"/>
  </r>
  <r>
    <s v="ORD-2024-10737"/>
    <s v="Unique"/>
    <x v="8"/>
    <n v="2024"/>
    <d v="2024-12-06T00:00:00"/>
    <d v="2024-12-09T00:00:00"/>
    <n v="3"/>
    <s v="Valid"/>
    <s v="CUST-9017"/>
    <s v="Aditi Sen"/>
    <x v="0"/>
    <x v="3"/>
    <s v="Maharashtra"/>
    <m/>
    <x v="1"/>
    <x v="4"/>
    <s v="Pro Chairs 383"/>
    <x v="0"/>
    <n v="9"/>
    <n v="290.75"/>
    <n v="2355.0750000000003"/>
    <n v="0.1"/>
    <n v="0.1"/>
    <s v="Valid"/>
    <s v="Clean"/>
    <n v="2355.08"/>
    <n v="1350.03"/>
    <n v="1005.0450000000003"/>
    <n v="1005.05"/>
    <n v="0.42675832668104691"/>
    <s v="Paid"/>
    <x v="0"/>
  </r>
  <r>
    <s v="ORD-2024-10738"/>
    <s v="Unique"/>
    <x v="6"/>
    <n v="2024"/>
    <d v="2024-02-10T00:00:00"/>
    <d v="2024-02-10T00:00:00"/>
    <n v="0"/>
    <s v="Valid"/>
    <s v="CUST-7967"/>
    <s v="Isha Nair"/>
    <x v="3"/>
    <x v="3"/>
    <s v="Maharashtra"/>
    <m/>
    <x v="1"/>
    <x v="4"/>
    <s v="Max Chairs 845"/>
    <x v="1"/>
    <n v="6"/>
    <n v="601.52"/>
    <n v="3609.12"/>
    <n v="0"/>
    <n v="0"/>
    <s v="Valid"/>
    <s v="Clean"/>
    <n v="3609.12"/>
    <n v="2645.5"/>
    <n v="963.61999999999989"/>
    <n v="963.62"/>
    <n v="0.26699583277918165"/>
    <s v="Paid"/>
    <x v="0"/>
  </r>
  <r>
    <s v="ORD-2025-10739"/>
    <s v="Unique"/>
    <x v="6"/>
    <n v="2025"/>
    <d v="2025-02-20T00:00:00"/>
    <d v="2025-02-22T00:00:00"/>
    <n v="2"/>
    <s v="Valid"/>
    <s v="CUST-5334"/>
    <s v="Priya Menon"/>
    <x v="2"/>
    <x v="2"/>
    <s v="Kerala"/>
    <m/>
    <x v="0"/>
    <x v="0"/>
    <s v="Prime Paper 307"/>
    <x v="2"/>
    <n v="1"/>
    <n v="2188.19"/>
    <n v="2188.19"/>
    <n v="0"/>
    <n v="0"/>
    <s v="Valid"/>
    <s v="Clean"/>
    <n v="2188.19"/>
    <n v="1298.8399999999999"/>
    <n v="889.35000000000014"/>
    <n v="889.35"/>
    <n v="0.40643179979800659"/>
    <s v="Paid"/>
    <x v="0"/>
  </r>
  <r>
    <s v="ORD-2024-10740"/>
    <s v="Unique"/>
    <x v="8"/>
    <n v="2024"/>
    <d v="2024-12-03T00:00:00"/>
    <d v="2024-12-10T00:00:00"/>
    <n v="7"/>
    <s v="Valid"/>
    <s v="CUST-5846"/>
    <s v="Neha Gupta"/>
    <x v="2"/>
    <x v="0"/>
    <s v="Rajasthan"/>
    <m/>
    <x v="2"/>
    <x v="11"/>
    <s v="Basic Phones 859"/>
    <x v="3"/>
    <n v="5"/>
    <n v="2393.86"/>
    <n v="11370.835000000001"/>
    <n v="0.05"/>
    <n v="0.05"/>
    <s v="Valid"/>
    <s v="Clean"/>
    <n v="11370.84"/>
    <n v="7469.58"/>
    <n v="3901.255000000001"/>
    <n v="3901.26"/>
    <n v="0.34309338624059438"/>
    <s v="Paid"/>
    <x v="0"/>
  </r>
  <r>
    <s v="ORD-2024-10741"/>
    <s v="Unique"/>
    <x v="5"/>
    <n v="2024"/>
    <d v="2024-04-02T00:00:00"/>
    <d v="2024-04-02T00:00:00"/>
    <n v="0"/>
    <s v="Valid"/>
    <s v="CUST-7932"/>
    <s v="Sneha Kapoor"/>
    <x v="1"/>
    <x v="3"/>
    <s v="Maharashtra"/>
    <m/>
    <x v="1"/>
    <x v="4"/>
    <s v="Eco Chairs 883"/>
    <x v="2"/>
    <n v="4"/>
    <n v="2583"/>
    <n v="9298.8000000000011"/>
    <n v="0.1"/>
    <n v="0.1"/>
    <s v="Valid"/>
    <s v="Clean"/>
    <n v="9298.7999999999993"/>
    <n v="6548.5"/>
    <n v="2750.3000000000011"/>
    <n v="2750.3"/>
    <n v="0.29576934658235476"/>
    <s v="Paid"/>
    <x v="0"/>
  </r>
  <r>
    <s v="ORD-2025-10742"/>
    <s v="Unique"/>
    <x v="5"/>
    <n v="2025"/>
    <d v="2025-04-23T00:00:00"/>
    <d v="2025-04-25T00:00:00"/>
    <n v="2"/>
    <s v="Valid"/>
    <s v="CUST-3285"/>
    <s v="Isha Nair"/>
    <x v="3"/>
    <x v="2"/>
    <s v="Tamil Nadu"/>
    <m/>
    <x v="1"/>
    <x v="4"/>
    <s v="Max Chairs 706"/>
    <x v="0"/>
    <n v="3"/>
    <n v="2951.12"/>
    <n v="8853.36"/>
    <n v="0"/>
    <n v="0"/>
    <s v="Valid"/>
    <s v="Clean"/>
    <n v="7082.69"/>
    <n v="5596.34"/>
    <n v="3257.0200000000004"/>
    <n v="1486.35"/>
    <n v="0.2098567069856227"/>
    <s v="Paid"/>
    <x v="1"/>
  </r>
  <r>
    <s v="ORD-2024-10743"/>
    <s v="Unique"/>
    <x v="9"/>
    <n v="2024"/>
    <d v="2024-10-15T00:00:00"/>
    <d v="2024-10-22T00:00:00"/>
    <n v="7"/>
    <s v="Valid"/>
    <s v="CUST-6368"/>
    <s v="Karan Malhotra"/>
    <x v="2"/>
    <x v="1"/>
    <s v="Odisha"/>
    <m/>
    <x v="0"/>
    <x v="0"/>
    <s v="Prime Paper 768"/>
    <x v="3"/>
    <n v="4"/>
    <n v="2260.9499999999998"/>
    <n v="9043.7999999999993"/>
    <n v="0"/>
    <n v="0"/>
    <s v="Valid"/>
    <s v="Clean"/>
    <n v="9043.7999999999993"/>
    <n v="5913.38"/>
    <n v="3130.4199999999992"/>
    <n v="3130.42"/>
    <n v="0.34613989694597408"/>
    <s v="Paid"/>
    <x v="0"/>
  </r>
  <r>
    <s v="ORD-2025-10744"/>
    <s v="Unique"/>
    <x v="6"/>
    <n v="2025"/>
    <d v="2025-02-12T00:00:00"/>
    <d v="2025-02-14T00:00:00"/>
    <n v="2"/>
    <s v="Valid"/>
    <s v="CUST-6231"/>
    <s v="Sneha Kapoor"/>
    <x v="0"/>
    <x v="0"/>
    <s v="Uttar Pradesh"/>
    <m/>
    <x v="0"/>
    <x v="2"/>
    <s v="Basic Art 764"/>
    <x v="3"/>
    <n v="6"/>
    <n v="491.4"/>
    <n v="2211.2999999999997"/>
    <n v="0.25"/>
    <n v="0.25"/>
    <s v="Valid"/>
    <s v="Clean"/>
    <n v="2211.3000000000002"/>
    <n v="1735.64"/>
    <n v="475.65999999999963"/>
    <n v="475.66"/>
    <n v="0.21510423732645953"/>
    <s v="Paid"/>
    <x v="0"/>
  </r>
  <r>
    <s v="ORD-2025-10745"/>
    <s v="Unique"/>
    <x v="1"/>
    <n v="2025"/>
    <d v="2025-08-17T00:00:00"/>
    <d v="2025-08-20T00:00:00"/>
    <n v="3"/>
    <s v="Valid"/>
    <s v="CUST-2021"/>
    <s v="Mira Das"/>
    <x v="3"/>
    <x v="0"/>
    <s v="Punjab"/>
    <m/>
    <x v="0"/>
    <x v="9"/>
    <s v="Prime Binders 181"/>
    <x v="2"/>
    <n v="5"/>
    <n v="2701.89"/>
    <n v="12158.504999999999"/>
    <n v="0.1"/>
    <n v="0.1"/>
    <s v="Valid"/>
    <s v="Clean"/>
    <n v="12158.5"/>
    <n v="10260.07"/>
    <n v="1898.4349999999995"/>
    <n v="1898.43"/>
    <n v="0.15614014886704775"/>
    <s v="Paid"/>
    <x v="1"/>
  </r>
  <r>
    <s v="ORD-2024-10746"/>
    <s v="Unique"/>
    <x v="9"/>
    <n v="2024"/>
    <d v="2024-10-24T00:00:00"/>
    <d v="2024-10-28T00:00:00"/>
    <n v="4"/>
    <s v="Valid"/>
    <s v="CUST-1493"/>
    <s v="Mira Das"/>
    <x v="1"/>
    <x v="1"/>
    <s v="Assam"/>
    <m/>
    <x v="2"/>
    <x v="6"/>
    <s v="Max Copiers 866"/>
    <x v="3"/>
    <n v="3"/>
    <n v="723.59"/>
    <n v="1736.616"/>
    <n v="0.2"/>
    <n v="0.2"/>
    <s v="Valid"/>
    <s v="Clean"/>
    <n v="1736.62"/>
    <n v="1059.52"/>
    <n v="677.096"/>
    <n v="677.1"/>
    <n v="0.3898953138855939"/>
    <s v="Paid"/>
    <x v="0"/>
  </r>
  <r>
    <s v="ORD-2025-10747"/>
    <s v="Unique"/>
    <x v="10"/>
    <n v="2025"/>
    <d v="2025-01-04T00:00:00"/>
    <d v="2025-01-10T00:00:00"/>
    <n v="6"/>
    <s v="Valid"/>
    <s v="CUST-2314"/>
    <s v="Aarav Sharma"/>
    <x v="3"/>
    <x v="1"/>
    <s v="West Bengal"/>
    <m/>
    <x v="0"/>
    <x v="0"/>
    <s v="Pro Paper 662"/>
    <x v="3"/>
    <n v="4"/>
    <n v="2583.19"/>
    <n v="8266.2080000000005"/>
    <n v="0.2"/>
    <n v="0.2"/>
    <s v="Valid"/>
    <s v="Clean"/>
    <n v="8266.2099999999991"/>
    <n v="6236.32"/>
    <n v="2029.8880000000008"/>
    <n v="2029.89"/>
    <n v="0.2455647751508854"/>
    <s v="Paid"/>
    <x v="0"/>
  </r>
  <r>
    <s v="ORD-2024-10748"/>
    <s v="Unique"/>
    <x v="4"/>
    <n v="2024"/>
    <d v="2024-05-01T00:00:00"/>
    <d v="2024-05-07T00:00:00"/>
    <n v="6"/>
    <s v="Valid"/>
    <s v="CUST-8416"/>
    <s v="Isha Nair"/>
    <x v="3"/>
    <x v="1"/>
    <s v="Odisha"/>
    <m/>
    <x v="0"/>
    <x v="0"/>
    <s v="Classic Paper 388"/>
    <x v="1"/>
    <n v="8"/>
    <n v="1473.83"/>
    <n v="10022.044"/>
    <n v="0.15"/>
    <n v="0.15"/>
    <s v="Valid"/>
    <s v="Clean"/>
    <n v="10022.040000000001"/>
    <n v="5576.98"/>
    <n v="4445.0640000000003"/>
    <n v="4445.0600000000004"/>
    <n v="0.4435284632669596"/>
    <s v="Paid"/>
    <x v="0"/>
  </r>
  <r>
    <s v="ORD-2024-10749"/>
    <s v="Unique"/>
    <x v="4"/>
    <n v="2024"/>
    <d v="2024-05-30T00:00:00"/>
    <d v="2024-05-30T00:00:00"/>
    <n v="0"/>
    <s v="Valid"/>
    <s v="CUST-3103"/>
    <s v="Diya Patel"/>
    <x v="3"/>
    <x v="0"/>
    <s v="Haryana"/>
    <m/>
    <x v="2"/>
    <x v="11"/>
    <s v="Pro Phones 765"/>
    <x v="0"/>
    <n v="1"/>
    <n v="3848.04"/>
    <n v="2886.0299999999997"/>
    <n v="0.25"/>
    <n v="0.25"/>
    <s v="Valid"/>
    <s v="Clean"/>
    <n v="2886.03"/>
    <n v="2064.83"/>
    <n v="821.19999999999982"/>
    <n v="821.2"/>
    <n v="0.28454312671732451"/>
    <s v="Paid"/>
    <x v="0"/>
  </r>
  <r>
    <s v="ORD-2024-10750"/>
    <s v="Unique"/>
    <x v="11"/>
    <n v="2024"/>
    <d v="2024-03-21T00:00:00"/>
    <d v="2024-03-25T00:00:00"/>
    <n v="4"/>
    <s v="Valid"/>
    <s v="CUST-4457"/>
    <s v="Aditi Sen"/>
    <x v="3"/>
    <x v="1"/>
    <s v="Assam"/>
    <m/>
    <x v="2"/>
    <x v="12"/>
    <s v="Classic Machines 543"/>
    <x v="3"/>
    <n v="1"/>
    <n v="1716.7"/>
    <n v="1459.1949999999999"/>
    <n v="0.15"/>
    <n v="0.15"/>
    <s v="Valid"/>
    <s v="Clean"/>
    <n v="1459.19"/>
    <n v="1055.79"/>
    <n v="403.40499999999997"/>
    <n v="403.4"/>
    <n v="0.27645474544096382"/>
    <s v="Paid"/>
    <x v="0"/>
  </r>
  <r>
    <s v="ORD-2025-10751"/>
    <s v="Unique"/>
    <x v="2"/>
    <n v="2025"/>
    <d v="2025-06-02T00:00:00"/>
    <d v="2025-06-02T00:00:00"/>
    <n v="0"/>
    <s v="Valid"/>
    <s v="CUST-7036"/>
    <s v="Aarav Sharma"/>
    <x v="3"/>
    <x v="2"/>
    <s v="Telangana"/>
    <m/>
    <x v="2"/>
    <x v="5"/>
    <s v="Max Accessories 291"/>
    <x v="2"/>
    <n v="8"/>
    <n v="3925.93"/>
    <n v="26696.323999999997"/>
    <n v="0.15"/>
    <n v="0.15"/>
    <s v="Valid"/>
    <s v="Clean"/>
    <n v="26696.32"/>
    <n v="22724.52"/>
    <n v="3971.8039999999964"/>
    <n v="3971.8"/>
    <n v="0.14877705990938078"/>
    <s v="Paid"/>
    <x v="0"/>
  </r>
  <r>
    <s v="ORD-2025-10752"/>
    <s v="Unique"/>
    <x v="0"/>
    <n v="2025"/>
    <d v="2025-07-18T00:00:00"/>
    <d v="2025-07-19T00:00:00"/>
    <n v="1"/>
    <s v="Valid"/>
    <s v="CUST-8512"/>
    <s v="Priya Menon"/>
    <x v="3"/>
    <x v="4"/>
    <s v="Uttar Pradesh"/>
    <m/>
    <x v="2"/>
    <x v="12"/>
    <s v="Eco Machines 414"/>
    <x v="4"/>
    <n v="3"/>
    <n v="2963.25"/>
    <n v="8445.2624999999989"/>
    <n v="0.05"/>
    <n v="0.05"/>
    <s v="Valid"/>
    <s v="Clean"/>
    <n v="8445.26"/>
    <n v="6937.6"/>
    <n v="1507.6624999999985"/>
    <n v="1507.66"/>
    <n v="0.17852144279749824"/>
    <s v="Paid"/>
    <x v="0"/>
  </r>
  <r>
    <s v="ORD-2024-10753"/>
    <s v="Unique"/>
    <x v="11"/>
    <n v="2024"/>
    <d v="2024-03-24T00:00:00"/>
    <d v="2024-03-27T00:00:00"/>
    <n v="3"/>
    <s v="Valid"/>
    <s v="CUST-6345"/>
    <s v="Aditi Sen"/>
    <x v="2"/>
    <x v="3"/>
    <s v="Gujarat"/>
    <m/>
    <x v="0"/>
    <x v="8"/>
    <s v="Basic Storage 273"/>
    <x v="2"/>
    <n v="5"/>
    <n v="2465.2199999999998"/>
    <n v="11709.794999999998"/>
    <n v="0.05"/>
    <n v="0.05"/>
    <s v="Valid"/>
    <s v="Clean"/>
    <n v="11709.79"/>
    <n v="8372.2900000000009"/>
    <n v="3337.5049999999974"/>
    <n v="3337.5"/>
    <n v="0.28501792090208278"/>
    <s v="Paid"/>
    <x v="0"/>
  </r>
  <r>
    <s v="ORD-2024-10754"/>
    <s v="Unique"/>
    <x v="1"/>
    <n v="2024"/>
    <d v="2024-08-11T00:00:00"/>
    <d v="2024-08-10T00:00:00"/>
    <n v="-1"/>
    <s v="Invalid: Ship Date Before Order Date"/>
    <s v="CUST-4505"/>
    <s v="Aditi Sen"/>
    <x v="2"/>
    <x v="0"/>
    <s v="Delhi"/>
    <m/>
    <x v="1"/>
    <x v="3"/>
    <s v="Elite Furnishings 588"/>
    <x v="0"/>
    <n v="3"/>
    <n v="1017.22"/>
    <n v="2593.9109999999996"/>
    <n v="0.15"/>
    <n v="0.15"/>
    <s v="Valid"/>
    <s v="Invalid"/>
    <n v="2593.91"/>
    <n v="1848.48"/>
    <n v="745.43099999999959"/>
    <n v="745.43"/>
    <n v="0.28737697144465307"/>
    <s v="Failed"/>
    <x v="2"/>
  </r>
  <r>
    <s v="ORD-2025-10755"/>
    <s v="Unique"/>
    <x v="2"/>
    <n v="2025"/>
    <d v="2025-06-04T00:00:00"/>
    <d v="2025-06-04T00:00:00"/>
    <n v="0"/>
    <s v="Valid"/>
    <s v="CUST-7960"/>
    <s v="Neha Gupta"/>
    <x v="2"/>
    <x v="2"/>
    <s v="Kerala"/>
    <m/>
    <x v="0"/>
    <x v="8"/>
    <s v="Elite Storage 857"/>
    <x v="3"/>
    <n v="4"/>
    <n v="891.34"/>
    <n v="2674.02"/>
    <n v="0.25"/>
    <n v="0.25"/>
    <s v="Valid"/>
    <s v="Clean"/>
    <n v="2674.02"/>
    <n v="2207.5700000000002"/>
    <n v="466.44999999999982"/>
    <n v="466.45"/>
    <n v="0.17443773793763695"/>
    <s v="Paid"/>
    <x v="0"/>
  </r>
  <r>
    <s v="ORD-2025-10756"/>
    <s v="Unique"/>
    <x v="0"/>
    <n v="2025"/>
    <d v="2025-07-20T00:00:00"/>
    <d v="2025-07-24T00:00:00"/>
    <n v="4"/>
    <s v="Valid"/>
    <s v="CUST-3365"/>
    <s v="Priya Menon"/>
    <x v="3"/>
    <x v="3"/>
    <s v="Madhya Pradesh"/>
    <m/>
    <x v="0"/>
    <x v="8"/>
    <s v="Prime Storage 183"/>
    <x v="0"/>
    <n v="5"/>
    <n v="2481.7399999999998"/>
    <n v="9926.9599999999991"/>
    <n v="0.2"/>
    <n v="0.2"/>
    <s v="Valid"/>
    <s v="Clean"/>
    <n v="9926.9599999999991"/>
    <n v="7994.98"/>
    <n v="1931.9799999999996"/>
    <n v="1931.98"/>
    <n v="0.19461950083409224"/>
    <s v="Paid"/>
    <x v="0"/>
  </r>
  <r>
    <s v="ORD-2024-10757"/>
    <s v="Unique"/>
    <x v="9"/>
    <n v="2024"/>
    <d v="2024-10-27T00:00:00"/>
    <d v="2024-11-01T00:00:00"/>
    <n v="5"/>
    <s v="Valid"/>
    <s v="CUST-1557"/>
    <s v="Rohan Mehta"/>
    <x v="0"/>
    <x v="0"/>
    <s v="Rajasthan"/>
    <m/>
    <x v="2"/>
    <x v="5"/>
    <s v="Smart Accessories 362"/>
    <x v="1"/>
    <n v="7"/>
    <n v="2177.1"/>
    <n v="12191.76"/>
    <n v="0.2"/>
    <n v="0.2"/>
    <s v="Valid"/>
    <s v="Clean"/>
    <n v="12191.76"/>
    <n v="10457.49"/>
    <n v="1734.2700000000004"/>
    <n v="1734.27"/>
    <n v="0.14224935530226973"/>
    <s v="Paid"/>
    <x v="2"/>
  </r>
  <r>
    <s v="ORD-2025-10758"/>
    <s v="Unique"/>
    <x v="1"/>
    <n v="2025"/>
    <d v="2025-08-01T00:00:00"/>
    <d v="2025-08-03T00:00:00"/>
    <n v="2"/>
    <s v="Valid"/>
    <s v="CUST-3058"/>
    <s v="Aditi Sen"/>
    <x v="1"/>
    <x v="2"/>
    <s v="Kerala"/>
    <m/>
    <x v="1"/>
    <x v="10"/>
    <s v="Classic Bookcases 310"/>
    <x v="3"/>
    <n v="3"/>
    <n v="1904.78"/>
    <n v="4285.7550000000001"/>
    <n v="0.25"/>
    <n v="0.25"/>
    <s v="Valid"/>
    <s v="Clean"/>
    <n v="4285.76"/>
    <n v="2386.33"/>
    <n v="1899.4250000000002"/>
    <n v="1899.43"/>
    <n v="0.44319560591353691"/>
    <s v="Failed"/>
    <x v="1"/>
  </r>
  <r>
    <s v="ORD-2024-10759"/>
    <s v="Unique"/>
    <x v="4"/>
    <n v="2024"/>
    <d v="2024-05-02T00:00:00"/>
    <d v="2024-05-10T00:00:00"/>
    <n v="8"/>
    <s v="Valid"/>
    <s v="CUST-6076"/>
    <s v="Aarav Sharma"/>
    <x v="1"/>
    <x v="2"/>
    <s v="Karnataka"/>
    <m/>
    <x v="1"/>
    <x v="4"/>
    <s v="Prime Chairs 721"/>
    <x v="3"/>
    <n v="1"/>
    <n v="4166.91"/>
    <n v="4166.91"/>
    <n v="0"/>
    <n v="0"/>
    <s v="Valid"/>
    <s v="Clean"/>
    <n v="4166.91"/>
    <n v="3412.63"/>
    <n v="754.27999999999975"/>
    <n v="754.28"/>
    <n v="0.18101662862888807"/>
    <s v="Paid"/>
    <x v="0"/>
  </r>
  <r>
    <s v="ORD-2024-10760"/>
    <s v="Unique"/>
    <x v="0"/>
    <n v="2024"/>
    <d v="2024-07-19T00:00:00"/>
    <d v="2024-07-26T00:00:00"/>
    <n v="7"/>
    <s v="Valid"/>
    <s v="CUST-2098"/>
    <s v="Arjun Bose"/>
    <x v="3"/>
    <x v="2"/>
    <s v="Karnataka"/>
    <m/>
    <x v="1"/>
    <x v="1"/>
    <s v="Prime Tables 797"/>
    <x v="0"/>
    <n v="5"/>
    <n v="3986.01"/>
    <n v="14947.537500000002"/>
    <n v="0.25"/>
    <n v="0.25"/>
    <s v="Valid"/>
    <s v="Clean"/>
    <n v="14947.54"/>
    <n v="9438.4599999999991"/>
    <n v="5509.0775000000031"/>
    <n v="5509.08"/>
    <n v="0.36856098060282827"/>
    <s v="Paid"/>
    <x v="0"/>
  </r>
  <r>
    <s v="ORD-2024-10761"/>
    <s v="Unique"/>
    <x v="1"/>
    <n v="2024"/>
    <d v="2024-08-28T00:00:00"/>
    <d v="2024-09-02T00:00:00"/>
    <n v="5"/>
    <s v="Valid"/>
    <s v="CUST-7193"/>
    <s v="Aditi Sen"/>
    <x v="3"/>
    <x v="1"/>
    <s v="Assam"/>
    <m/>
    <x v="0"/>
    <x v="2"/>
    <s v="Max Art 926"/>
    <x v="0"/>
    <n v="4"/>
    <n v="3365.53"/>
    <n v="13462.12"/>
    <n v="0"/>
    <n v="0"/>
    <s v="Valid"/>
    <s v="Clean"/>
    <n v="13462.12"/>
    <n v="7600.63"/>
    <n v="5861.4900000000007"/>
    <n v="5861.49"/>
    <n v="0.43540616188237807"/>
    <s v="Pending"/>
    <x v="2"/>
  </r>
  <r>
    <s v="ORD-2025-10762"/>
    <s v="Unique"/>
    <x v="1"/>
    <n v="2025"/>
    <d v="2025-08-27T00:00:00"/>
    <d v="2025-08-31T00:00:00"/>
    <n v="4"/>
    <s v="Valid"/>
    <s v="CUST-8948"/>
    <s v="Isha Nair"/>
    <x v="0"/>
    <x v="2"/>
    <s v="Karnataka"/>
    <m/>
    <x v="2"/>
    <x v="12"/>
    <s v="Max Machines 364"/>
    <x v="2"/>
    <n v="3"/>
    <n v="2489.12"/>
    <n v="7467.36"/>
    <n v="0"/>
    <n v="0"/>
    <s v="Valid"/>
    <s v="Clean"/>
    <n v="7467.36"/>
    <n v="5010.6099999999997"/>
    <n v="2456.75"/>
    <n v="2456.75"/>
    <n v="0.32899846799940008"/>
    <s v="Paid"/>
    <x v="0"/>
  </r>
  <r>
    <s v="ORD-2024-10763"/>
    <s v="Unique"/>
    <x v="10"/>
    <n v="2024"/>
    <d v="2024-01-01T00:00:00"/>
    <d v="2024-01-05T00:00:00"/>
    <n v="4"/>
    <s v="Valid"/>
    <s v="CUST-6921"/>
    <s v="Diya Patel"/>
    <x v="2"/>
    <x v="3"/>
    <s v="Madhya Pradesh"/>
    <m/>
    <x v="2"/>
    <x v="12"/>
    <s v="Classic Machines 122"/>
    <x v="0"/>
    <n v="2"/>
    <n v="3694.12"/>
    <n v="5910.5920000000006"/>
    <n v="0.2"/>
    <n v="0.2"/>
    <s v="Valid"/>
    <s v="Clean"/>
    <n v="5910.59"/>
    <n v="4775.4399999999996"/>
    <n v="1135.152000000001"/>
    <n v="1135.1500000000001"/>
    <n v="0.19205358517508406"/>
    <s v="Refunded"/>
    <x v="2"/>
  </r>
  <r>
    <s v="ORD-2025-10764"/>
    <s v="Unique"/>
    <x v="1"/>
    <n v="2025"/>
    <d v="2025-08-23T00:00:00"/>
    <d v="2025-08-25T00:00:00"/>
    <n v="2"/>
    <s v="Valid"/>
    <s v="CUST-4086"/>
    <s v="Diya Patel"/>
    <x v="0"/>
    <x v="0"/>
    <s v="Rajasthan"/>
    <m/>
    <x v="1"/>
    <x v="3"/>
    <s v="Elite Furnishings 169"/>
    <x v="1"/>
    <n v="6"/>
    <n v="2742.48"/>
    <n v="16454.88"/>
    <n v="0"/>
    <n v="0"/>
    <s v="Valid"/>
    <s v="Clean"/>
    <n v="16454.88"/>
    <n v="12081.54"/>
    <n v="4373.34"/>
    <n v="4373.34"/>
    <n v="0.26577769026574488"/>
    <s v="Paid"/>
    <x v="0"/>
  </r>
  <r>
    <s v="ORD-2025-10765"/>
    <s v="Unique"/>
    <x v="5"/>
    <n v="2025"/>
    <d v="2025-04-13T00:00:00"/>
    <d v="2025-04-13T00:00:00"/>
    <n v="0"/>
    <s v="Valid"/>
    <s v="CUST-5174"/>
    <s v="Priya Menon"/>
    <x v="2"/>
    <x v="2"/>
    <s v="Kerala"/>
    <m/>
    <x v="1"/>
    <x v="10"/>
    <s v="Pro Bookcases 615"/>
    <x v="2"/>
    <n v="6"/>
    <n v="4414"/>
    <n v="25159.8"/>
    <n v="0.05"/>
    <n v="0.05"/>
    <s v="Valid"/>
    <s v="Clean"/>
    <n v="25159.8"/>
    <n v="21606.83"/>
    <n v="3552.9699999999975"/>
    <n v="3552.97"/>
    <n v="0.14121614639226066"/>
    <s v="Paid"/>
    <x v="0"/>
  </r>
  <r>
    <s v="ORD-2025-10766"/>
    <s v="Unique"/>
    <x v="2"/>
    <n v="2025"/>
    <d v="2025-06-29T00:00:00"/>
    <d v="2025-07-03T00:00:00"/>
    <n v="4"/>
    <s v="Valid"/>
    <s v="CUST-8747"/>
    <s v="Vikram Iyer"/>
    <x v="2"/>
    <x v="1"/>
    <s v="Jharkhand"/>
    <m/>
    <x v="0"/>
    <x v="7"/>
    <s v="Max Labels 136"/>
    <x v="2"/>
    <n v="3"/>
    <n v="608.14"/>
    <n v="1824.42"/>
    <n v="0"/>
    <n v="0"/>
    <s v="Valid"/>
    <s v="Clean"/>
    <n v="1824.42"/>
    <n v="1214.8699999999999"/>
    <n v="609.55000000000018"/>
    <n v="609.54999999999995"/>
    <n v="0.33410618169061945"/>
    <s v="Paid"/>
    <x v="0"/>
  </r>
  <r>
    <s v="ORD-2024-10767"/>
    <s v="Unique"/>
    <x v="7"/>
    <n v="2024"/>
    <d v="2024-09-17T00:00:00"/>
    <d v="2024-09-24T00:00:00"/>
    <n v="7"/>
    <s v="Valid"/>
    <s v="CUST-3156"/>
    <s v="Mira Das"/>
    <x v="2"/>
    <x v="3"/>
    <s v="Gujarat"/>
    <m/>
    <x v="0"/>
    <x v="2"/>
    <s v="Prime Art 380"/>
    <x v="0"/>
    <n v="9"/>
    <n v="2307.96"/>
    <n v="16617.312000000002"/>
    <n v="0.2"/>
    <n v="0.2"/>
    <s v="Valid"/>
    <s v="Clean"/>
    <n v="16617.310000000001"/>
    <n v="9195.73"/>
    <n v="7421.5820000000022"/>
    <n v="7421.58"/>
    <n v="0.44661741280628448"/>
    <s v="Paid"/>
    <x v="1"/>
  </r>
  <r>
    <s v="ORD-2024-10768"/>
    <s v="Unique"/>
    <x v="4"/>
    <n v="2024"/>
    <d v="2024-05-03T00:00:00"/>
    <d v="2024-05-06T00:00:00"/>
    <n v="3"/>
    <s v="Valid"/>
    <s v="CUST-2043"/>
    <s v="Ananya Rao"/>
    <x v="3"/>
    <x v="0"/>
    <s v="Uttar Pradesh"/>
    <m/>
    <x v="0"/>
    <x v="9"/>
    <s v="Classic Binders 234"/>
    <x v="3"/>
    <n v="1"/>
    <n v="1244.58"/>
    <n v="933.43499999999995"/>
    <n v="0.25"/>
    <n v="0.25"/>
    <s v="Valid"/>
    <s v="Clean"/>
    <n v="933.43"/>
    <n v="583.09"/>
    <n v="350.34499999999991"/>
    <n v="350.34"/>
    <n v="0.37532541272511061"/>
    <s v="Paid"/>
    <x v="0"/>
  </r>
  <r>
    <s v="ORD-2025-10769"/>
    <s v="Unique"/>
    <x v="5"/>
    <n v="2025"/>
    <d v="2025-04-02T00:00:00"/>
    <d v="2025-04-04T00:00:00"/>
    <n v="2"/>
    <s v="Valid"/>
    <s v="CUST-8808"/>
    <s v="Sneha Kapoor"/>
    <x v="3"/>
    <x v="1"/>
    <s v="Jharkhand"/>
    <m/>
    <x v="0"/>
    <x v="0"/>
    <s v="Classic Paper 280"/>
    <x v="1"/>
    <n v="5"/>
    <n v="3234.24"/>
    <n v="14554.08"/>
    <n v="0.1"/>
    <n v="0.1"/>
    <s v="Valid"/>
    <s v="Clean"/>
    <n v="14554.08"/>
    <n v="11166.84"/>
    <n v="3387.24"/>
    <n v="3387.24"/>
    <n v="0.23273473830018798"/>
    <s v="Paid"/>
    <x v="0"/>
  </r>
  <r>
    <s v="ORD-2024-10770"/>
    <s v="Unique"/>
    <x v="4"/>
    <n v="2024"/>
    <d v="2024-05-11T00:00:00"/>
    <d v="2024-05-13T00:00:00"/>
    <n v="2"/>
    <s v="Valid"/>
    <s v="CUST-1293"/>
    <s v="Priya Menon"/>
    <x v="3"/>
    <x v="3"/>
    <s v="Goa"/>
    <m/>
    <x v="1"/>
    <x v="10"/>
    <s v="Classic Bookcases 922"/>
    <x v="1"/>
    <n v="3"/>
    <n v="3612.75"/>
    <n v="8128.6875"/>
    <n v="0.25"/>
    <n v="0.25"/>
    <s v="Valid"/>
    <s v="Clean"/>
    <n v="8128.69"/>
    <n v="5071.66"/>
    <n v="3057.0275000000001"/>
    <n v="3057.03"/>
    <n v="0.37607904840755402"/>
    <s v="Paid"/>
    <x v="0"/>
  </r>
  <r>
    <s v="ORD-2024-10771"/>
    <s v="Unique"/>
    <x v="6"/>
    <n v="2024"/>
    <d v="2024-02-15T00:00:00"/>
    <d v="2024-02-17T00:00:00"/>
    <n v="2"/>
    <s v="Valid"/>
    <s v="CUST-8384"/>
    <s v="Neha Gupta"/>
    <x v="0"/>
    <x v="0"/>
    <s v="Uttar Pradesh"/>
    <m/>
    <x v="2"/>
    <x v="6"/>
    <s v="Eco Copiers 396"/>
    <x v="2"/>
    <n v="4"/>
    <n v="863"/>
    <n v="3452"/>
    <n v="0"/>
    <n v="0"/>
    <s v="Valid"/>
    <s v="Clean"/>
    <n v="3106.8"/>
    <n v="2376.62"/>
    <n v="1075.3800000000001"/>
    <n v="730.18"/>
    <n v="0.23502639371700781"/>
    <s v="Paid"/>
    <x v="0"/>
  </r>
  <r>
    <s v="ORD-2024-10772"/>
    <s v="Unique"/>
    <x v="0"/>
    <n v="2024"/>
    <d v="2024-07-12T00:00:00"/>
    <d v="2024-07-14T00:00:00"/>
    <n v="2"/>
    <s v="Valid"/>
    <s v="CUST-7861"/>
    <s v="Ananya Rao"/>
    <x v="0"/>
    <x v="0"/>
    <s v="Haryana"/>
    <m/>
    <x v="2"/>
    <x v="12"/>
    <s v="Basic Machines 401"/>
    <x v="0"/>
    <n v="4"/>
    <n v="2131.41"/>
    <n v="8525.64"/>
    <n v="0"/>
    <n v="0"/>
    <s v="Valid"/>
    <s v="Clean"/>
    <n v="6394.23"/>
    <n v="3520.69"/>
    <n v="5004.9499999999989"/>
    <n v="2873.54"/>
    <n v="0.44939578338595892"/>
    <s v="Paid"/>
    <x v="0"/>
  </r>
  <r>
    <s v="ORD-2025-10773"/>
    <s v="Unique"/>
    <x v="0"/>
    <n v="2025"/>
    <d v="2025-07-15T00:00:00"/>
    <d v="2025-07-19T00:00:00"/>
    <n v="4"/>
    <s v="Valid"/>
    <s v="CUST-8422"/>
    <s v="Diya Patel"/>
    <x v="0"/>
    <x v="2"/>
    <s v="Tamil Nadu"/>
    <m/>
    <x v="1"/>
    <x v="4"/>
    <s v="Basic Chairs 279"/>
    <x v="1"/>
    <n v="1"/>
    <n v="3903.22"/>
    <n v="3708.0589999999997"/>
    <n v="0.05"/>
    <n v="0.05"/>
    <s v="Valid"/>
    <s v="Clean"/>
    <n v="3708.06"/>
    <n v="2760.29"/>
    <n v="947.76899999999978"/>
    <n v="947.77"/>
    <n v="0.25559726649514841"/>
    <s v="Pending"/>
    <x v="1"/>
  </r>
  <r>
    <s v="ORD-2025-10774"/>
    <s v="Unique"/>
    <x v="6"/>
    <n v="2025"/>
    <d v="2025-02-21T00:00:00"/>
    <d v="2025-02-21T00:00:00"/>
    <n v="0"/>
    <s v="Valid"/>
    <s v="CUST-4766"/>
    <s v="Karan Malhotra"/>
    <x v="3"/>
    <x v="3"/>
    <s v="Gujarat"/>
    <m/>
    <x v="2"/>
    <x v="11"/>
    <s v="Basic Phones 753"/>
    <x v="4"/>
    <n v="4"/>
    <n v="2945.07"/>
    <n v="9424.2240000000002"/>
    <n v="0.2"/>
    <n v="0.2"/>
    <s v="Valid"/>
    <s v="Clean"/>
    <n v="9424.2199999999993"/>
    <n v="6178.92"/>
    <n v="3245.3040000000001"/>
    <n v="3245.3"/>
    <n v="0.3443574110112031"/>
    <s v="Paid"/>
    <x v="0"/>
  </r>
  <r>
    <s v="ORD-2025-10775"/>
    <s v="Unique"/>
    <x v="1"/>
    <n v="2025"/>
    <d v="2025-08-07T00:00:00"/>
    <d v="2025-08-07T00:00:00"/>
    <n v="0"/>
    <s v="Valid"/>
    <s v="CUST-1182"/>
    <s v="Kabir Singh"/>
    <x v="0"/>
    <x v="3"/>
    <s v="Rajasthan"/>
    <m/>
    <x v="2"/>
    <x v="12"/>
    <s v="Smart Machines 789"/>
    <x v="4"/>
    <n v="9"/>
    <n v="1076.75"/>
    <n v="7752.6"/>
    <n v="0.2"/>
    <n v="0.2"/>
    <s v="Valid"/>
    <s v="Clean"/>
    <n v="7752.6"/>
    <n v="4689.3"/>
    <n v="3063.3"/>
    <n v="3063.3"/>
    <n v="0.39513195573098059"/>
    <s v="Paid"/>
    <x v="0"/>
  </r>
  <r>
    <s v="ORD-2024-10776"/>
    <s v="Unique"/>
    <x v="5"/>
    <n v="2024"/>
    <d v="2024-04-14T00:00:00"/>
    <d v="2024-04-22T00:00:00"/>
    <n v="8"/>
    <s v="Valid"/>
    <s v="CUST-4461"/>
    <s v="Arjun Bose"/>
    <x v="0"/>
    <x v="0"/>
    <s v="Haryana"/>
    <m/>
    <x v="2"/>
    <x v="5"/>
    <s v="Elite Accessories 312"/>
    <x v="3"/>
    <n v="8"/>
    <n v="3956.12"/>
    <n v="23736.720000000001"/>
    <n v="0.25"/>
    <n v="0.25"/>
    <s v="Valid"/>
    <s v="Clean"/>
    <n v="23736.720000000001"/>
    <n v="13890.9"/>
    <n v="9845.8200000000015"/>
    <n v="9845.82"/>
    <n v="0.4147927767610689"/>
    <s v="Paid"/>
    <x v="0"/>
  </r>
  <r>
    <s v="ORD-2025-10777"/>
    <s v="Unique"/>
    <x v="2"/>
    <n v="2025"/>
    <d v="2025-06-08T00:00:00"/>
    <d v="2025-06-13T00:00:00"/>
    <n v="5"/>
    <s v="Valid"/>
    <s v="CUST-9690"/>
    <s v="Aditi Sen"/>
    <x v="1"/>
    <x v="0"/>
    <s v="Rajasthan"/>
    <m/>
    <x v="2"/>
    <x v="6"/>
    <s v="Eco Copiers 528"/>
    <x v="0"/>
    <n v="7"/>
    <n v="3857.13"/>
    <n v="26999.91"/>
    <n v="0"/>
    <n v="0"/>
    <s v="Valid"/>
    <s v="Clean"/>
    <n v="26999.91"/>
    <n v="17815.98"/>
    <n v="9183.93"/>
    <n v="9183.93"/>
    <n v="0.34014668937785347"/>
    <s v="Paid"/>
    <x v="0"/>
  </r>
  <r>
    <s v="ORD-2024-10778"/>
    <s v="Unique"/>
    <x v="6"/>
    <n v="2024"/>
    <d v="2024-02-04T00:00:00"/>
    <d v="2024-02-06T00:00:00"/>
    <n v="2"/>
    <s v="Valid"/>
    <s v="CUST-6879"/>
    <s v="Kabir Singh"/>
    <x v="1"/>
    <x v="3"/>
    <s v="Madhya Pradesh"/>
    <m/>
    <x v="2"/>
    <x v="5"/>
    <s v="Elite Accessories 226"/>
    <x v="0"/>
    <n v="4"/>
    <n v="1489.74"/>
    <n v="5065.116"/>
    <n v="0.15"/>
    <n v="0.15"/>
    <s v="Valid"/>
    <s v="Clean"/>
    <n v="5065.12"/>
    <n v="3530.12"/>
    <n v="1534.9960000000001"/>
    <n v="1535"/>
    <n v="0.30305303724294785"/>
    <s v="Failed"/>
    <x v="1"/>
  </r>
  <r>
    <s v="ORD-2024-10779"/>
    <s v="Unique"/>
    <x v="0"/>
    <n v="2024"/>
    <d v="2024-07-24T00:00:00"/>
    <d v="2024-07-24T00:00:00"/>
    <n v="0"/>
    <s v="Valid"/>
    <s v="CUST-4714"/>
    <s v="Karan Malhotra"/>
    <x v="1"/>
    <x v="0"/>
    <s v="Haryana"/>
    <m/>
    <x v="2"/>
    <x v="6"/>
    <s v="Pro Copiers 298"/>
    <x v="0"/>
    <n v="4"/>
    <n v="1676.88"/>
    <n v="6707.52"/>
    <n v="0"/>
    <n v="0"/>
    <s v="Valid"/>
    <s v="Clean"/>
    <n v="6707.52"/>
    <n v="5672.57"/>
    <n v="1034.9500000000007"/>
    <n v="1034.95"/>
    <n v="0.1542969681789991"/>
    <s v="Paid"/>
    <x v="0"/>
  </r>
  <r>
    <s v="ORD-2024-10780"/>
    <s v="Unique"/>
    <x v="10"/>
    <n v="2024"/>
    <d v="2024-01-15T00:00:00"/>
    <d v="2024-01-20T00:00:00"/>
    <n v="5"/>
    <s v="Valid"/>
    <s v="CUST-7547"/>
    <s v="Priya Menon"/>
    <x v="1"/>
    <x v="2"/>
    <s v="Andhra Pradesh"/>
    <m/>
    <x v="1"/>
    <x v="4"/>
    <s v="Prime Chairs 331"/>
    <x v="3"/>
    <n v="4"/>
    <n v="3153.54"/>
    <n v="11983.451999999999"/>
    <n v="0.05"/>
    <n v="0.05"/>
    <s v="Valid"/>
    <s v="Clean"/>
    <n v="11983.45"/>
    <n v="8572.9"/>
    <n v="3410.5519999999997"/>
    <n v="3410.55"/>
    <n v="0.28460501775365193"/>
    <s v="Paid"/>
    <x v="0"/>
  </r>
  <r>
    <s v="ORD-2024-10781"/>
    <s v="Unique"/>
    <x v="1"/>
    <n v="2024"/>
    <d v="2024-08-04T00:00:00"/>
    <d v="2024-08-10T00:00:00"/>
    <n v="6"/>
    <s v="Valid"/>
    <s v="CUST-3288"/>
    <s v="Diya Patel"/>
    <x v="1"/>
    <x v="3"/>
    <s v="Rajasthan"/>
    <m/>
    <x v="1"/>
    <x v="4"/>
    <s v="Classic Chairs 798"/>
    <x v="1"/>
    <n v="4"/>
    <n v="426.43"/>
    <n v="1364.576"/>
    <n v="0.2"/>
    <n v="0.2"/>
    <s v="Valid"/>
    <s v="Clean"/>
    <n v="1364.58"/>
    <n v="978.16"/>
    <n v="386.41600000000005"/>
    <n v="386.42"/>
    <n v="0.28317870700142173"/>
    <s v="Paid"/>
    <x v="0"/>
  </r>
  <r>
    <s v="ORD-2024-10782"/>
    <s v="Unique"/>
    <x v="6"/>
    <n v="2024"/>
    <d v="2024-02-02T00:00:00"/>
    <d v="2024-02-10T00:00:00"/>
    <n v="8"/>
    <s v="Valid"/>
    <s v="CUST-8597"/>
    <s v="Karan Malhotra"/>
    <x v="3"/>
    <x v="3"/>
    <s v="Rajasthan"/>
    <m/>
    <x v="0"/>
    <x v="7"/>
    <s v="Classic Labels 204"/>
    <x v="2"/>
    <n v="3"/>
    <n v="383.4"/>
    <n v="862.64999999999986"/>
    <n v="0.25"/>
    <n v="0.25"/>
    <s v="Valid"/>
    <s v="Clean"/>
    <n v="862.65"/>
    <n v="603.73"/>
    <n v="258.91999999999985"/>
    <n v="258.92"/>
    <n v="0.30014490233582569"/>
    <s v="Pending"/>
    <x v="2"/>
  </r>
  <r>
    <s v="ORD-2025-10783"/>
    <s v="Unique"/>
    <x v="11"/>
    <n v="2025"/>
    <d v="2025-03-14T00:00:00"/>
    <d v="2025-03-22T00:00:00"/>
    <n v="8"/>
    <s v="Valid"/>
    <s v="CUST-9085"/>
    <s v="Mira Das"/>
    <x v="2"/>
    <x v="1"/>
    <s v="West Bengal"/>
    <m/>
    <x v="2"/>
    <x v="6"/>
    <s v="Basic Copiers 254"/>
    <x v="3"/>
    <n v="2"/>
    <n v="669.63"/>
    <n v="1138.3709999999999"/>
    <n v="0.15"/>
    <n v="0.15"/>
    <s v="Valid"/>
    <s v="Clean"/>
    <n v="1138.3699999999999"/>
    <n v="797.34"/>
    <n v="341.03099999999984"/>
    <n v="341.03"/>
    <n v="0.29957746602598451"/>
    <s v="Paid"/>
    <x v="0"/>
  </r>
  <r>
    <s v="ORD-2024-10784"/>
    <s v="Unique"/>
    <x v="2"/>
    <n v="2024"/>
    <d v="2024-06-07T00:00:00"/>
    <d v="2024-06-07T00:00:00"/>
    <n v="0"/>
    <s v="Valid"/>
    <s v="CUST-7746"/>
    <s v="Aarav Sharma"/>
    <x v="1"/>
    <x v="1"/>
    <s v="Bihar"/>
    <m/>
    <x v="0"/>
    <x v="2"/>
    <s v="Basic Art 709"/>
    <x v="0"/>
    <n v="1"/>
    <n v="2581.9299999999998"/>
    <n v="2452.8334999999997"/>
    <n v="0.05"/>
    <n v="0.05"/>
    <s v="Valid"/>
    <s v="Clean"/>
    <n v="2452.83"/>
    <n v="1906.7"/>
    <n v="546.13349999999969"/>
    <n v="546.13"/>
    <n v="0.22265301712715516"/>
    <s v="Paid"/>
    <x v="0"/>
  </r>
  <r>
    <s v="ORD-2025-10785"/>
    <s v="Unique"/>
    <x v="9"/>
    <n v="2025"/>
    <d v="2025-10-04T00:00:00"/>
    <d v="2025-10-05T00:00:00"/>
    <n v="1"/>
    <s v="Valid"/>
    <s v="CUST-3119"/>
    <s v="Priya Menon"/>
    <x v="2"/>
    <x v="0"/>
    <s v="Punjab"/>
    <m/>
    <x v="2"/>
    <x v="6"/>
    <s v="Max Copiers 551"/>
    <x v="2"/>
    <n v="4"/>
    <n v="418.18"/>
    <n v="1589.0840000000001"/>
    <n v="0.05"/>
    <n v="0.05"/>
    <s v="Valid"/>
    <s v="Clean"/>
    <n v="1589.08"/>
    <n v="1084.6600000000001"/>
    <n v="504.42399999999998"/>
    <n v="504.42"/>
    <n v="0.31742895260150528"/>
    <s v="Paid"/>
    <x v="0"/>
  </r>
  <r>
    <s v="ORD-2024-10786"/>
    <s v="Unique"/>
    <x v="4"/>
    <n v="2024"/>
    <d v="2024-05-23T00:00:00"/>
    <d v="2024-05-29T00:00:00"/>
    <n v="6"/>
    <s v="Valid"/>
    <s v="CUST-7518"/>
    <s v="Diya Patel"/>
    <x v="1"/>
    <x v="0"/>
    <s v="Haryana"/>
    <m/>
    <x v="0"/>
    <x v="8"/>
    <s v="Eco Storage 183"/>
    <x v="1"/>
    <n v="2"/>
    <n v="3012.94"/>
    <n v="4519.41"/>
    <n v="0.25"/>
    <n v="0.25"/>
    <s v="Valid"/>
    <s v="Clean"/>
    <n v="4519.41"/>
    <n v="3504.16"/>
    <n v="1015.25"/>
    <n v="1275.55"/>
    <n v="0.28223816825647596"/>
    <s v="Failed"/>
    <x v="1"/>
  </r>
  <r>
    <s v="ORD-2025-10787"/>
    <s v="Unique"/>
    <x v="0"/>
    <n v="2025"/>
    <d v="2025-07-06T00:00:00"/>
    <d v="2025-07-08T00:00:00"/>
    <n v="2"/>
    <s v="Valid"/>
    <s v="CUST-1343"/>
    <s v="Ananya Rao"/>
    <x v="2"/>
    <x v="0"/>
    <s v="Rajasthan"/>
    <m/>
    <x v="1"/>
    <x v="3"/>
    <s v="Pro Furnishings 233"/>
    <x v="4"/>
    <n v="4"/>
    <n v="715.45"/>
    <n v="2718.71"/>
    <n v="0.05"/>
    <n v="0.05"/>
    <s v="Valid"/>
    <s v="Clean"/>
    <n v="2718.71"/>
    <n v="2065.0500000000002"/>
    <n v="653.65999999999985"/>
    <n v="653.66"/>
    <n v="0.24043020403058801"/>
    <s v="Refunded"/>
    <x v="2"/>
  </r>
  <r>
    <s v="ORD-2024-10788"/>
    <s v="Unique"/>
    <x v="7"/>
    <n v="2024"/>
    <d v="2024-09-12T00:00:00"/>
    <d v="2024-09-18T00:00:00"/>
    <n v="6"/>
    <s v="Valid"/>
    <s v="CUST-7548"/>
    <s v="Ananya Rao"/>
    <x v="3"/>
    <x v="1"/>
    <s v="Bihar"/>
    <m/>
    <x v="0"/>
    <x v="0"/>
    <s v="Prime Paper 878"/>
    <x v="0"/>
    <n v="2"/>
    <n v="3718.77"/>
    <n v="7065.6629999999996"/>
    <n v="0.05"/>
    <n v="0.05"/>
    <s v="Valid"/>
    <s v="Clean"/>
    <n v="7065.66"/>
    <n v="4915.2700000000004"/>
    <n v="2150.3929999999991"/>
    <n v="2150.39"/>
    <n v="0.30434382633752544"/>
    <s v="Paid"/>
    <x v="0"/>
  </r>
  <r>
    <s v="ORD-2024-10789"/>
    <s v="Unique"/>
    <x v="1"/>
    <n v="2024"/>
    <d v="2024-08-01T00:00:00"/>
    <d v="2024-08-02T00:00:00"/>
    <n v="1"/>
    <s v="Valid"/>
    <s v="CUST-3631"/>
    <s v="Isha Nair"/>
    <x v="2"/>
    <x v="0"/>
    <s v="Uttar Pradesh"/>
    <m/>
    <x v="1"/>
    <x v="4"/>
    <s v="Smart Chairs 353"/>
    <x v="3"/>
    <n v="8"/>
    <n v="2487.64"/>
    <n v="17911.007999999998"/>
    <n v="0.1"/>
    <n v="0.1"/>
    <s v="Valid"/>
    <s v="Clean"/>
    <n v="17911.009999999998"/>
    <n v="11546.05"/>
    <n v="6364.9579999999987"/>
    <n v="6364.96"/>
    <n v="0.35536577780929163"/>
    <s v="Failed"/>
    <x v="2"/>
  </r>
  <r>
    <s v="ORD-2025-10790"/>
    <s v="Unique"/>
    <x v="11"/>
    <n v="2025"/>
    <d v="2025-03-07T00:00:00"/>
    <d v="2025-03-08T00:00:00"/>
    <n v="1"/>
    <s v="Valid"/>
    <s v="CUST-1453"/>
    <s v="Priya Menon"/>
    <x v="3"/>
    <x v="4"/>
    <s v="Rajasthan"/>
    <m/>
    <x v="2"/>
    <x v="6"/>
    <s v="Smart Copiers 408"/>
    <x v="1"/>
    <n v="4"/>
    <n v="3537.48"/>
    <n v="14149.92"/>
    <n v="0"/>
    <n v="0"/>
    <s v="Valid"/>
    <s v="Clean"/>
    <n v="14149.92"/>
    <n v="9466.51"/>
    <n v="4683.41"/>
    <n v="4683.41"/>
    <n v="0.33098491016203624"/>
    <s v="Paid"/>
    <x v="0"/>
  </r>
  <r>
    <s v="ORD-2024-10791"/>
    <s v="Unique"/>
    <x v="4"/>
    <n v="2024"/>
    <d v="2024-05-31T00:00:00"/>
    <d v="2024-06-02T00:00:00"/>
    <n v="2"/>
    <s v="Valid"/>
    <s v="CUST-1951"/>
    <s v="Rahul Verma"/>
    <x v="2"/>
    <x v="2"/>
    <s v="Andhra Pradesh"/>
    <m/>
    <x v="0"/>
    <x v="2"/>
    <s v="Classic Art 781"/>
    <x v="3"/>
    <n v="8"/>
    <n v="667.59"/>
    <n v="4272.576"/>
    <n v="0.2"/>
    <n v="0.2"/>
    <s v="Valid"/>
    <s v="Clean"/>
    <n v="4272.58"/>
    <n v="3328.92"/>
    <n v="943.65599999999995"/>
    <n v="943.66"/>
    <n v="0.22086420851101676"/>
    <s v="Paid"/>
    <x v="0"/>
  </r>
  <r>
    <s v="ORD-2024-10792"/>
    <s v="Unique"/>
    <x v="9"/>
    <n v="2024"/>
    <d v="2024-10-02T00:00:00"/>
    <d v="2024-10-06T00:00:00"/>
    <n v="4"/>
    <s v="Valid"/>
    <s v="CUST-6300"/>
    <s v="Rahul Verma"/>
    <x v="3"/>
    <x v="2"/>
    <s v="Karnataka"/>
    <m/>
    <x v="1"/>
    <x v="10"/>
    <s v="Eco Bookcases 144"/>
    <x v="1"/>
    <n v="8"/>
    <n v="1558.77"/>
    <n v="9352.619999999999"/>
    <n v="0.25"/>
    <n v="0.25"/>
    <s v="Valid"/>
    <s v="Clean"/>
    <n v="9352.6200000000008"/>
    <n v="5269.41"/>
    <n v="4083.2099999999991"/>
    <n v="4083.21"/>
    <n v="0.43658461479243243"/>
    <s v="Paid"/>
    <x v="0"/>
  </r>
  <r>
    <s v="ORD-2025-10793"/>
    <s v="Unique"/>
    <x v="2"/>
    <n v="2025"/>
    <d v="2025-06-04T00:00:00"/>
    <d v="2025-06-08T00:00:00"/>
    <n v="4"/>
    <s v="Valid"/>
    <s v="CUST-1417"/>
    <s v="Arjun Bose"/>
    <x v="1"/>
    <x v="1"/>
    <s v="Assam"/>
    <m/>
    <x v="1"/>
    <x v="3"/>
    <s v="Elite Furnishings 852"/>
    <x v="0"/>
    <n v="1"/>
    <n v="3501.12"/>
    <n v="2800.8960000000002"/>
    <n v="0.2"/>
    <n v="0.2"/>
    <s v="Valid"/>
    <s v="Clean"/>
    <n v="2800.9"/>
    <n v="1735.98"/>
    <n v="1064.9160000000002"/>
    <n v="1064.92"/>
    <n v="0.38020636224070836"/>
    <s v="Paid"/>
    <x v="2"/>
  </r>
  <r>
    <s v="ORD-2024-10794"/>
    <s v="Unique"/>
    <x v="4"/>
    <n v="2024"/>
    <d v="2024-05-28T00:00:00"/>
    <d v="2024-06-03T00:00:00"/>
    <n v="6"/>
    <s v="Valid"/>
    <s v="CUST-5421"/>
    <s v="Vikram Iyer"/>
    <x v="2"/>
    <x v="0"/>
    <s v="Rajasthan"/>
    <m/>
    <x v="2"/>
    <x v="6"/>
    <s v="Basic Copiers 238"/>
    <x v="0"/>
    <n v="5"/>
    <n v="4302.32"/>
    <n v="21511.599999999999"/>
    <n v="0"/>
    <n v="0"/>
    <s v="Valid"/>
    <s v="Clean"/>
    <n v="21511.599999999999"/>
    <n v="15408.47"/>
    <n v="6103.1299999999992"/>
    <n v="6103.13"/>
    <n v="0.28371343833094703"/>
    <s v="Paid"/>
    <x v="0"/>
  </r>
  <r>
    <s v="ORD-2025-10795"/>
    <s v="Unique"/>
    <x v="2"/>
    <n v="2025"/>
    <d v="2025-06-22T00:00:00"/>
    <d v="2025-06-24T00:00:00"/>
    <n v="2"/>
    <s v="Valid"/>
    <s v="CUST-2829"/>
    <s v="Sneha Kapoor"/>
    <x v="2"/>
    <x v="1"/>
    <s v="Assam"/>
    <m/>
    <x v="0"/>
    <x v="0"/>
    <s v="Elite Paper 847"/>
    <x v="3"/>
    <n v="9"/>
    <n v="951.55"/>
    <n v="7279.3574999999992"/>
    <n v="0.15"/>
    <n v="0.15"/>
    <s v="Valid"/>
    <s v="Clean"/>
    <n v="7279.36"/>
    <n v="4870.3900000000003"/>
    <n v="2408.9674999999988"/>
    <n v="2408.9699999999998"/>
    <n v="0.33093156541234392"/>
    <s v="Paid"/>
    <x v="0"/>
  </r>
  <r>
    <s v="ORD-2024-10796"/>
    <s v="Unique"/>
    <x v="0"/>
    <n v="2024"/>
    <d v="2024-07-30T00:00:00"/>
    <d v="2024-07-30T00:00:00"/>
    <n v="0"/>
    <s v="Valid"/>
    <s v="CUST-6529"/>
    <s v="Diya Patel"/>
    <x v="3"/>
    <x v="1"/>
    <s v="Odisha"/>
    <m/>
    <x v="2"/>
    <x v="6"/>
    <s v="Pro Copiers 653"/>
    <x v="1"/>
    <n v="9"/>
    <n v="2894.66"/>
    <n v="26051.94"/>
    <n v="0"/>
    <n v="0"/>
    <s v="Valid"/>
    <s v="Clean"/>
    <n v="26051.94"/>
    <n v="16883.59"/>
    <n v="9168.3499999999985"/>
    <n v="9168.35"/>
    <n v="0.35192580667696921"/>
    <s v="Refunded"/>
    <x v="1"/>
  </r>
  <r>
    <s v="ORD-2024-10797"/>
    <s v="Unique"/>
    <x v="11"/>
    <n v="2024"/>
    <d v="2024-03-23T00:00:00"/>
    <d v="2024-03-30T00:00:00"/>
    <n v="7"/>
    <s v="Valid"/>
    <s v="CUST-3126"/>
    <s v="Rohan Mehta"/>
    <x v="1"/>
    <x v="2"/>
    <s v="Andhra Pradesh"/>
    <m/>
    <x v="2"/>
    <x v="12"/>
    <s v="Elite Machines 459"/>
    <x v="2"/>
    <n v="6"/>
    <n v="1894.44"/>
    <n v="9661.6439999999984"/>
    <n v="0.15"/>
    <n v="0.15"/>
    <s v="Valid"/>
    <s v="Clean"/>
    <n v="9661.64"/>
    <n v="6303.77"/>
    <n v="3357.873999999998"/>
    <n v="3357.87"/>
    <n v="0.34754658629383833"/>
    <s v="Paid"/>
    <x v="0"/>
  </r>
  <r>
    <s v="ORD-2024-10798"/>
    <s v="Unique"/>
    <x v="5"/>
    <n v="2024"/>
    <d v="2024-04-18T00:00:00"/>
    <d v="2024-04-22T00:00:00"/>
    <n v="4"/>
    <s v="Valid"/>
    <s v="CUST-3991"/>
    <s v="Aarav Sharma"/>
    <x v="0"/>
    <x v="1"/>
    <s v="Odisha"/>
    <m/>
    <x v="0"/>
    <x v="9"/>
    <s v="Elite Binders 764"/>
    <x v="2"/>
    <n v="8"/>
    <n v="1714.37"/>
    <n v="13714.96"/>
    <n v="0"/>
    <n v="0"/>
    <s v="Valid"/>
    <s v="Clean"/>
    <n v="13714.96"/>
    <n v="10550.47"/>
    <n v="3164.49"/>
    <n v="3164.49"/>
    <n v="0.23073271814135804"/>
    <s v="Failed"/>
    <x v="1"/>
  </r>
  <r>
    <s v="ORD-2025-10799"/>
    <s v="Unique"/>
    <x v="0"/>
    <n v="2025"/>
    <d v="2025-07-11T00:00:00"/>
    <d v="2025-07-09T00:00:00"/>
    <n v="-2"/>
    <s v="Invalid: Ship Date Before Order Date"/>
    <s v="CUST-7553"/>
    <s v="Aditi Sen"/>
    <x v="2"/>
    <x v="0"/>
    <s v="Delhi"/>
    <m/>
    <x v="1"/>
    <x v="3"/>
    <s v="Classic Furnishings 348"/>
    <x v="3"/>
    <n v="9"/>
    <n v="1706.05"/>
    <n v="15354.449999999999"/>
    <n v="0"/>
    <n v="0"/>
    <s v="Valid"/>
    <s v="Invalid"/>
    <n v="15354.45"/>
    <n v="9656.5"/>
    <n v="5697.9499999999989"/>
    <n v="5697.95"/>
    <n v="0.37109437329243311"/>
    <s v="Paid"/>
    <x v="0"/>
  </r>
  <r>
    <s v="ORD-2024-10800"/>
    <s v="Unique"/>
    <x v="9"/>
    <n v="2024"/>
    <d v="2024-10-10T00:00:00"/>
    <d v="2024-10-17T00:00:00"/>
    <n v="7"/>
    <s v="Valid"/>
    <s v="CUST-8527"/>
    <s v="Isha Nair"/>
    <x v="3"/>
    <x v="0"/>
    <s v="Haryana"/>
    <m/>
    <x v="2"/>
    <x v="5"/>
    <s v="Smart Accessories 487"/>
    <x v="4"/>
    <n v="5"/>
    <n v="967.41"/>
    <n v="4595.1975000000002"/>
    <n v="0.05"/>
    <n v="0.05"/>
    <s v="Valid"/>
    <s v="Clean"/>
    <n v="4595.2"/>
    <n v="3887.41"/>
    <n v="707.78750000000036"/>
    <n v="707.79"/>
    <n v="0.15402811629526461"/>
    <s v="Paid"/>
    <x v="2"/>
  </r>
  <r>
    <s v="ORD-2024-10801"/>
    <s v="Unique"/>
    <x v="11"/>
    <n v="2024"/>
    <d v="2024-03-01T00:00:00"/>
    <d v="2024-03-07T00:00:00"/>
    <n v="6"/>
    <s v="Valid"/>
    <s v="CUST-5015"/>
    <s v="Vikram Iyer"/>
    <x v="1"/>
    <x v="3"/>
    <s v="Maharashtra"/>
    <m/>
    <x v="0"/>
    <x v="8"/>
    <s v="Elite Storage 825"/>
    <x v="0"/>
    <n v="6"/>
    <n v="4163.72"/>
    <n v="21234.971999999998"/>
    <n v="0.15"/>
    <n v="0.15"/>
    <s v="Valid"/>
    <s v="Clean"/>
    <n v="21234.97"/>
    <n v="16736.09"/>
    <n v="4498.8819999999978"/>
    <n v="4498.88"/>
    <n v="0.21186184863929641"/>
    <s v="Paid"/>
    <x v="0"/>
  </r>
  <r>
    <s v="ORD-2025-10802"/>
    <s v="Unique"/>
    <x v="9"/>
    <n v="2025"/>
    <d v="2025-10-08T00:00:00"/>
    <d v="2025-10-15T00:00:00"/>
    <n v="7"/>
    <s v="Valid"/>
    <s v="CUST-3344"/>
    <s v="Aarav Sharma"/>
    <x v="3"/>
    <x v="1"/>
    <s v="Odisha"/>
    <m/>
    <x v="2"/>
    <x v="5"/>
    <s v="Pro Accessories 500"/>
    <x v="0"/>
    <n v="3"/>
    <n v="3372.21"/>
    <n v="8093.304000000001"/>
    <n v="0.2"/>
    <n v="0.2"/>
    <s v="Valid"/>
    <s v="Clean"/>
    <n v="8093.3"/>
    <n v="6052.43"/>
    <n v="2040.8740000000007"/>
    <n v="2040.87"/>
    <n v="0.252167842536419"/>
    <s v="Pending"/>
    <x v="1"/>
  </r>
  <r>
    <s v="ORD-2025-10803"/>
    <s v="Unique"/>
    <x v="6"/>
    <n v="2025"/>
    <d v="2025-02-16T00:00:00"/>
    <d v="2025-02-16T00:00:00"/>
    <n v="0"/>
    <s v="Valid"/>
    <s v="CUST-5866"/>
    <s v="Rohan Mehta"/>
    <x v="1"/>
    <x v="1"/>
    <s v="Assam"/>
    <m/>
    <x v="1"/>
    <x v="3"/>
    <s v="Pro Furnishings 909"/>
    <x v="0"/>
    <n v="6"/>
    <n v="1441.91"/>
    <n v="8651.4600000000009"/>
    <n v="0"/>
    <n v="0"/>
    <s v="Valid"/>
    <s v="Clean"/>
    <n v="8651.4599999999991"/>
    <n v="5254.62"/>
    <n v="3396.8400000000011"/>
    <n v="3396.84"/>
    <n v="0.39263199506210517"/>
    <s v="Failed"/>
    <x v="2"/>
  </r>
  <r>
    <s v="ORD-2024-10804"/>
    <s v="Unique"/>
    <x v="8"/>
    <n v="2024"/>
    <d v="2024-12-09T00:00:00"/>
    <d v="2024-12-13T00:00:00"/>
    <n v="4"/>
    <s v="Valid"/>
    <s v="CUST-7180"/>
    <s v="Rohan Mehta"/>
    <x v="0"/>
    <x v="4"/>
    <s v="Jharkhand"/>
    <m/>
    <x v="0"/>
    <x v="7"/>
    <s v="Basic Labels 359"/>
    <x v="2"/>
    <n v="1"/>
    <n v="4306.6499999999996"/>
    <n v="4306.6499999999996"/>
    <n v="0"/>
    <n v="0"/>
    <s v="Valid"/>
    <s v="Clean"/>
    <n v="4306.6499999999996"/>
    <n v="2568.8200000000002"/>
    <n v="1737.8299999999995"/>
    <n v="1737.83"/>
    <n v="0.40352245945224247"/>
    <s v="Paid"/>
    <x v="0"/>
  </r>
  <r>
    <s v="ORD-2025-10805"/>
    <s v="Unique"/>
    <x v="7"/>
    <n v="2025"/>
    <d v="2025-09-10T00:00:00"/>
    <d v="2025-09-18T00:00:00"/>
    <n v="8"/>
    <s v="Valid"/>
    <s v="CUST-8745"/>
    <s v="Rahul Verma"/>
    <x v="3"/>
    <x v="2"/>
    <s v="Telangana"/>
    <m/>
    <x v="1"/>
    <x v="3"/>
    <s v="Eco Furnishings 541"/>
    <x v="3"/>
    <n v="1"/>
    <n v="2050.62"/>
    <n v="1948.0889999999997"/>
    <n v="0.05"/>
    <n v="0.05"/>
    <s v="Valid"/>
    <s v="Clean"/>
    <n v="1948.09"/>
    <n v="1507.08"/>
    <n v="441.00899999999979"/>
    <n v="441.01"/>
    <n v="0.22638071136343804"/>
    <s v="Paid"/>
    <x v="0"/>
  </r>
  <r>
    <s v="ORD-2025-10806"/>
    <s v="Unique"/>
    <x v="5"/>
    <n v="2025"/>
    <d v="2025-04-06T00:00:00"/>
    <d v="2025-04-07T00:00:00"/>
    <n v="1"/>
    <s v="Valid"/>
    <s v="CUST-2098"/>
    <s v="Priya Menon"/>
    <x v="3"/>
    <x v="1"/>
    <s v="Assam"/>
    <m/>
    <x v="0"/>
    <x v="9"/>
    <s v="Classic Binders 103"/>
    <x v="0"/>
    <n v="2"/>
    <n v="2030.06"/>
    <n v="3045.09"/>
    <n v="0.25"/>
    <n v="0.25"/>
    <s v="Valid"/>
    <s v="Clean"/>
    <n v="3045.09"/>
    <n v="2601.09"/>
    <n v="444"/>
    <n v="444"/>
    <n v="0.14580849827098705"/>
    <s v="Paid"/>
    <x v="0"/>
  </r>
  <r>
    <s v="ORD-2024-10807"/>
    <s v="Unique"/>
    <x v="3"/>
    <n v="2024"/>
    <d v="2024-11-09T00:00:00"/>
    <d v="2024-11-15T00:00:00"/>
    <n v="6"/>
    <s v="Valid"/>
    <s v="CUST-3704"/>
    <s v="Isha Nair"/>
    <x v="3"/>
    <x v="0"/>
    <s v="Rajasthan"/>
    <m/>
    <x v="2"/>
    <x v="6"/>
    <s v="Max Copiers 560"/>
    <x v="3"/>
    <n v="1"/>
    <n v="3665.97"/>
    <n v="2932.7759999999998"/>
    <n v="0.2"/>
    <n v="0.2"/>
    <s v="Valid"/>
    <s v="Clean"/>
    <n v="2932.78"/>
    <n v="1900.35"/>
    <n v="1032.4259999999999"/>
    <n v="1032.43"/>
    <n v="0.3520311786086921"/>
    <s v="Failed"/>
    <x v="1"/>
  </r>
  <r>
    <s v="ORD-2025-10808"/>
    <s v="Unique"/>
    <x v="6"/>
    <n v="2025"/>
    <d v="2025-02-07T00:00:00"/>
    <d v="2025-02-08T00:00:00"/>
    <n v="1"/>
    <s v="Valid"/>
    <s v="CUST-5884"/>
    <s v="Karan Malhotra"/>
    <x v="1"/>
    <x v="2"/>
    <s v="Telangana"/>
    <m/>
    <x v="0"/>
    <x v="7"/>
    <s v="Smart Labels 436"/>
    <x v="3"/>
    <n v="2"/>
    <n v="2432.98"/>
    <n v="4379.3640000000005"/>
    <n v="0.1"/>
    <n v="0.1"/>
    <s v="Valid"/>
    <s v="Clean"/>
    <n v="4379.3599999999997"/>
    <n v="3723.93"/>
    <n v="655.43400000000065"/>
    <n v="655.43"/>
    <n v="0.1496634211391619"/>
    <s v="Paid"/>
    <x v="0"/>
  </r>
  <r>
    <s v="ORD-2025-10809"/>
    <s v="Unique"/>
    <x v="1"/>
    <n v="2025"/>
    <d v="2025-08-31T00:00:00"/>
    <d v="2025-08-28T00:00:00"/>
    <n v="-3"/>
    <s v="Invalid: Ship Date Before Order Date"/>
    <s v="CUST-7503"/>
    <s v="Aarav Sharma"/>
    <x v="1"/>
    <x v="2"/>
    <s v="Tamil Nadu"/>
    <m/>
    <x v="1"/>
    <x v="3"/>
    <s v="Pro Furnishings 386"/>
    <x v="2"/>
    <n v="7"/>
    <n v="977.28"/>
    <n v="5472.768"/>
    <n v="0.2"/>
    <n v="0.2"/>
    <s v="Valid"/>
    <s v="Invalid"/>
    <n v="5472.77"/>
    <n v="4477.33"/>
    <n v="995.4380000000001"/>
    <n v="995.44"/>
    <n v="0.18188960983194982"/>
    <s v="Paid"/>
    <x v="0"/>
  </r>
  <r>
    <s v="ORD-2025-10810"/>
    <s v="Unique"/>
    <x v="2"/>
    <n v="2025"/>
    <d v="2025-06-25T00:00:00"/>
    <d v="2025-06-25T00:00:00"/>
    <n v="0"/>
    <s v="Valid"/>
    <s v="CUST-6973"/>
    <s v="Arjun Bose"/>
    <x v="1"/>
    <x v="4"/>
    <s v="Punjab"/>
    <m/>
    <x v="0"/>
    <x v="9"/>
    <s v="Eco Binders 601"/>
    <x v="0"/>
    <n v="6"/>
    <n v="1366.13"/>
    <n v="7377.1020000000008"/>
    <n v="0.1"/>
    <n v="0.1"/>
    <s v="Valid"/>
    <s v="Clean"/>
    <n v="7377.1"/>
    <n v="5085.21"/>
    <n v="2291.8920000000007"/>
    <n v="2291.89"/>
    <n v="0.31067628200783504"/>
    <s v="Paid"/>
    <x v="0"/>
  </r>
  <r>
    <s v="ORD-2024-10811"/>
    <s v="Unique"/>
    <x v="5"/>
    <n v="2024"/>
    <d v="2024-04-03T00:00:00"/>
    <d v="2024-04-08T00:00:00"/>
    <n v="5"/>
    <s v="Valid"/>
    <s v="CUST-4653"/>
    <s v="Kabir Singh"/>
    <x v="3"/>
    <x v="3"/>
    <s v="Gujarat"/>
    <m/>
    <x v="2"/>
    <x v="6"/>
    <s v="Pro Copiers 867"/>
    <x v="2"/>
    <n v="1"/>
    <n v="3151.85"/>
    <n v="2363.8874999999998"/>
    <n v="0.25"/>
    <n v="0.25"/>
    <s v="Valid"/>
    <s v="Clean"/>
    <n v="2363.89"/>
    <n v="1471.51"/>
    <n v="892.37749999999983"/>
    <n v="892.38"/>
    <n v="0.37750487543836642"/>
    <s v="Paid"/>
    <x v="0"/>
  </r>
  <r>
    <s v="ORD-2024-10812"/>
    <s v="Unique"/>
    <x v="8"/>
    <n v="2024"/>
    <d v="2024-12-12T00:00:00"/>
    <d v="2024-12-19T00:00:00"/>
    <n v="7"/>
    <s v="Valid"/>
    <s v="CUST-3303"/>
    <s v="Rohan Mehta"/>
    <x v="3"/>
    <x v="0"/>
    <s v="Haryana"/>
    <m/>
    <x v="2"/>
    <x v="5"/>
    <s v="Eco Accessories 122"/>
    <x v="2"/>
    <n v="2"/>
    <n v="1610.75"/>
    <n v="2577.2000000000003"/>
    <n v="0.2"/>
    <n v="0.2"/>
    <s v="Valid"/>
    <s v="Clean"/>
    <n v="2577.1999999999998"/>
    <n v="1475.87"/>
    <n v="1101.3300000000004"/>
    <n v="1101.33"/>
    <n v="0.42733586838429305"/>
    <s v="Paid"/>
    <x v="0"/>
  </r>
  <r>
    <s v="ORD-2024-10813"/>
    <s v="Unique"/>
    <x v="2"/>
    <n v="2024"/>
    <d v="2024-06-15T00:00:00"/>
    <d v="2024-06-20T00:00:00"/>
    <n v="5"/>
    <s v="Valid"/>
    <s v="CUST-5754"/>
    <s v="Sneha Kapoor"/>
    <x v="1"/>
    <x v="1"/>
    <s v="Jharkhand"/>
    <m/>
    <x v="1"/>
    <x v="1"/>
    <s v="Basic Tables 127"/>
    <x v="2"/>
    <n v="8"/>
    <n v="2228.4699999999998"/>
    <n v="17827.759999999998"/>
    <n v="0"/>
    <n v="0"/>
    <s v="Valid"/>
    <s v="Clean"/>
    <n v="17827.759999999998"/>
    <n v="14122.13"/>
    <n v="3705.6299999999992"/>
    <n v="3705.63"/>
    <n v="0.20785729671029901"/>
    <s v="Paid"/>
    <x v="0"/>
  </r>
  <r>
    <s v="ORD-2025-10814"/>
    <s v="Unique"/>
    <x v="5"/>
    <n v="2025"/>
    <d v="2025-04-06T00:00:00"/>
    <d v="2025-04-10T00:00:00"/>
    <n v="4"/>
    <s v="Valid"/>
    <s v="CUST-7848"/>
    <s v="Rohan Mehta"/>
    <x v="0"/>
    <x v="1"/>
    <s v="Odisha"/>
    <m/>
    <x v="1"/>
    <x v="10"/>
    <s v="Elite Bookcases 988"/>
    <x v="3"/>
    <n v="2"/>
    <n v="1337.67"/>
    <n v="2675.34"/>
    <n v="0"/>
    <n v="0"/>
    <s v="Valid"/>
    <s v="Clean"/>
    <n v="2675.34"/>
    <n v="1595.87"/>
    <n v="1079.4700000000003"/>
    <n v="1079.47"/>
    <n v="0.40348890234512247"/>
    <s v="Paid"/>
    <x v="0"/>
  </r>
  <r>
    <s v="ORD-2025-10815"/>
    <s v="Unique"/>
    <x v="1"/>
    <n v="2025"/>
    <d v="2025-08-06T00:00:00"/>
    <d v="2025-08-11T00:00:00"/>
    <n v="5"/>
    <s v="Valid"/>
    <s v="CUST-9048"/>
    <s v="Arjun Bose"/>
    <x v="0"/>
    <x v="3"/>
    <s v="Madhya Pradesh"/>
    <m/>
    <x v="0"/>
    <x v="7"/>
    <s v="Smart Labels 126"/>
    <x v="2"/>
    <n v="2"/>
    <n v="2375.94"/>
    <n v="3563.91"/>
    <n v="0.25"/>
    <n v="0.25"/>
    <s v="Valid"/>
    <s v="Clean"/>
    <n v="3563.91"/>
    <n v="2639.7"/>
    <n v="924.21"/>
    <n v="924.21"/>
    <n v="0.25932473042248544"/>
    <s v="Paid"/>
    <x v="0"/>
  </r>
  <r>
    <s v="ORD-2024-10816"/>
    <s v="Unique"/>
    <x v="5"/>
    <n v="2024"/>
    <d v="2024-04-01T00:00:00"/>
    <d v="2024-04-08T00:00:00"/>
    <n v="7"/>
    <s v="Valid"/>
    <s v="CUST-2951"/>
    <s v="Diya Patel"/>
    <x v="0"/>
    <x v="1"/>
    <s v="Odisha"/>
    <m/>
    <x v="2"/>
    <x v="12"/>
    <s v="Max Machines 569"/>
    <x v="3"/>
    <n v="7"/>
    <n v="715.81"/>
    <n v="4259.0694999999996"/>
    <n v="0.15"/>
    <n v="0.15"/>
    <s v="Valid"/>
    <s v="Clean"/>
    <n v="4259.07"/>
    <n v="3130.32"/>
    <n v="1128.7494999999994"/>
    <n v="1128.75"/>
    <n v="0.26502264578886942"/>
    <s v="Pending"/>
    <x v="1"/>
  </r>
  <r>
    <s v="ORD-2024-10817"/>
    <s v="Unique"/>
    <x v="3"/>
    <n v="2024"/>
    <d v="2024-11-27T00:00:00"/>
    <d v="2024-11-30T00:00:00"/>
    <n v="3"/>
    <s v="Valid"/>
    <s v="CUST-3072"/>
    <s v="Rahul Verma"/>
    <x v="1"/>
    <x v="1"/>
    <s v="Jharkhand"/>
    <m/>
    <x v="1"/>
    <x v="3"/>
    <s v="Basic Furnishings 306"/>
    <x v="2"/>
    <n v="1"/>
    <n v="874.3"/>
    <n v="786.87"/>
    <n v="0.1"/>
    <n v="0.1"/>
    <s v="Valid"/>
    <s v="Clean"/>
    <n v="786.87"/>
    <n v="498.5"/>
    <n v="288.37"/>
    <n v="288.37"/>
    <n v="0.36647730883119195"/>
    <s v="Paid"/>
    <x v="0"/>
  </r>
  <r>
    <s v="ORD-2025-10818"/>
    <s v="Unique"/>
    <x v="5"/>
    <n v="2025"/>
    <d v="2025-04-05T00:00:00"/>
    <d v="2025-04-05T00:00:00"/>
    <n v="0"/>
    <s v="Valid"/>
    <s v="CUST-2221"/>
    <s v="Sneha Kapoor"/>
    <x v="0"/>
    <x v="1"/>
    <s v="Bihar"/>
    <m/>
    <x v="0"/>
    <x v="9"/>
    <s v="Classic Binders 873"/>
    <x v="3"/>
    <n v="6"/>
    <n v="1829.69"/>
    <n v="8233.6049999999996"/>
    <n v="0.25"/>
    <n v="0.25"/>
    <s v="Valid"/>
    <s v="Clean"/>
    <n v="8233.6"/>
    <n v="4713.79"/>
    <n v="3519.8149999999996"/>
    <n v="3519.81"/>
    <n v="0.42749344150796731"/>
    <s v="Paid"/>
    <x v="0"/>
  </r>
  <r>
    <s v="ORD-2024-10819"/>
    <s v="Unique"/>
    <x v="7"/>
    <n v="2024"/>
    <d v="2024-09-29T00:00:00"/>
    <d v="2024-10-05T00:00:00"/>
    <n v="6"/>
    <s v="Valid"/>
    <s v="CUST-3943"/>
    <s v="Priya Menon"/>
    <x v="1"/>
    <x v="3"/>
    <s v="Maharashtra"/>
    <m/>
    <x v="0"/>
    <x v="7"/>
    <s v="Pro Labels 611"/>
    <x v="2"/>
    <n v="8"/>
    <n v="1981.04"/>
    <s v="Invalid"/>
    <n v="-0.14000000000000001"/>
    <s v="Invalid"/>
    <s v="Invalid"/>
    <s v="Invalid"/>
    <n v="12678.66"/>
    <n v="10088.65"/>
    <s v="Invalid"/>
    <n v="2590.0100000000002"/>
    <n v="0.20428105178307487"/>
    <s v="Paid"/>
    <x v="0"/>
  </r>
  <r>
    <s v="ORD-2024-10820"/>
    <s v="Unique"/>
    <x v="0"/>
    <n v="2024"/>
    <d v="2024-07-31T00:00:00"/>
    <d v="2024-07-31T00:00:00"/>
    <n v="0"/>
    <s v="Valid"/>
    <s v="CUST-7510"/>
    <s v="Karan Malhotra"/>
    <x v="3"/>
    <x v="2"/>
    <s v="Kerala"/>
    <m/>
    <x v="2"/>
    <x v="12"/>
    <s v="Prime Machines 524"/>
    <x v="3"/>
    <n v="8"/>
    <n v="4246.01"/>
    <n v="33968.080000000002"/>
    <n v="0"/>
    <n v="0"/>
    <s v="Valid"/>
    <s v="Clean"/>
    <n v="33968.080000000002"/>
    <n v="26902.44"/>
    <n v="7065.6400000000031"/>
    <n v="7065.64"/>
    <n v="0.20800822419165288"/>
    <s v="Failed"/>
    <x v="1"/>
  </r>
  <r>
    <s v="ORD-2025-10821"/>
    <s v="Unique"/>
    <x v="6"/>
    <n v="2025"/>
    <d v="2025-02-06T00:00:00"/>
    <d v="2025-02-10T00:00:00"/>
    <n v="4"/>
    <s v="Valid"/>
    <s v="CUST-2041"/>
    <s v="Ananya Rao"/>
    <x v="3"/>
    <x v="0"/>
    <s v="Uttar Pradesh"/>
    <m/>
    <x v="1"/>
    <x v="10"/>
    <s v="Classic Bookcases 882"/>
    <x v="3"/>
    <n v="2"/>
    <n v="319.57"/>
    <n v="511.31200000000001"/>
    <n v="0.2"/>
    <n v="0.2"/>
    <s v="Valid"/>
    <s v="Clean"/>
    <n v="511.31"/>
    <n v="436.43"/>
    <n v="74.882000000000005"/>
    <n v="74.88"/>
    <n v="0.14644736070094463"/>
    <s v="Paid"/>
    <x v="0"/>
  </r>
  <r>
    <s v="ORD-2024-10822"/>
    <s v="Unique"/>
    <x v="0"/>
    <n v="2024"/>
    <d v="2024-07-03T00:00:00"/>
    <d v="2024-07-06T00:00:00"/>
    <n v="3"/>
    <s v="Valid"/>
    <s v="CUST-4466"/>
    <s v="Aarav Sharma"/>
    <x v="2"/>
    <x v="2"/>
    <s v="Karnataka"/>
    <m/>
    <x v="2"/>
    <x v="5"/>
    <s v="Classic Accessories 471"/>
    <x v="2"/>
    <n v="7"/>
    <n v="1942.49"/>
    <n v="10877.944000000001"/>
    <n v="0.2"/>
    <n v="0.2"/>
    <s v="Valid"/>
    <s v="Clean"/>
    <n v="10877.94"/>
    <n v="9110.14"/>
    <n v="1767.8040000000019"/>
    <n v="1767.8"/>
    <n v="0.16251238745571311"/>
    <s v="Paid"/>
    <x v="0"/>
  </r>
  <r>
    <s v="ORD-2024-10823"/>
    <s v="Unique"/>
    <x v="9"/>
    <n v="2024"/>
    <d v="2024-10-12T00:00:00"/>
    <d v="2024-10-08T00:00:00"/>
    <n v="-4"/>
    <s v="Invalid: Ship Date Before Order Date"/>
    <s v="CUST-3188"/>
    <s v="Mira Das"/>
    <x v="2"/>
    <x v="1"/>
    <s v="Assam"/>
    <m/>
    <x v="1"/>
    <x v="3"/>
    <s v="Smart Furnishings 175"/>
    <x v="0"/>
    <n v="4"/>
    <n v="3202.04"/>
    <n v="10246.528"/>
    <n v="0.2"/>
    <n v="0.2"/>
    <s v="Valid"/>
    <s v="Invalid"/>
    <n v="10246.530000000001"/>
    <n v="8634.42"/>
    <n v="1612.1080000000002"/>
    <n v="1612.11"/>
    <n v="0.15733228712549516"/>
    <s v="Pending"/>
    <x v="2"/>
  </r>
  <r>
    <s v="ORD-2025-10824"/>
    <s v="Unique"/>
    <x v="10"/>
    <n v="2025"/>
    <d v="2025-01-06T00:00:00"/>
    <d v="2025-01-12T00:00:00"/>
    <n v="6"/>
    <s v="Valid"/>
    <s v="CUST-6638"/>
    <s v="Mira Das"/>
    <x v="3"/>
    <x v="3"/>
    <s v="Goa"/>
    <m/>
    <x v="0"/>
    <x v="0"/>
    <s v="Basic Paper 899"/>
    <x v="1"/>
    <n v="3"/>
    <n v="668.33"/>
    <n v="1704.2415000000001"/>
    <n v="0.15"/>
    <n v="0.15"/>
    <s v="Valid"/>
    <s v="Clean"/>
    <n v="1704.24"/>
    <n v="957.55"/>
    <n v="746.69150000000013"/>
    <n v="746.69"/>
    <n v="0.43813664742055114"/>
    <s v="Paid"/>
    <x v="0"/>
  </r>
  <r>
    <s v="ORD-2025-10825"/>
    <s v="Unique"/>
    <x v="11"/>
    <n v="2025"/>
    <d v="2025-03-21T00:00:00"/>
    <d v="2025-03-22T00:00:00"/>
    <n v="1"/>
    <s v="Valid"/>
    <s v="CUST-3540"/>
    <s v="Priya Menon"/>
    <x v="0"/>
    <x v="3"/>
    <s v="Goa"/>
    <m/>
    <x v="0"/>
    <x v="0"/>
    <s v="Pro Paper 267"/>
    <x v="2"/>
    <n v="8"/>
    <n v="4436.74"/>
    <n v="33719.223999999995"/>
    <n v="0.05"/>
    <n v="0.05"/>
    <s v="Valid"/>
    <s v="Clean"/>
    <n v="33719.22"/>
    <n v="28924.43"/>
    <n v="4794.7939999999944"/>
    <n v="4794.79"/>
    <n v="0.14219753600468812"/>
    <s v="Paid"/>
    <x v="0"/>
  </r>
  <r>
    <s v="ORD-2025-10826"/>
    <s v="Unique"/>
    <x v="5"/>
    <n v="2025"/>
    <d v="2025-04-16T00:00:00"/>
    <d v="2025-04-17T00:00:00"/>
    <n v="1"/>
    <s v="Valid"/>
    <s v="CUST-3351"/>
    <s v="Vikram Iyer"/>
    <x v="1"/>
    <x v="0"/>
    <s v="Uttar Pradesh"/>
    <m/>
    <x v="2"/>
    <x v="12"/>
    <s v="Basic Machines 832"/>
    <x v="2"/>
    <n v="1"/>
    <n v="2720.17"/>
    <n v="2720.17"/>
    <n v="0"/>
    <n v="0"/>
    <s v="Valid"/>
    <s v="Clean"/>
    <n v="2720.17"/>
    <n v="1834.23"/>
    <n v="885.94"/>
    <n v="885.94"/>
    <n v="0.3256928794891496"/>
    <s v="Paid"/>
    <x v="0"/>
  </r>
  <r>
    <s v="ORD-2025-10827"/>
    <s v="Unique"/>
    <x v="1"/>
    <n v="2025"/>
    <d v="2025-08-10T00:00:00"/>
    <d v="2025-08-14T00:00:00"/>
    <n v="4"/>
    <s v="Valid"/>
    <s v="CUST-4375"/>
    <s v="Aditi Sen"/>
    <x v="0"/>
    <x v="3"/>
    <s v="Rajasthan"/>
    <m/>
    <x v="2"/>
    <x v="5"/>
    <s v="Elite Accessories 790"/>
    <x v="3"/>
    <n v="5"/>
    <n v="2190.14"/>
    <n v="8213.0249999999996"/>
    <n v="0.25"/>
    <n v="0.25"/>
    <s v="Valid"/>
    <s v="Clean"/>
    <n v="8213.02"/>
    <n v="5569.3"/>
    <n v="2643.7249999999995"/>
    <n v="2643.72"/>
    <n v="0.32189377354493226"/>
    <s v="Paid"/>
    <x v="0"/>
  </r>
  <r>
    <s v="ORD-2024-10828"/>
    <s v="Unique"/>
    <x v="3"/>
    <n v="2024"/>
    <d v="2024-11-24T00:00:00"/>
    <d v="2024-12-01T00:00:00"/>
    <n v="7"/>
    <s v="Valid"/>
    <s v="CUST-5125"/>
    <s v="Priya Menon"/>
    <x v="3"/>
    <x v="2"/>
    <s v="Tamil Nadu"/>
    <m/>
    <x v="0"/>
    <x v="0"/>
    <s v="Basic Paper 707"/>
    <x v="1"/>
    <n v="1"/>
    <n v="844.89"/>
    <n v="633.66750000000002"/>
    <n v="0.25"/>
    <n v="0.25"/>
    <s v="Valid"/>
    <s v="Clean"/>
    <n v="633.66999999999996"/>
    <n v="520.47"/>
    <n v="113.19749999999999"/>
    <n v="113.2"/>
    <n v="0.1786418798428204"/>
    <s v="Paid"/>
    <x v="1"/>
  </r>
  <r>
    <s v="ORD-2025-10829"/>
    <s v="Unique"/>
    <x v="9"/>
    <n v="2025"/>
    <d v="2025-10-10T00:00:00"/>
    <d v="2025-10-11T00:00:00"/>
    <n v="1"/>
    <s v="Valid"/>
    <s v="CUST-6010"/>
    <s v="Karan Malhotra"/>
    <x v="2"/>
    <x v="1"/>
    <s v="Odisha"/>
    <m/>
    <x v="1"/>
    <x v="4"/>
    <s v="Elite Chairs 979"/>
    <x v="0"/>
    <n v="7"/>
    <n v="3791.96"/>
    <n v="25216.534"/>
    <n v="0.05"/>
    <n v="0.05"/>
    <s v="Valid"/>
    <s v="Clean"/>
    <n v="25216.53"/>
    <n v="14216.94"/>
    <n v="10999.593999999999"/>
    <n v="10999.59"/>
    <n v="0.43620553660634515"/>
    <s v="Failed"/>
    <x v="1"/>
  </r>
  <r>
    <s v="ORD-2024-10830"/>
    <s v="Unique"/>
    <x v="6"/>
    <n v="2024"/>
    <d v="2024-02-26T00:00:00"/>
    <d v="2024-02-28T00:00:00"/>
    <n v="2"/>
    <s v="Valid"/>
    <s v="CUST-9036"/>
    <s v="Aditi Sen"/>
    <x v="1"/>
    <x v="3"/>
    <s v="Goa"/>
    <m/>
    <x v="1"/>
    <x v="3"/>
    <s v="Pro Furnishings 192"/>
    <x v="0"/>
    <n v="7"/>
    <n v="1035.1400000000001"/>
    <n v="6521.3820000000005"/>
    <n v="0.1"/>
    <n v="0.1"/>
    <s v="Valid"/>
    <s v="Clean"/>
    <n v="6521.38"/>
    <n v="4511.1000000000004"/>
    <n v="2010.2820000000002"/>
    <n v="2010.28"/>
    <n v="0.30825990817894372"/>
    <s v="Paid"/>
    <x v="0"/>
  </r>
  <r>
    <s v="ORD-2025-10831"/>
    <s v="Unique"/>
    <x v="0"/>
    <n v="2025"/>
    <d v="2025-07-15T00:00:00"/>
    <d v="2025-07-18T00:00:00"/>
    <n v="3"/>
    <s v="Valid"/>
    <s v="CUST-7929"/>
    <s v="Aditi Sen"/>
    <x v="1"/>
    <x v="4"/>
    <s v="Tamil Nadu"/>
    <m/>
    <x v="2"/>
    <x v="12"/>
    <s v="Smart Machines 951"/>
    <x v="2"/>
    <n v="6"/>
    <n v="2382.88"/>
    <n v="12867.552000000001"/>
    <n v="0.1"/>
    <n v="0.1"/>
    <s v="Valid"/>
    <s v="Clean"/>
    <n v="12867.55"/>
    <n v="10068.94"/>
    <n v="2798.612000000001"/>
    <n v="2798.61"/>
    <n v="0.2174936176661447"/>
    <s v="Paid"/>
    <x v="0"/>
  </r>
  <r>
    <s v="ORD-2025-10832"/>
    <s v="Unique"/>
    <x v="5"/>
    <n v="2025"/>
    <d v="2025-04-03T00:00:00"/>
    <d v="2025-04-03T00:00:00"/>
    <n v="0"/>
    <s v="Valid"/>
    <s v="CUST-1106"/>
    <s v="Diya Patel"/>
    <x v="3"/>
    <x v="4"/>
    <s v="Haryana"/>
    <m/>
    <x v="1"/>
    <x v="4"/>
    <s v="Smart Chairs 794"/>
    <x v="2"/>
    <n v="9"/>
    <n v="3462.7"/>
    <n v="26489.654999999999"/>
    <n v="0.15"/>
    <n v="0.15"/>
    <s v="Valid"/>
    <s v="Clean"/>
    <n v="26489.65"/>
    <n v="15818.46"/>
    <n v="10671.195"/>
    <n v="10671.19"/>
    <n v="0.40284375218245616"/>
    <s v="Failed"/>
    <x v="2"/>
  </r>
  <r>
    <s v="ORD-2025-10833"/>
    <s v="Unique"/>
    <x v="4"/>
    <n v="2025"/>
    <d v="2025-05-26T00:00:00"/>
    <d v="2025-05-28T00:00:00"/>
    <n v="2"/>
    <s v="Valid"/>
    <s v="CUST-9557"/>
    <s v="Kabir Singh"/>
    <x v="1"/>
    <x v="2"/>
    <s v="Andhra Pradesh"/>
    <m/>
    <x v="2"/>
    <x v="11"/>
    <s v="Max Phones 919"/>
    <x v="0"/>
    <n v="9"/>
    <n v="4302.0200000000004"/>
    <n v="36782.271000000008"/>
    <n v="0.05"/>
    <n v="0.05"/>
    <s v="Valid"/>
    <s v="Clean"/>
    <n v="36782.269999999997"/>
    <n v="25902.81"/>
    <n v="10879.461000000007"/>
    <n v="10879.46"/>
    <n v="0.2957800048773499"/>
    <s v="Paid"/>
    <x v="0"/>
  </r>
  <r>
    <s v="ORD-2024-10834"/>
    <s v="Unique"/>
    <x v="2"/>
    <n v="2024"/>
    <d v="2024-06-04T00:00:00"/>
    <d v="2024-06-04T00:00:00"/>
    <n v="0"/>
    <s v="Valid"/>
    <s v="CUST-2689"/>
    <s v="Rahul Verma"/>
    <x v="3"/>
    <x v="1"/>
    <s v="West Bengal"/>
    <m/>
    <x v="1"/>
    <x v="10"/>
    <s v="Basic Bookcases 499"/>
    <x v="2"/>
    <n v="6"/>
    <n v="3949.4"/>
    <n v="23696.400000000001"/>
    <n v="0"/>
    <n v="0"/>
    <s v="Valid"/>
    <s v="Clean"/>
    <n v="23696.400000000001"/>
    <n v="18109.77"/>
    <n v="5586.630000000001"/>
    <n v="5586.63"/>
    <n v="0.2357585962424672"/>
    <s v="Paid"/>
    <x v="0"/>
  </r>
  <r>
    <s v="ORD-2024-10835"/>
    <s v="Unique"/>
    <x v="9"/>
    <n v="2024"/>
    <d v="2024-10-18T00:00:00"/>
    <d v="2024-10-22T00:00:00"/>
    <n v="4"/>
    <s v="Valid"/>
    <s v="CUST-2879"/>
    <s v="Aarav Sharma"/>
    <x v="3"/>
    <x v="2"/>
    <s v="Telangana"/>
    <m/>
    <x v="0"/>
    <x v="2"/>
    <s v="Basic Art 143"/>
    <x v="2"/>
    <n v="6"/>
    <n v="674.61"/>
    <n v="4047.66"/>
    <n v="0"/>
    <n v="0"/>
    <s v="Valid"/>
    <s v="Clean"/>
    <n v="4047.66"/>
    <n v="3078.93"/>
    <n v="968.73"/>
    <n v="1279.79"/>
    <n v="0.31618021276490615"/>
    <s v="Paid"/>
    <x v="0"/>
  </r>
  <r>
    <s v="ORD-2025-10836"/>
    <s v="Unique"/>
    <x v="7"/>
    <n v="2025"/>
    <d v="2025-09-26T00:00:00"/>
    <d v="2025-10-04T00:00:00"/>
    <n v="8"/>
    <s v="Valid"/>
    <s v="CUST-5150"/>
    <s v="Priya Menon"/>
    <x v="1"/>
    <x v="1"/>
    <s v="Assam"/>
    <m/>
    <x v="2"/>
    <x v="11"/>
    <s v="Prime Phones 338"/>
    <x v="0"/>
    <n v="7"/>
    <n v="1509.59"/>
    <n v="10038.773499999999"/>
    <n v="0.05"/>
    <n v="0.05"/>
    <s v="Valid"/>
    <s v="Clean"/>
    <n v="10038.77"/>
    <n v="5673.1"/>
    <n v="4365.673499999999"/>
    <n v="4365.67"/>
    <n v="0.43488096649290697"/>
    <s v="Paid"/>
    <x v="0"/>
  </r>
  <r>
    <s v="ORD-2024-10837"/>
    <s v="Unique"/>
    <x v="8"/>
    <n v="2024"/>
    <d v="2024-12-15T00:00:00"/>
    <d v="2024-12-18T00:00:00"/>
    <n v="3"/>
    <s v="Valid"/>
    <s v="CUST-9776"/>
    <s v="Isha Nair"/>
    <x v="1"/>
    <x v="0"/>
    <s v="Rajasthan"/>
    <m/>
    <x v="0"/>
    <x v="7"/>
    <s v="Smart Labels 814"/>
    <x v="0"/>
    <n v="2"/>
    <n v="537.11"/>
    <n v="1074.22"/>
    <n v="0"/>
    <n v="0"/>
    <s v="Valid"/>
    <s v="Clean"/>
    <n v="1074.22"/>
    <n v="850.86"/>
    <n v="223.36"/>
    <n v="223.36"/>
    <n v="0.20792761259332354"/>
    <s v="Paid"/>
    <x v="0"/>
  </r>
  <r>
    <s v="ORD-2025-10838"/>
    <s v="Unique"/>
    <x v="7"/>
    <n v="2025"/>
    <d v="2025-09-27T00:00:00"/>
    <d v="2025-09-28T00:00:00"/>
    <n v="1"/>
    <s v="Valid"/>
    <s v="CUST-2551"/>
    <s v="Karan Malhotra"/>
    <x v="3"/>
    <x v="3"/>
    <s v="Maharashtra"/>
    <m/>
    <x v="0"/>
    <x v="0"/>
    <s v="Prime Paper 812"/>
    <x v="2"/>
    <n v="3"/>
    <n v="4177.63"/>
    <n v="9399.6674999999996"/>
    <n v="0.25"/>
    <n v="0.25"/>
    <s v="Valid"/>
    <s v="Clean"/>
    <n v="9399.67"/>
    <n v="6540.37"/>
    <n v="2859.2974999999997"/>
    <n v="2859.3"/>
    <n v="0.30419153012818539"/>
    <s v="Paid"/>
    <x v="0"/>
  </r>
  <r>
    <s v="ORD-2025-10839"/>
    <s v="Unique"/>
    <x v="5"/>
    <n v="2025"/>
    <d v="2025-04-03T00:00:00"/>
    <d v="2025-04-07T00:00:00"/>
    <n v="4"/>
    <s v="Valid"/>
    <s v="CUST-4708"/>
    <s v="Ananya Rao"/>
    <x v="1"/>
    <x v="3"/>
    <s v="Goa"/>
    <m/>
    <x v="0"/>
    <x v="0"/>
    <s v="Pro Paper 355"/>
    <x v="1"/>
    <n v="1"/>
    <n v="1470.57"/>
    <n v="1470.57"/>
    <n v="0"/>
    <n v="0"/>
    <s v="Valid"/>
    <s v="Clean"/>
    <n v="1470.57"/>
    <n v="834.02"/>
    <n v="636.54999999999995"/>
    <n v="636.54999999999995"/>
    <n v="0.43285936745615644"/>
    <s v="Paid"/>
    <x v="2"/>
  </r>
  <r>
    <s v="ORD-2024-10840"/>
    <s v="Unique"/>
    <x v="7"/>
    <n v="2024"/>
    <d v="2024-09-20T00:00:00"/>
    <d v="2024-09-22T00:00:00"/>
    <n v="2"/>
    <s v="Valid"/>
    <s v="CUST-8206"/>
    <s v="Rohan Mehta"/>
    <x v="3"/>
    <x v="1"/>
    <s v="Odisha"/>
    <m/>
    <x v="2"/>
    <x v="11"/>
    <s v="Basic Phones 398"/>
    <x v="3"/>
    <n v="8"/>
    <n v="531.42999999999995"/>
    <n v="3826.2959999999998"/>
    <n v="0.1"/>
    <n v="0.1"/>
    <s v="Valid"/>
    <s v="Clean"/>
    <n v="3826.3"/>
    <n v="2194.12"/>
    <n v="1632.1759999999999"/>
    <n v="1632.18"/>
    <n v="0.4265687478765387"/>
    <s v="Paid"/>
    <x v="0"/>
  </r>
  <r>
    <s v="ORD-2025-10841"/>
    <s v="Unique"/>
    <x v="7"/>
    <n v="2025"/>
    <d v="2025-09-19T00:00:00"/>
    <d v="2025-09-19T00:00:00"/>
    <n v="0"/>
    <s v="Valid"/>
    <s v="CUST-1297"/>
    <s v="Neha Gupta"/>
    <x v="3"/>
    <x v="0"/>
    <s v="Delhi"/>
    <m/>
    <x v="1"/>
    <x v="4"/>
    <s v="Classic Chairs 204"/>
    <x v="1"/>
    <n v="4"/>
    <n v="1584.11"/>
    <n v="6336.44"/>
    <n v="0"/>
    <n v="0"/>
    <s v="Valid"/>
    <s v="Clean"/>
    <n v="6336.44"/>
    <n v="4680.68"/>
    <n v="1655.7599999999993"/>
    <n v="1655.76"/>
    <n v="0.26130761121386775"/>
    <s v="Paid"/>
    <x v="0"/>
  </r>
  <r>
    <s v="ORD-2025-10842"/>
    <s v="Unique"/>
    <x v="6"/>
    <n v="2025"/>
    <d v="2025-02-06T00:00:00"/>
    <d v="2025-02-12T00:00:00"/>
    <n v="6"/>
    <s v="Valid"/>
    <s v="CUST-7558"/>
    <s v="Ananya Rao"/>
    <x v="1"/>
    <x v="1"/>
    <s v="Bihar"/>
    <m/>
    <x v="0"/>
    <x v="2"/>
    <s v="Max Art 339"/>
    <x v="3"/>
    <n v="9"/>
    <n v="3237.16"/>
    <n v="21850.829999999998"/>
    <n v="0.25"/>
    <n v="0.25"/>
    <s v="Valid"/>
    <s v="Clean"/>
    <n v="21850.83"/>
    <n v="16600.13"/>
    <n v="5250.6999999999971"/>
    <n v="5250.7"/>
    <n v="0.24029750814957598"/>
    <s v="Paid"/>
    <x v="0"/>
  </r>
  <r>
    <s v="ORD-2024-10843"/>
    <s v="Unique"/>
    <x v="11"/>
    <n v="2024"/>
    <d v="2024-03-31T00:00:00"/>
    <d v="2024-03-30T00:00:00"/>
    <n v="-1"/>
    <s v="Invalid: Ship Date Before Order Date"/>
    <s v="CUST-1798"/>
    <s v="Kabir Singh"/>
    <x v="0"/>
    <x v="0"/>
    <s v="Haryana"/>
    <m/>
    <x v="2"/>
    <x v="12"/>
    <s v="Smart Machines 581"/>
    <x v="2"/>
    <n v="4"/>
    <n v="2192.08"/>
    <n v="7453.0719999999992"/>
    <n v="0.15"/>
    <n v="0.15"/>
    <s v="Valid"/>
    <s v="Invalid"/>
    <n v="7453.07"/>
    <n v="5133.78"/>
    <n v="2319.2919999999995"/>
    <n v="2319.29"/>
    <n v="0.31118586032332984"/>
    <s v="Paid"/>
    <x v="2"/>
  </r>
  <r>
    <s v="ORD-2025-10844"/>
    <s v="Unique"/>
    <x v="0"/>
    <n v="2025"/>
    <d v="2025-07-18T00:00:00"/>
    <d v="2025-07-25T00:00:00"/>
    <n v="7"/>
    <s v="Valid"/>
    <s v="CUST-7333"/>
    <s v="Priya Menon"/>
    <x v="1"/>
    <x v="0"/>
    <s v="Uttar Pradesh"/>
    <m/>
    <x v="2"/>
    <x v="11"/>
    <s v="Prime Phones 482"/>
    <x v="2"/>
    <n v="9"/>
    <n v="3989.52"/>
    <s v="Invalid"/>
    <n v="-0.02"/>
    <s v="Invalid"/>
    <s v="Invalid"/>
    <s v="Invalid"/>
    <n v="35905.68"/>
    <n v="23916.1"/>
    <s v="Invalid"/>
    <n v="11989.58"/>
    <n v="0.33391875602968668"/>
    <s v="Paid"/>
    <x v="0"/>
  </r>
  <r>
    <s v="ORD-2025-10845"/>
    <s v="Unique"/>
    <x v="10"/>
    <n v="2025"/>
    <d v="2025-01-20T00:00:00"/>
    <d v="2025-01-25T00:00:00"/>
    <n v="5"/>
    <s v="Valid"/>
    <s v="CUST-2086"/>
    <s v="Aditi Sen"/>
    <x v="3"/>
    <x v="3"/>
    <s v="Goa"/>
    <m/>
    <x v="0"/>
    <x v="2"/>
    <s v="Pro Art 588"/>
    <x v="2"/>
    <n v="1"/>
    <n v="3515.15"/>
    <n v="3515.15"/>
    <n v="0"/>
    <n v="0"/>
    <s v="Valid"/>
    <s v="Clean"/>
    <n v="3515.15"/>
    <n v="2216.34"/>
    <n v="1298.81"/>
    <n v="1298.81"/>
    <n v="0.36948921098672882"/>
    <s v="Paid"/>
    <x v="0"/>
  </r>
  <r>
    <s v="ORD-2024-10846"/>
    <s v="Unique"/>
    <x v="6"/>
    <n v="2024"/>
    <d v="2024-02-23T00:00:00"/>
    <d v="2024-02-27T00:00:00"/>
    <n v="4"/>
    <s v="Valid"/>
    <s v="CUST-2367"/>
    <s v="Karan Malhotra"/>
    <x v="0"/>
    <x v="1"/>
    <s v="Odisha"/>
    <m/>
    <x v="1"/>
    <x v="1"/>
    <s v="Eco Tables 792"/>
    <x v="2"/>
    <n v="9"/>
    <n v="3616.23"/>
    <n v="24409.552499999998"/>
    <n v="0.25"/>
    <n v="0.25"/>
    <s v="Valid"/>
    <s v="Clean"/>
    <n v="24409.55"/>
    <n v="17157.580000000002"/>
    <n v="7251.9724999999962"/>
    <n v="7251.97"/>
    <n v="0.29709560397467388"/>
    <s v="Pending"/>
    <x v="2"/>
  </r>
  <r>
    <s v="ORD-2024-10847"/>
    <s v="Unique"/>
    <x v="5"/>
    <n v="2024"/>
    <d v="2024-04-14T00:00:00"/>
    <d v="2024-04-22T00:00:00"/>
    <n v="8"/>
    <s v="Valid"/>
    <s v="CUST-6522"/>
    <s v="Priya Menon"/>
    <x v="1"/>
    <x v="3"/>
    <s v="Gujarat"/>
    <m/>
    <x v="1"/>
    <x v="10"/>
    <s v="Prime Bookcases 177"/>
    <x v="3"/>
    <n v="2"/>
    <n v="3977.52"/>
    <n v="7955.04"/>
    <n v="0"/>
    <n v="0"/>
    <s v="Valid"/>
    <s v="Clean"/>
    <n v="7955.04"/>
    <n v="5580.68"/>
    <n v="2374.3599999999997"/>
    <n v="2374.36"/>
    <n v="0.29847241497214344"/>
    <s v="Pending"/>
    <x v="2"/>
  </r>
  <r>
    <s v="ORD-2025-10848"/>
    <s v="Unique"/>
    <x v="4"/>
    <n v="2025"/>
    <d v="2025-05-20T00:00:00"/>
    <d v="2025-05-22T00:00:00"/>
    <n v="2"/>
    <s v="Valid"/>
    <s v="CUST-8329"/>
    <s v="Diya Patel"/>
    <x v="3"/>
    <x v="1"/>
    <s v="Odisha"/>
    <m/>
    <x v="1"/>
    <x v="1"/>
    <s v="Pro Tables 828"/>
    <x v="0"/>
    <n v="2"/>
    <n v="210.08"/>
    <n v="336.12800000000004"/>
    <n v="0.2"/>
    <n v="0.2"/>
    <s v="Valid"/>
    <s v="Clean"/>
    <n v="336.13"/>
    <n v="242.19"/>
    <n v="93.938000000000045"/>
    <n v="93.94"/>
    <n v="0.27947520304644036"/>
    <s v="Paid"/>
    <x v="0"/>
  </r>
  <r>
    <s v="ORD-2025-10849"/>
    <s v="Unique"/>
    <x v="4"/>
    <n v="2025"/>
    <d v="2025-05-27T00:00:00"/>
    <d v="2025-05-29T00:00:00"/>
    <n v="2"/>
    <s v="Valid"/>
    <s v="CUST-4426"/>
    <s v="Rahul Verma"/>
    <x v="3"/>
    <x v="2"/>
    <s v="Tamil Nadu"/>
    <m/>
    <x v="1"/>
    <x v="3"/>
    <s v="Elite Furnishings 480"/>
    <x v="0"/>
    <n v="1"/>
    <n v="1744.35"/>
    <n v="1308.2624999999998"/>
    <n v="0.25"/>
    <n v="0.25"/>
    <s v="Valid"/>
    <s v="Clean"/>
    <n v="1308.26"/>
    <n v="1083.56"/>
    <n v="224.70249999999987"/>
    <n v="224.7"/>
    <n v="0.17175484995337317"/>
    <s v="Paid"/>
    <x v="0"/>
  </r>
  <r>
    <s v="ORD-2024-10850"/>
    <s v="Unique"/>
    <x v="11"/>
    <n v="2024"/>
    <d v="2024-03-06T00:00:00"/>
    <d v="2024-03-12T00:00:00"/>
    <n v="6"/>
    <s v="Valid"/>
    <s v="CUST-3360"/>
    <s v="Isha Nair"/>
    <x v="3"/>
    <x v="3"/>
    <s v="Gujarat"/>
    <m/>
    <x v="1"/>
    <x v="10"/>
    <s v="Prime Bookcases 755"/>
    <x v="3"/>
    <n v="3"/>
    <n v="679.63"/>
    <n v="1631.1120000000001"/>
    <n v="0.2"/>
    <n v="0.2"/>
    <s v="Valid"/>
    <s v="Clean"/>
    <n v="1631.11"/>
    <n v="898.73"/>
    <n v="732.38200000000006"/>
    <n v="396.58"/>
    <n v="0.24313504300752248"/>
    <s v="Paid"/>
    <x v="0"/>
  </r>
  <r>
    <s v="ORD-2024-10851"/>
    <s v="Unique"/>
    <x v="2"/>
    <n v="2024"/>
    <d v="2024-06-30T00:00:00"/>
    <d v="2024-07-03T00:00:00"/>
    <n v="3"/>
    <s v="Valid"/>
    <s v="CUST-2623"/>
    <s v="Priya Menon"/>
    <x v="3"/>
    <x v="1"/>
    <s v="West Bengal"/>
    <m/>
    <x v="0"/>
    <x v="0"/>
    <s v="Prime Paper 317"/>
    <x v="2"/>
    <n v="6"/>
    <n v="1211.01"/>
    <n v="7266.0599999999995"/>
    <n v="0"/>
    <n v="0"/>
    <s v="Valid"/>
    <s v="Clean"/>
    <n v="7266.06"/>
    <n v="6216.89"/>
    <n v="1049.1699999999992"/>
    <n v="1049.17"/>
    <n v="0.14439324750965449"/>
    <s v="Paid"/>
    <x v="0"/>
  </r>
  <r>
    <s v="ORD-2024-10852"/>
    <s v="Unique"/>
    <x v="11"/>
    <n v="2024"/>
    <d v="2024-03-26T00:00:00"/>
    <d v="2024-04-01T00:00:00"/>
    <n v="6"/>
    <s v="Valid"/>
    <s v="CUST-3175"/>
    <s v="Karan Malhotra"/>
    <x v="1"/>
    <x v="3"/>
    <s v="Gujarat"/>
    <m/>
    <x v="2"/>
    <x v="5"/>
    <s v="Classic Accessories 933"/>
    <x v="2"/>
    <n v="2"/>
    <n v="1161.3"/>
    <n v="1858.08"/>
    <n v="0.2"/>
    <n v="0.2"/>
    <s v="Valid"/>
    <s v="Clean"/>
    <n v="1858.08"/>
    <n v="1590.75"/>
    <n v="267.32999999999993"/>
    <n v="267.33"/>
    <n v="0.143874321880651"/>
    <s v="Paid"/>
    <x v="0"/>
  </r>
  <r>
    <s v="ORD-2024-10853"/>
    <s v="Unique"/>
    <x v="5"/>
    <n v="2024"/>
    <d v="2024-04-01T00:00:00"/>
    <d v="2024-04-08T00:00:00"/>
    <n v="7"/>
    <s v="Valid"/>
    <s v="CUST-9630"/>
    <s v="Ananya Rao"/>
    <x v="0"/>
    <x v="1"/>
    <s v="Assam"/>
    <m/>
    <x v="1"/>
    <x v="1"/>
    <s v="Smart Tables 513"/>
    <x v="0"/>
    <n v="7"/>
    <n v="4205.3500000000004"/>
    <n v="25021.832500000004"/>
    <n v="0.15"/>
    <n v="0.15"/>
    <s v="Valid"/>
    <s v="Clean"/>
    <n v="25021.83"/>
    <n v="15544.44"/>
    <n v="9477.3925000000036"/>
    <n v="9477.39"/>
    <n v="0.37876486252204572"/>
    <s v="Pending"/>
    <x v="1"/>
  </r>
  <r>
    <s v="ORD-2025-10854"/>
    <s v="Unique"/>
    <x v="4"/>
    <n v="2025"/>
    <d v="2025-05-16T00:00:00"/>
    <d v="2025-05-22T00:00:00"/>
    <n v="6"/>
    <s v="Valid"/>
    <s v="CUST-8274"/>
    <s v="Arjun Bose"/>
    <x v="2"/>
    <x v="2"/>
    <s v="Tamil Nadu"/>
    <m/>
    <x v="2"/>
    <x v="5"/>
    <s v="Elite Accessories 708"/>
    <x v="1"/>
    <n v="8"/>
    <n v="579.79999999999995"/>
    <n v="3710.72"/>
    <n v="0.2"/>
    <n v="0.2"/>
    <s v="Valid"/>
    <s v="Clean"/>
    <n v="3710.72"/>
    <n v="3115.29"/>
    <n v="595.42999999999984"/>
    <n v="595.42999999999995"/>
    <n v="0.16046212055881337"/>
    <s v="Paid"/>
    <x v="0"/>
  </r>
  <r>
    <s v="ORD-2025-10855"/>
    <s v="Unique"/>
    <x v="11"/>
    <n v="2025"/>
    <d v="2025-03-25T00:00:00"/>
    <d v="2025-04-02T00:00:00"/>
    <n v="8"/>
    <s v="Valid"/>
    <s v="CUST-2514"/>
    <s v="Priya Menon"/>
    <x v="0"/>
    <x v="2"/>
    <s v="Karnataka"/>
    <m/>
    <x v="1"/>
    <x v="10"/>
    <s v="Max Bookcases 381"/>
    <x v="0"/>
    <n v="4"/>
    <n v="2233.64"/>
    <n v="8487.8319999999985"/>
    <n v="0.05"/>
    <n v="0.05"/>
    <s v="Valid"/>
    <s v="Clean"/>
    <n v="8487.83"/>
    <n v="5245.72"/>
    <n v="3242.1119999999983"/>
    <n v="3242.11"/>
    <n v="0.38197159933693303"/>
    <s v="Paid"/>
    <x v="0"/>
  </r>
  <r>
    <s v="ORD-2024-10856"/>
    <s v="Unique"/>
    <x v="0"/>
    <n v="2024"/>
    <d v="2024-07-25T00:00:00"/>
    <d v="2024-08-02T00:00:00"/>
    <n v="8"/>
    <s v="Valid"/>
    <s v="CUST-2752"/>
    <s v="Rahul Verma"/>
    <x v="0"/>
    <x v="0"/>
    <s v="Rajasthan"/>
    <m/>
    <x v="0"/>
    <x v="7"/>
    <s v="Classic Labels 215"/>
    <x v="0"/>
    <n v="2"/>
    <n v="2073.5300000000002"/>
    <n v="3110.2950000000001"/>
    <n v="0.25"/>
    <n v="0.25"/>
    <s v="Valid"/>
    <s v="Clean"/>
    <n v="3110.3"/>
    <n v="2101.0300000000002"/>
    <n v="1009.2649999999999"/>
    <n v="1009.27"/>
    <n v="0.32449281419798731"/>
    <s v="Paid"/>
    <x v="0"/>
  </r>
  <r>
    <s v="ORD-2024-10857"/>
    <s v="Unique"/>
    <x v="2"/>
    <n v="2024"/>
    <d v="2024-06-12T00:00:00"/>
    <d v="2024-06-19T00:00:00"/>
    <n v="7"/>
    <s v="Valid"/>
    <s v="CUST-5647"/>
    <s v="Rohan Mehta"/>
    <x v="3"/>
    <x v="2"/>
    <s v="Tamil Nadu"/>
    <m/>
    <x v="0"/>
    <x v="8"/>
    <s v="Classic Storage 918"/>
    <x v="3"/>
    <n v="4"/>
    <n v="395.1"/>
    <s v="Invalid"/>
    <n v="-0.16"/>
    <s v="Invalid"/>
    <s v="Invalid"/>
    <s v="Invalid"/>
    <n v="1185.3"/>
    <n v="966.55"/>
    <s v="Invalid"/>
    <n v="218.75"/>
    <n v="0.1845524339829579"/>
    <s v="Failed"/>
    <x v="1"/>
  </r>
  <r>
    <s v="ORD-2024-10858"/>
    <s v="Unique"/>
    <x v="2"/>
    <n v="2024"/>
    <d v="2024-06-04T00:00:00"/>
    <d v="2024-06-04T00:00:00"/>
    <n v="0"/>
    <s v="Valid"/>
    <s v="CUST-8575"/>
    <s v="Sneha Kapoor"/>
    <x v="3"/>
    <x v="2"/>
    <s v="Kerala"/>
    <m/>
    <x v="0"/>
    <x v="8"/>
    <s v="Max Storage 223"/>
    <x v="2"/>
    <n v="6"/>
    <n v="2708.97"/>
    <n v="12190.365"/>
    <n v="0.25"/>
    <n v="0.25"/>
    <s v="Valid"/>
    <s v="Clean"/>
    <n v="12190.36"/>
    <n v="10176.99"/>
    <n v="2013.375"/>
    <n v="2013.37"/>
    <n v="0.16516083200168"/>
    <s v="Paid"/>
    <x v="0"/>
  </r>
  <r>
    <s v="ORD-2024-10859"/>
    <s v="Unique"/>
    <x v="4"/>
    <n v="2024"/>
    <d v="2024-05-02T00:00:00"/>
    <d v="2024-05-09T00:00:00"/>
    <n v="7"/>
    <s v="Valid"/>
    <s v="CUST-9576"/>
    <s v="Arjun Bose"/>
    <x v="0"/>
    <x v="1"/>
    <s v="Odisha"/>
    <m/>
    <x v="2"/>
    <x v="5"/>
    <s v="Basic Accessories 602"/>
    <x v="0"/>
    <n v="4"/>
    <n v="2904.86"/>
    <n v="11619.44"/>
    <n v="0"/>
    <n v="0"/>
    <s v="Valid"/>
    <s v="Clean"/>
    <n v="11619.44"/>
    <n v="7184.32"/>
    <n v="4435.1200000000008"/>
    <n v="4494.6400000000003"/>
    <n v="0.38682070736627583"/>
    <s v="Paid"/>
    <x v="0"/>
  </r>
  <r>
    <s v="ORD-2024-10860"/>
    <s v="Unique"/>
    <x v="9"/>
    <n v="2024"/>
    <d v="2024-10-27T00:00:00"/>
    <d v="2024-11-01T00:00:00"/>
    <n v="5"/>
    <s v="Valid"/>
    <s v="CUST-2395"/>
    <s v="Aditi Sen"/>
    <x v="2"/>
    <x v="2"/>
    <s v="Tamil Nadu"/>
    <m/>
    <x v="2"/>
    <x v="11"/>
    <s v="Elite Phones 394"/>
    <x v="3"/>
    <n v="6"/>
    <n v="4399.2"/>
    <n v="25075.439999999995"/>
    <n v="0.05"/>
    <n v="0.05"/>
    <s v="Valid"/>
    <s v="Clean"/>
    <n v="25075.439999999999"/>
    <n v="16282.74"/>
    <n v="8792.6999999999953"/>
    <n v="8792.7000000000007"/>
    <n v="0.35064987892535487"/>
    <s v="Paid"/>
    <x v="0"/>
  </r>
  <r>
    <s v="ORD-2024-10861"/>
    <s v="Unique"/>
    <x v="6"/>
    <n v="2024"/>
    <d v="2024-02-02T00:00:00"/>
    <d v="2024-02-04T00:00:00"/>
    <n v="2"/>
    <s v="Valid"/>
    <s v="CUST-8941"/>
    <s v="Vikram Iyer"/>
    <x v="3"/>
    <x v="0"/>
    <s v="Uttar Pradesh"/>
    <m/>
    <x v="0"/>
    <x v="8"/>
    <s v="Classic Storage 194"/>
    <x v="0"/>
    <n v="1"/>
    <n v="4397.32"/>
    <n v="4177.4539999999997"/>
    <n v="0.05"/>
    <n v="0.05"/>
    <s v="Valid"/>
    <s v="Clean"/>
    <n v="4177.45"/>
    <n v="2299.5"/>
    <n v="1877.9539999999997"/>
    <n v="1877.95"/>
    <n v="0.44954457863050429"/>
    <s v="Paid"/>
    <x v="0"/>
  </r>
  <r>
    <s v="ORD-2025-10862"/>
    <s v="Unique"/>
    <x v="11"/>
    <n v="2025"/>
    <d v="2025-03-08T00:00:00"/>
    <d v="2025-03-09T00:00:00"/>
    <n v="1"/>
    <s v="Valid"/>
    <s v="CUST-9448"/>
    <s v="Priya Menon"/>
    <x v="3"/>
    <x v="0"/>
    <s v="Delhi"/>
    <m/>
    <x v="1"/>
    <x v="3"/>
    <s v="Smart Furnishings 892"/>
    <x v="1"/>
    <n v="4"/>
    <n v="3405.68"/>
    <n v="10898.175999999999"/>
    <n v="0.2"/>
    <n v="0.2"/>
    <s v="Valid"/>
    <s v="Clean"/>
    <n v="10898.18"/>
    <n v="6231.41"/>
    <n v="4666.7659999999996"/>
    <n v="4666.7700000000004"/>
    <n v="0.42821553690616232"/>
    <s v="Paid"/>
    <x v="0"/>
  </r>
  <r>
    <s v="ORD-2025-10863"/>
    <s v="Unique"/>
    <x v="11"/>
    <n v="2025"/>
    <d v="2025-03-26T00:00:00"/>
    <d v="2025-03-31T00:00:00"/>
    <n v="5"/>
    <s v="Valid"/>
    <s v="CUST-8354"/>
    <s v="Priya Menon"/>
    <x v="1"/>
    <x v="1"/>
    <s v="Jharkhand"/>
    <m/>
    <x v="0"/>
    <x v="9"/>
    <s v="Pro Binders 488"/>
    <x v="2"/>
    <n v="5"/>
    <n v="1395.14"/>
    <n v="6975.7000000000007"/>
    <n v="0"/>
    <n v="0"/>
    <s v="Valid"/>
    <s v="Clean"/>
    <n v="6975.7"/>
    <n v="4797.88"/>
    <n v="2177.8200000000006"/>
    <n v="2177.8200000000002"/>
    <n v="0.31220092607193545"/>
    <s v="Paid"/>
    <x v="1"/>
  </r>
  <r>
    <s v="ORD-2025-10864"/>
    <s v="Unique"/>
    <x v="7"/>
    <n v="2025"/>
    <d v="2025-09-06T00:00:00"/>
    <d v="2025-09-08T00:00:00"/>
    <n v="2"/>
    <s v="Valid"/>
    <s v="CUST-2200"/>
    <s v="Aarav Sharma"/>
    <x v="3"/>
    <x v="3"/>
    <s v="Madhya Pradesh"/>
    <m/>
    <x v="1"/>
    <x v="3"/>
    <s v="Prime Furnishings 679"/>
    <x v="1"/>
    <n v="3"/>
    <n v="2937.23"/>
    <n v="8811.69"/>
    <n v="0"/>
    <n v="0"/>
    <s v="Valid"/>
    <s v="Clean"/>
    <n v="8811.69"/>
    <n v="6765.91"/>
    <n v="2045.7800000000007"/>
    <n v="2045.78"/>
    <n v="0.23216658779416888"/>
    <s v="Paid"/>
    <x v="0"/>
  </r>
  <r>
    <s v="ORD-2025-10865"/>
    <s v="Unique"/>
    <x v="7"/>
    <n v="2025"/>
    <d v="2025-09-02T00:00:00"/>
    <d v="2025-09-05T00:00:00"/>
    <n v="3"/>
    <s v="Valid"/>
    <s v="CUST-1178"/>
    <s v="Vikram Iyer"/>
    <x v="0"/>
    <x v="2"/>
    <s v="Tamil Nadu"/>
    <m/>
    <x v="2"/>
    <x v="11"/>
    <s v="Smart Phones 158"/>
    <x v="2"/>
    <n v="5"/>
    <n v="3406.87"/>
    <n v="17034.349999999999"/>
    <n v="0"/>
    <n v="0"/>
    <s v="Valid"/>
    <s v="Clean"/>
    <n v="17034.349999999999"/>
    <n v="14631.36"/>
    <n v="2402.989999999998"/>
    <n v="2402.9899999999998"/>
    <n v="0.14106731398615152"/>
    <s v="Paid"/>
    <x v="0"/>
  </r>
  <r>
    <s v="ORD-2025-10866"/>
    <s v="Unique"/>
    <x v="6"/>
    <n v="2025"/>
    <d v="2025-02-06T00:00:00"/>
    <d v="2025-02-14T00:00:00"/>
    <n v="8"/>
    <s v="Valid"/>
    <s v="CUST-8099"/>
    <s v="Kabir Singh"/>
    <x v="0"/>
    <x v="3"/>
    <s v="Maharashtra"/>
    <m/>
    <x v="0"/>
    <x v="7"/>
    <s v="Classic Labels 218"/>
    <x v="0"/>
    <n v="2"/>
    <n v="3992.04"/>
    <n v="7984.08"/>
    <n v="0"/>
    <n v="0"/>
    <s v="Valid"/>
    <s v="Clean"/>
    <n v="7984.08"/>
    <n v="5658.05"/>
    <n v="2326.0299999999997"/>
    <n v="2326.0300000000002"/>
    <n v="0.29133350367230793"/>
    <s v="Paid"/>
    <x v="0"/>
  </r>
  <r>
    <s v="ORD-2025-10867"/>
    <s v="Unique"/>
    <x v="6"/>
    <n v="2025"/>
    <d v="2025-02-26T00:00:00"/>
    <d v="2025-03-06T00:00:00"/>
    <n v="8"/>
    <s v="Valid"/>
    <s v="CUST-7596"/>
    <s v="Priya Menon"/>
    <x v="0"/>
    <x v="1"/>
    <s v="Bihar"/>
    <m/>
    <x v="1"/>
    <x v="10"/>
    <s v="Smart Bookcases 552"/>
    <x v="2"/>
    <n v="9"/>
    <n v="3043.37"/>
    <n v="21912.263999999999"/>
    <n v="0.2"/>
    <n v="0.2"/>
    <s v="Valid"/>
    <s v="Clean"/>
    <n v="21912.26"/>
    <n v="16367.78"/>
    <n v="5544.4839999999986"/>
    <n v="5544.48"/>
    <n v="0.25303095162251632"/>
    <s v="Pending"/>
    <x v="1"/>
  </r>
  <r>
    <s v="ORD-2024-10868"/>
    <s v="Unique"/>
    <x v="3"/>
    <n v="2024"/>
    <d v="2024-11-21T00:00:00"/>
    <d v="2024-11-22T00:00:00"/>
    <n v="1"/>
    <s v="Valid"/>
    <s v="CUST-2328"/>
    <s v="Rahul Verma"/>
    <x v="3"/>
    <x v="2"/>
    <s v="Andhra Pradesh"/>
    <m/>
    <x v="2"/>
    <x v="5"/>
    <s v="Eco Accessories 389"/>
    <x v="1"/>
    <n v="6"/>
    <n v="1043.49"/>
    <n v="4695.7049999999999"/>
    <n v="0.25"/>
    <n v="0.25"/>
    <s v="Valid"/>
    <s v="Clean"/>
    <n v="4695.7"/>
    <n v="3871.69"/>
    <n v="824.01499999999987"/>
    <n v="824.01"/>
    <n v="0.17548182379623911"/>
    <s v="Failed"/>
    <x v="1"/>
  </r>
  <r>
    <s v="ORD-2025-10869"/>
    <s v="Unique"/>
    <x v="5"/>
    <n v="2025"/>
    <d v="2025-04-11T00:00:00"/>
    <d v="2025-04-15T00:00:00"/>
    <n v="4"/>
    <s v="Valid"/>
    <s v="CUST-8483"/>
    <s v="Vikram Iyer"/>
    <x v="3"/>
    <x v="2"/>
    <s v="Karnataka"/>
    <m/>
    <x v="0"/>
    <x v="8"/>
    <s v="Elite Storage 187"/>
    <x v="1"/>
    <n v="9"/>
    <n v="224.94"/>
    <n v="1923.2369999999999"/>
    <n v="0.05"/>
    <n v="0.05"/>
    <s v="Valid"/>
    <s v="Clean"/>
    <n v="1923.24"/>
    <n v="1093.6600000000001"/>
    <n v="829.57699999999977"/>
    <n v="829.58"/>
    <n v="0.43134502194213931"/>
    <s v="Paid"/>
    <x v="0"/>
  </r>
  <r>
    <s v="ORD-2025-10870"/>
    <s v="Unique"/>
    <x v="11"/>
    <n v="2025"/>
    <d v="2025-03-06T00:00:00"/>
    <d v="2025-03-07T00:00:00"/>
    <n v="1"/>
    <s v="Valid"/>
    <s v="CUST-2388"/>
    <s v="Rohan Mehta"/>
    <x v="3"/>
    <x v="4"/>
    <s v="Delhi"/>
    <m/>
    <x v="1"/>
    <x v="4"/>
    <s v="Max Chairs 487"/>
    <x v="1"/>
    <n v="6"/>
    <n v="796.65"/>
    <n v="4301.91"/>
    <n v="0.1"/>
    <n v="0.1"/>
    <s v="Valid"/>
    <s v="Clean"/>
    <n v="4301.91"/>
    <n v="2374.4"/>
    <n v="1927.5099999999998"/>
    <n v="1927.51"/>
    <n v="0.4480591179266884"/>
    <s v="Paid"/>
    <x v="0"/>
  </r>
  <r>
    <s v="ORD-2025-10871"/>
    <s v="Unique"/>
    <x v="2"/>
    <n v="2025"/>
    <d v="2025-06-06T00:00:00"/>
    <d v="2025-06-07T00:00:00"/>
    <n v="1"/>
    <s v="Valid"/>
    <s v="CUST-7054"/>
    <s v="Vikram Iyer"/>
    <x v="2"/>
    <x v="3"/>
    <s v="Goa"/>
    <m/>
    <x v="1"/>
    <x v="1"/>
    <s v="Max Tables 281"/>
    <x v="3"/>
    <n v="9"/>
    <n v="2932.92"/>
    <n v="22436.838"/>
    <n v="0.15"/>
    <n v="0.15"/>
    <s v="Valid"/>
    <s v="Clean"/>
    <n v="22436.84"/>
    <n v="17454.669999999998"/>
    <n v="4982.1680000000015"/>
    <n v="4982.17"/>
    <n v="0.22205310551753277"/>
    <s v="Paid"/>
    <x v="1"/>
  </r>
  <r>
    <s v="ORD-2024-10872"/>
    <s v="Unique"/>
    <x v="6"/>
    <n v="2024"/>
    <d v="2024-02-20T00:00:00"/>
    <d v="2024-02-22T00:00:00"/>
    <n v="2"/>
    <s v="Valid"/>
    <s v="CUST-4375"/>
    <s v="Neha Gupta"/>
    <x v="1"/>
    <x v="2"/>
    <s v="Telangana"/>
    <m/>
    <x v="2"/>
    <x v="5"/>
    <s v="Pro Accessories 325"/>
    <x v="2"/>
    <n v="9"/>
    <n v="2186.23"/>
    <n v="19676.07"/>
    <n v="0"/>
    <n v="0"/>
    <s v="Valid"/>
    <s v="Clean"/>
    <n v="19676.07"/>
    <n v="12458.62"/>
    <n v="7217.4499999999989"/>
    <n v="7217.45"/>
    <n v="0.36681359641432459"/>
    <s v="Refunded"/>
    <x v="1"/>
  </r>
  <r>
    <s v="ORD-2024-10873"/>
    <s v="Unique"/>
    <x v="3"/>
    <n v="2024"/>
    <d v="2024-11-01T00:00:00"/>
    <d v="2024-11-02T00:00:00"/>
    <n v="1"/>
    <s v="Valid"/>
    <s v="CUST-6262"/>
    <s v="Karan Malhotra"/>
    <x v="2"/>
    <x v="1"/>
    <s v="West Bengal"/>
    <m/>
    <x v="1"/>
    <x v="3"/>
    <s v="Prime Furnishings 178"/>
    <x v="3"/>
    <n v="5"/>
    <n v="2212.02"/>
    <n v="8848.08"/>
    <n v="0.2"/>
    <n v="0.2"/>
    <s v="Valid"/>
    <s v="Clean"/>
    <n v="8848.08"/>
    <n v="5691.56"/>
    <n v="3156.5199999999995"/>
    <n v="3156.52"/>
    <n v="0.35674632236598225"/>
    <s v="Paid"/>
    <x v="0"/>
  </r>
  <r>
    <s v="ORD-2025-10874"/>
    <s v="Unique"/>
    <x v="6"/>
    <n v="2025"/>
    <d v="2025-02-01T00:00:00"/>
    <d v="2025-02-08T00:00:00"/>
    <n v="7"/>
    <s v="Valid"/>
    <s v="CUST-8160"/>
    <s v="Aditi Sen"/>
    <x v="3"/>
    <x v="3"/>
    <s v="Gujarat"/>
    <m/>
    <x v="0"/>
    <x v="8"/>
    <s v="Elite Storage 144"/>
    <x v="0"/>
    <n v="8"/>
    <n v="623.30999999999995"/>
    <n v="4487.8319999999994"/>
    <n v="0.1"/>
    <n v="0.1"/>
    <s v="Valid"/>
    <s v="Clean"/>
    <n v="4487.83"/>
    <n v="2633.78"/>
    <n v="1854.0519999999992"/>
    <n v="1854.05"/>
    <n v="0.4131283939008385"/>
    <s v="Paid"/>
    <x v="0"/>
  </r>
  <r>
    <s v="ORD-2025-10875"/>
    <s v="Unique"/>
    <x v="0"/>
    <n v="2025"/>
    <d v="2025-07-15T00:00:00"/>
    <d v="2025-07-16T00:00:00"/>
    <n v="1"/>
    <s v="Valid"/>
    <s v="CUST-8770"/>
    <s v="Vikram Iyer"/>
    <x v="1"/>
    <x v="3"/>
    <s v="Maharashtra"/>
    <m/>
    <x v="0"/>
    <x v="0"/>
    <s v="Elite Paper 309"/>
    <x v="3"/>
    <n v="8"/>
    <n v="3924.88"/>
    <n v="29829.088"/>
    <n v="0.05"/>
    <n v="0.05"/>
    <s v="Valid"/>
    <s v="Clean"/>
    <n v="29829.09"/>
    <n v="20710.18"/>
    <n v="9118.9079999999994"/>
    <n v="9118.91"/>
    <n v="0.30570526958750671"/>
    <s v="Paid"/>
    <x v="0"/>
  </r>
  <r>
    <s v="ORD-2024-10876"/>
    <s v="Unique"/>
    <x v="1"/>
    <n v="2024"/>
    <d v="2024-08-10T00:00:00"/>
    <d v="2024-08-11T00:00:00"/>
    <n v="1"/>
    <s v="Valid"/>
    <s v="CUST-6928"/>
    <s v="Mira Das"/>
    <x v="2"/>
    <x v="3"/>
    <s v="Maharashtra"/>
    <m/>
    <x v="2"/>
    <x v="6"/>
    <s v="Elite Copiers 752"/>
    <x v="2"/>
    <n v="7"/>
    <n v="3852.62"/>
    <n v="21574.672000000002"/>
    <n v="0.2"/>
    <n v="0.2"/>
    <s v="Valid"/>
    <s v="Clean"/>
    <n v="21574.67"/>
    <n v="14672.83"/>
    <n v="6901.8420000000024"/>
    <n v="6901.84"/>
    <n v="0.31990477722254851"/>
    <s v="Paid"/>
    <x v="0"/>
  </r>
  <r>
    <s v="ORD-2024-10877"/>
    <s v="Unique"/>
    <x v="3"/>
    <n v="2024"/>
    <d v="2024-11-18T00:00:00"/>
    <d v="2024-11-20T00:00:00"/>
    <n v="2"/>
    <s v="Valid"/>
    <s v="CUST-9044"/>
    <s v="Priya Menon"/>
    <x v="0"/>
    <x v="3"/>
    <s v="Rajasthan"/>
    <m/>
    <x v="1"/>
    <x v="4"/>
    <s v="Pro Chairs 316"/>
    <x v="2"/>
    <n v="6"/>
    <n v="3790.22"/>
    <n v="22741.32"/>
    <n v="0"/>
    <n v="0"/>
    <s v="Valid"/>
    <s v="Clean"/>
    <n v="22741.32"/>
    <n v="16388.57"/>
    <n v="6352.75"/>
    <n v="6352.75"/>
    <n v="0.27934834037777928"/>
    <s v="Paid"/>
    <x v="0"/>
  </r>
  <r>
    <s v="ORD-2025-10878"/>
    <s v="Unique"/>
    <x v="1"/>
    <n v="2025"/>
    <d v="2025-08-26T00:00:00"/>
    <d v="2025-09-03T00:00:00"/>
    <n v="8"/>
    <s v="Valid"/>
    <s v="CUST-7146"/>
    <s v="Aarav Sharma"/>
    <x v="0"/>
    <x v="3"/>
    <s v="Rajasthan"/>
    <m/>
    <x v="0"/>
    <x v="8"/>
    <s v="Max Storage 438"/>
    <x v="0"/>
    <n v="6"/>
    <n v="674.36"/>
    <n v="3641.5439999999999"/>
    <n v="0.1"/>
    <n v="0.1"/>
    <s v="Valid"/>
    <s v="Clean"/>
    <n v="3641.54"/>
    <n v="2690.37"/>
    <n v="951.17399999999998"/>
    <n v="951.17"/>
    <n v="0.26119993189694468"/>
    <s v="Paid"/>
    <x v="0"/>
  </r>
  <r>
    <s v="ORD-2024-10879"/>
    <s v="Unique"/>
    <x v="10"/>
    <n v="2024"/>
    <d v="2024-01-22T00:00:00"/>
    <d v="2024-01-22T00:00:00"/>
    <n v="0"/>
    <s v="Valid"/>
    <s v="CUST-8534"/>
    <s v="Karan Malhotra"/>
    <x v="2"/>
    <x v="1"/>
    <s v="West Bengal"/>
    <m/>
    <x v="0"/>
    <x v="0"/>
    <s v="Basic Paper 904"/>
    <x v="2"/>
    <n v="8"/>
    <n v="1557.21"/>
    <n v="11834.796"/>
    <n v="0.05"/>
    <n v="0.05"/>
    <s v="Valid"/>
    <s v="Clean"/>
    <n v="11834.8"/>
    <n v="9322.36"/>
    <n v="2512.4359999999997"/>
    <n v="2512.44"/>
    <n v="0.21229256092202659"/>
    <s v="Paid"/>
    <x v="0"/>
  </r>
  <r>
    <s v="ORD-2025-10880"/>
    <s v="Unique"/>
    <x v="1"/>
    <n v="2025"/>
    <d v="2025-08-27T00:00:00"/>
    <d v="2025-08-28T00:00:00"/>
    <n v="1"/>
    <s v="Valid"/>
    <s v="CUST-4486"/>
    <s v="Ananya Rao"/>
    <x v="3"/>
    <x v="0"/>
    <s v="Uttar Pradesh"/>
    <m/>
    <x v="0"/>
    <x v="2"/>
    <s v="Smart Art 990"/>
    <x v="3"/>
    <n v="6"/>
    <n v="1182.03"/>
    <n v="6028.3530000000001"/>
    <n v="0.15"/>
    <n v="0.15"/>
    <s v="Valid"/>
    <s v="Clean"/>
    <n v="6028.35"/>
    <n v="4433.63"/>
    <n v="1594.723"/>
    <n v="1594.72"/>
    <n v="0.2645367306145131"/>
    <s v="Paid"/>
    <x v="0"/>
  </r>
  <r>
    <s v="ORD-2024-10881"/>
    <s v="Unique"/>
    <x v="11"/>
    <n v="2024"/>
    <d v="2024-03-08T00:00:00"/>
    <d v="2024-03-15T00:00:00"/>
    <n v="7"/>
    <s v="Valid"/>
    <s v="CUST-5287"/>
    <s v="Aarav Sharma"/>
    <x v="1"/>
    <x v="4"/>
    <s v="Punjab"/>
    <m/>
    <x v="1"/>
    <x v="4"/>
    <s v="Basic Chairs 327"/>
    <x v="2"/>
    <n v="5"/>
    <n v="3234.77"/>
    <n v="16173.85"/>
    <n v="0"/>
    <n v="0"/>
    <s v="Valid"/>
    <s v="Clean"/>
    <n v="16173.85"/>
    <n v="13636.34"/>
    <n v="2537.5100000000002"/>
    <n v="2537.5100000000002"/>
    <n v="0.15688967067210344"/>
    <s v="Paid"/>
    <x v="0"/>
  </r>
  <r>
    <s v="ORD-2024-10882"/>
    <s v="Unique"/>
    <x v="8"/>
    <n v="2024"/>
    <d v="2024-12-01T00:00:00"/>
    <d v="2024-12-05T00:00:00"/>
    <n v="4"/>
    <s v="Valid"/>
    <s v="CUST-3445"/>
    <s v="Ananya Rao"/>
    <x v="1"/>
    <x v="2"/>
    <s v="Andhra Pradesh"/>
    <m/>
    <x v="2"/>
    <x v="6"/>
    <s v="Eco Copiers 987"/>
    <x v="0"/>
    <n v="9"/>
    <n v="3726.75"/>
    <n v="25155.5625"/>
    <n v="0.25"/>
    <n v="0.25"/>
    <s v="Valid"/>
    <s v="Clean"/>
    <n v="25155.56"/>
    <n v="17592.689999999999"/>
    <n v="7562.8725000000013"/>
    <n v="7562.87"/>
    <n v="0.30064407232436885"/>
    <s v="Paid"/>
    <x v="0"/>
  </r>
  <r>
    <s v="ORD-2025-10883"/>
    <s v="Unique"/>
    <x v="6"/>
    <n v="2025"/>
    <d v="2025-02-02T00:00:00"/>
    <d v="2025-02-10T00:00:00"/>
    <n v="8"/>
    <s v="Valid"/>
    <s v="CUST-4983"/>
    <s v="Sneha Kapoor"/>
    <x v="2"/>
    <x v="1"/>
    <s v="Bihar"/>
    <m/>
    <x v="2"/>
    <x v="5"/>
    <s v="Basic Accessories 607"/>
    <x v="3"/>
    <n v="4"/>
    <n v="1912.45"/>
    <n v="7649.8"/>
    <n v="0"/>
    <n v="0"/>
    <s v="Valid"/>
    <s v="Clean"/>
    <n v="7649.8"/>
    <n v="4894.53"/>
    <n v="2755.2700000000004"/>
    <n v="2755.27"/>
    <n v="0.36017542942299147"/>
    <s v="Pending"/>
    <x v="2"/>
  </r>
  <r>
    <s v="ORD-2025-10884"/>
    <s v="Unique"/>
    <x v="5"/>
    <n v="2025"/>
    <d v="2025-04-28T00:00:00"/>
    <d v="2025-05-01T00:00:00"/>
    <n v="3"/>
    <s v="Valid"/>
    <s v="CUST-2597"/>
    <s v="Aarav Sharma"/>
    <x v="1"/>
    <x v="3"/>
    <s v="Goa"/>
    <m/>
    <x v="0"/>
    <x v="8"/>
    <s v="Classic Storage 211"/>
    <x v="1"/>
    <n v="1"/>
    <n v="1620.87"/>
    <n v="1620.87"/>
    <n v="0"/>
    <n v="0"/>
    <s v="Valid"/>
    <s v="Clean"/>
    <n v="1620.87"/>
    <n v="1103.6099999999999"/>
    <n v="517.26"/>
    <n v="517.26"/>
    <n v="0.31912491439782342"/>
    <s v="Paid"/>
    <x v="0"/>
  </r>
  <r>
    <s v="ORD-2025-10885"/>
    <s v="Unique"/>
    <x v="10"/>
    <n v="2025"/>
    <d v="2025-01-18T00:00:00"/>
    <d v="2025-01-25T00:00:00"/>
    <n v="7"/>
    <s v="Valid"/>
    <s v="CUST-7505"/>
    <s v="Neha Gupta"/>
    <x v="3"/>
    <x v="2"/>
    <s v="Karnataka"/>
    <m/>
    <x v="0"/>
    <x v="8"/>
    <s v="Eco Storage 783"/>
    <x v="1"/>
    <n v="2"/>
    <n v="2098.54"/>
    <n v="3567.518"/>
    <n v="0.15"/>
    <n v="0.15"/>
    <s v="Valid"/>
    <s v="Clean"/>
    <n v="3567.52"/>
    <n v="2411.8000000000002"/>
    <n v="1155.7179999999998"/>
    <n v="1155.72"/>
    <n v="0.32395613759698616"/>
    <s v="Paid"/>
    <x v="0"/>
  </r>
  <r>
    <s v="ORD-2024-10886"/>
    <s v="Unique"/>
    <x v="10"/>
    <n v="2024"/>
    <d v="2024-01-05T00:00:00"/>
    <d v="2024-01-05T00:00:00"/>
    <n v="0"/>
    <s v="Valid"/>
    <s v="CUST-3446"/>
    <s v="Diya Patel"/>
    <x v="0"/>
    <x v="0"/>
    <s v="Rajasthan"/>
    <m/>
    <x v="1"/>
    <x v="1"/>
    <s v="Pro Tables 866"/>
    <x v="3"/>
    <n v="1"/>
    <n v="2167.08"/>
    <n v="1625.31"/>
    <n v="0.25"/>
    <n v="0.25"/>
    <s v="Valid"/>
    <s v="Clean"/>
    <n v="1625.31"/>
    <n v="1157.8900000000001"/>
    <n v="467.41999999999985"/>
    <n v="467.42"/>
    <n v="0.28758821394072515"/>
    <s v="Paid"/>
    <x v="0"/>
  </r>
  <r>
    <s v="ORD-2025-10887"/>
    <s v="Unique"/>
    <x v="5"/>
    <n v="2025"/>
    <d v="2025-04-26T00:00:00"/>
    <d v="2025-05-03T00:00:00"/>
    <n v="7"/>
    <s v="Valid"/>
    <s v="CUST-3549"/>
    <s v="Arjun Bose"/>
    <x v="3"/>
    <x v="2"/>
    <s v="Tamil Nadu"/>
    <m/>
    <x v="2"/>
    <x v="5"/>
    <s v="Max Accessories 541"/>
    <x v="2"/>
    <n v="7"/>
    <n v="3989.9"/>
    <n v="23739.904999999999"/>
    <n v="0.15"/>
    <n v="0.15"/>
    <s v="Valid"/>
    <s v="Clean"/>
    <n v="23739.9"/>
    <n v="17716.52"/>
    <n v="6023.3849999999984"/>
    <n v="6023.38"/>
    <n v="0.25372389942670354"/>
    <s v="Paid"/>
    <x v="1"/>
  </r>
  <r>
    <s v="ORD-2024-10888"/>
    <s v="Unique"/>
    <x v="2"/>
    <n v="2024"/>
    <d v="2024-06-12T00:00:00"/>
    <d v="2024-06-18T00:00:00"/>
    <n v="6"/>
    <s v="Valid"/>
    <s v="CUST-2795"/>
    <s v="Aarav Sharma"/>
    <x v="1"/>
    <x v="2"/>
    <s v="Andhra Pradesh"/>
    <m/>
    <x v="0"/>
    <x v="2"/>
    <s v="Prime Art 596"/>
    <x v="3"/>
    <n v="4"/>
    <n v="4176.13"/>
    <n v="16704.52"/>
    <n v="0"/>
    <n v="0"/>
    <s v="Valid"/>
    <s v="Clean"/>
    <n v="16704.52"/>
    <n v="10158.280000000001"/>
    <n v="6546.24"/>
    <n v="6546.24"/>
    <n v="0.39188435225914897"/>
    <s v="Paid"/>
    <x v="0"/>
  </r>
  <r>
    <s v="ORD-2025-10889"/>
    <s v="Unique"/>
    <x v="1"/>
    <n v="2025"/>
    <d v="2025-08-06T00:00:00"/>
    <d v="2025-08-07T00:00:00"/>
    <n v="1"/>
    <s v="Valid"/>
    <s v="CUST-1081"/>
    <s v="Rahul Verma"/>
    <x v="1"/>
    <x v="3"/>
    <s v="Maharashtra"/>
    <m/>
    <x v="0"/>
    <x v="2"/>
    <s v="Pro Art 620"/>
    <x v="3"/>
    <n v="4"/>
    <n v="3523.64"/>
    <n v="12685.103999999999"/>
    <n v="0.1"/>
    <n v="0.1"/>
    <s v="Valid"/>
    <s v="Clean"/>
    <n v="12685.1"/>
    <n v="10779.56"/>
    <n v="1905.5439999999999"/>
    <n v="1905.54"/>
    <n v="0.15021876059313682"/>
    <s v="Refunded"/>
    <x v="1"/>
  </r>
  <r>
    <s v="ORD-2025-10890"/>
    <s v="Unique"/>
    <x v="11"/>
    <n v="2025"/>
    <d v="2025-03-10T00:00:00"/>
    <d v="2025-03-11T00:00:00"/>
    <n v="1"/>
    <s v="Valid"/>
    <s v="CUST-8467"/>
    <s v="Aditi Sen"/>
    <x v="3"/>
    <x v="3"/>
    <s v="Madhya Pradesh"/>
    <m/>
    <x v="0"/>
    <x v="8"/>
    <s v="Prime Storage 806"/>
    <x v="2"/>
    <n v="2"/>
    <n v="3922.08"/>
    <n v="5883.12"/>
    <n v="0.25"/>
    <n v="0.25"/>
    <s v="Valid"/>
    <s v="Clean"/>
    <n v="5883.12"/>
    <n v="4647.91"/>
    <n v="1235.21"/>
    <n v="1235.21"/>
    <n v="0.20995832143488491"/>
    <s v="Paid"/>
    <x v="2"/>
  </r>
  <r>
    <s v="ORD-2024-10891"/>
    <s v="Unique"/>
    <x v="4"/>
    <n v="2024"/>
    <d v="2024-05-15T00:00:00"/>
    <d v="2024-05-21T00:00:00"/>
    <n v="6"/>
    <s v="Valid"/>
    <s v="CUST-3992"/>
    <s v="Karan Malhotra"/>
    <x v="0"/>
    <x v="3"/>
    <s v="Goa"/>
    <m/>
    <x v="0"/>
    <x v="8"/>
    <s v="Smart Storage 288"/>
    <x v="3"/>
    <n v="6"/>
    <n v="2909.56"/>
    <n v="13965.888000000001"/>
    <n v="0.2"/>
    <n v="0.2"/>
    <s v="Valid"/>
    <s v="Clean"/>
    <n v="13965.89"/>
    <n v="11646.12"/>
    <n v="2319.768"/>
    <n v="2319.77"/>
    <n v="0.16610255415157932"/>
    <s v="Paid"/>
    <x v="0"/>
  </r>
  <r>
    <s v="ORD-2024-10892"/>
    <s v="Unique"/>
    <x v="9"/>
    <n v="2024"/>
    <d v="2024-10-08T00:00:00"/>
    <d v="2024-10-09T00:00:00"/>
    <n v="1"/>
    <s v="Valid"/>
    <s v="CUST-6647"/>
    <s v="Kabir Singh"/>
    <x v="2"/>
    <x v="2"/>
    <s v="Tamil Nadu"/>
    <m/>
    <x v="2"/>
    <x v="12"/>
    <s v="Elite Machines 281"/>
    <x v="1"/>
    <n v="5"/>
    <n v="2407.9699999999998"/>
    <n v="10835.865"/>
    <n v="0.1"/>
    <n v="0.1"/>
    <s v="Valid"/>
    <s v="Clean"/>
    <n v="10835.86"/>
    <n v="6419.92"/>
    <n v="4415.9449999999997"/>
    <n v="4415.9399999999996"/>
    <n v="0.40753018219135345"/>
    <s v="Failed"/>
    <x v="1"/>
  </r>
  <r>
    <s v="ORD-2025-10893"/>
    <s v="Unique"/>
    <x v="5"/>
    <n v="2025"/>
    <d v="2025-04-12T00:00:00"/>
    <d v="2025-04-18T00:00:00"/>
    <n v="6"/>
    <s v="Valid"/>
    <s v="CUST-5087"/>
    <s v="Isha Nair"/>
    <x v="1"/>
    <x v="1"/>
    <s v="Jharkhand"/>
    <m/>
    <x v="2"/>
    <x v="6"/>
    <s v="Elite Copiers 221"/>
    <x v="1"/>
    <n v="1"/>
    <n v="726.89"/>
    <n v="581.51200000000006"/>
    <n v="0.2"/>
    <n v="0.2"/>
    <s v="Valid"/>
    <s v="Clean"/>
    <n v="581.51"/>
    <n v="423.86"/>
    <n v="157.65200000000004"/>
    <n v="157.65"/>
    <n v="0.27110453818506991"/>
    <s v="Paid"/>
    <x v="0"/>
  </r>
  <r>
    <s v="ORD-2024-10894"/>
    <s v="Unique"/>
    <x v="2"/>
    <n v="2024"/>
    <d v="2024-06-06T00:00:00"/>
    <d v="2024-06-08T00:00:00"/>
    <n v="2"/>
    <s v="Valid"/>
    <s v="CUST-9297"/>
    <s v="Aarav Sharma"/>
    <x v="2"/>
    <x v="2"/>
    <s v="Karnataka"/>
    <m/>
    <x v="1"/>
    <x v="1"/>
    <s v="Max Tables 291"/>
    <x v="0"/>
    <n v="3"/>
    <n v="395.49"/>
    <n v="1127.1465000000001"/>
    <n v="0.05"/>
    <n v="0.05"/>
    <s v="Valid"/>
    <s v="Clean"/>
    <n v="1127.1500000000001"/>
    <n v="845.62"/>
    <n v="281.52650000000006"/>
    <n v="281.52999999999997"/>
    <n v="0.24977154770882309"/>
    <s v="Paid"/>
    <x v="2"/>
  </r>
  <r>
    <s v="ORD-2024-10895"/>
    <s v="Unique"/>
    <x v="6"/>
    <n v="2024"/>
    <d v="2024-02-22T00:00:00"/>
    <d v="2024-02-29T00:00:00"/>
    <n v="7"/>
    <s v="Valid"/>
    <s v="CUST-7996"/>
    <s v="Isha Nair"/>
    <x v="3"/>
    <x v="2"/>
    <s v="Telangana"/>
    <m/>
    <x v="1"/>
    <x v="1"/>
    <s v="Classic Tables 638"/>
    <x v="2"/>
    <n v="6"/>
    <n v="4254.05"/>
    <n v="25524.300000000003"/>
    <n v="0"/>
    <n v="0"/>
    <s v="Valid"/>
    <s v="Clean"/>
    <n v="25524.3"/>
    <n v="16711.93"/>
    <n v="8812.3700000000026"/>
    <n v="8812.3700000000008"/>
    <n v="0.34525413037771852"/>
    <s v="Paid"/>
    <x v="0"/>
  </r>
  <r>
    <s v="ORD-2024-10896"/>
    <s v="Unique"/>
    <x v="3"/>
    <n v="2024"/>
    <d v="2024-11-05T00:00:00"/>
    <d v="2024-11-10T00:00:00"/>
    <n v="5"/>
    <s v="Valid"/>
    <s v="CUST-4117"/>
    <s v="Arjun Bose"/>
    <x v="0"/>
    <x v="2"/>
    <s v="Kerala"/>
    <m/>
    <x v="1"/>
    <x v="4"/>
    <s v="Basic Chairs 212"/>
    <x v="1"/>
    <n v="4"/>
    <n v="711.18"/>
    <n v="2418.0119999999997"/>
    <n v="0.15"/>
    <n v="0.15"/>
    <s v="Valid"/>
    <s v="Clean"/>
    <n v="2418.0100000000002"/>
    <n v="1441.89"/>
    <n v="976.12199999999962"/>
    <n v="976.12"/>
    <n v="0.40368732966364901"/>
    <s v="Pending"/>
    <x v="2"/>
  </r>
  <r>
    <s v="ORD-2024-10897"/>
    <s v="Unique"/>
    <x v="8"/>
    <n v="2024"/>
    <d v="2024-12-24T00:00:00"/>
    <d v="2024-12-25T00:00:00"/>
    <n v="1"/>
    <s v="Valid"/>
    <s v="CUST-4848"/>
    <s v="Ananya Rao"/>
    <x v="1"/>
    <x v="2"/>
    <s v="Tamil Nadu"/>
    <m/>
    <x v="2"/>
    <x v="6"/>
    <s v="Max Copiers 121"/>
    <x v="0"/>
    <n v="1"/>
    <n v="3693.03"/>
    <n v="3508.3784999999998"/>
    <n v="0.05"/>
    <n v="0.05"/>
    <s v="Valid"/>
    <s v="Clean"/>
    <n v="3508.38"/>
    <n v="2828.06"/>
    <n v="680.31849999999986"/>
    <n v="680.32"/>
    <n v="0.19391286006646943"/>
    <s v="Failed"/>
    <x v="2"/>
  </r>
  <r>
    <s v="ORD-2025-10898"/>
    <s v="Unique"/>
    <x v="5"/>
    <n v="2025"/>
    <d v="2025-04-29T00:00:00"/>
    <d v="2025-05-03T00:00:00"/>
    <n v="4"/>
    <s v="Valid"/>
    <s v="CUST-2897"/>
    <s v="Rohan Mehta"/>
    <x v="2"/>
    <x v="0"/>
    <s v="Haryana"/>
    <m/>
    <x v="0"/>
    <x v="0"/>
    <s v="Eco Paper 747"/>
    <x v="2"/>
    <n v="4"/>
    <n v="1786.65"/>
    <n v="6789.27"/>
    <n v="0.05"/>
    <n v="0.05"/>
    <s v="Valid"/>
    <s v="Clean"/>
    <n v="6789.27"/>
    <n v="5626.43"/>
    <n v="1162.8400000000001"/>
    <n v="1162.8399999999999"/>
    <n v="0.17127614603631905"/>
    <s v="Paid"/>
    <x v="0"/>
  </r>
  <r>
    <s v="ORD-2024-10899"/>
    <s v="Unique"/>
    <x v="2"/>
    <n v="2024"/>
    <d v="2024-06-02T00:00:00"/>
    <d v="2024-06-08T00:00:00"/>
    <n v="6"/>
    <s v="Valid"/>
    <s v="CUST-6046"/>
    <s v="Vikram Iyer"/>
    <x v="0"/>
    <x v="0"/>
    <s v="Delhi"/>
    <m/>
    <x v="1"/>
    <x v="1"/>
    <s v="Classic Tables 535"/>
    <x v="2"/>
    <n v="4"/>
    <n v="1536.7"/>
    <n v="4917.4400000000005"/>
    <n v="0.2"/>
    <n v="0.2"/>
    <s v="Valid"/>
    <s v="Clean"/>
    <n v="4917.4399999999996"/>
    <n v="3846.77"/>
    <n v="1070.6700000000005"/>
    <n v="1070.67"/>
    <n v="0.21772914361944429"/>
    <s v="Paid"/>
    <x v="0"/>
  </r>
  <r>
    <s v="ORD-2025-10900"/>
    <s v="Unique"/>
    <x v="4"/>
    <n v="2025"/>
    <d v="2025-05-27T00:00:00"/>
    <d v="2025-06-03T00:00:00"/>
    <n v="7"/>
    <s v="Valid"/>
    <s v="CUST-3789"/>
    <s v="Karan Malhotra"/>
    <x v="0"/>
    <x v="0"/>
    <s v="Punjab"/>
    <m/>
    <x v="1"/>
    <x v="4"/>
    <s v="Elite Chairs 971"/>
    <x v="2"/>
    <n v="5"/>
    <n v="881.08"/>
    <n v="3304.05"/>
    <n v="0.25"/>
    <n v="0.25"/>
    <s v="Valid"/>
    <s v="Clean"/>
    <n v="3304.05"/>
    <n v="2279.41"/>
    <n v="1024.6400000000003"/>
    <n v="1024.6400000000001"/>
    <n v="0.3101163723309272"/>
    <s v="Failed"/>
    <x v="1"/>
  </r>
  <r>
    <s v="ORD-2025-10007"/>
    <s v="Duplicate Order ID"/>
    <x v="5"/>
    <n v="2025"/>
    <d v="2025-04-10T00:00:00"/>
    <d v="2025-04-16T00:00:00"/>
    <n v="6"/>
    <s v="Valid"/>
    <s v="CUST-3656"/>
    <s v="Neha Gupta"/>
    <x v="0"/>
    <x v="1"/>
    <s v="Odisha"/>
    <m/>
    <x v="2"/>
    <x v="6"/>
    <s v="Eco Copiers 790"/>
    <x v="3"/>
    <n v="4"/>
    <n v="1719.87"/>
    <n v="5847.5579999999991"/>
    <n v="0.15"/>
    <n v="0.15"/>
    <s v="Valid"/>
    <s v="Clean"/>
    <n v="5847.56"/>
    <n v="4727.25"/>
    <n v="1120.3079999999991"/>
    <n v="1120.31"/>
    <n v="0.19158589223539388"/>
    <s v="Paid"/>
    <x v="0"/>
  </r>
  <r>
    <s v="ORD-2024-10332"/>
    <s v="Duplicate Order ID"/>
    <x v="8"/>
    <n v="2024"/>
    <d v="2024-12-04T00:00:00"/>
    <d v="2024-12-06T00:00:00"/>
    <n v="2"/>
    <s v="Valid"/>
    <s v="CUST-9346"/>
    <s v="Sneha Kapoor"/>
    <x v="3"/>
    <x v="1"/>
    <s v="Odisha"/>
    <m/>
    <x v="0"/>
    <x v="9"/>
    <s v="Smart Binders 939"/>
    <x v="0"/>
    <n v="4"/>
    <n v="2685.66"/>
    <n v="10742.64"/>
    <n v="0"/>
    <n v="0"/>
    <s v="Valid"/>
    <s v="Clean"/>
    <n v="10989.89"/>
    <n v="6477.37"/>
    <n v="4265.2699999999995"/>
    <n v="4265.2700000000004"/>
    <n v="0.38810852519906941"/>
    <s v="Paid"/>
    <x v="0"/>
  </r>
  <r>
    <s v="ORD-2025-10091"/>
    <s v="Duplicate Order ID"/>
    <x v="1"/>
    <n v="2025"/>
    <d v="2025-08-24T00:00:00"/>
    <d v="2025-08-29T00:00:00"/>
    <n v="5"/>
    <s v="Valid"/>
    <s v="CUST-5909"/>
    <s v="Aarav Sharma"/>
    <x v="1"/>
    <x v="1"/>
    <s v="Bihar"/>
    <m/>
    <x v="2"/>
    <x v="6"/>
    <s v="Smart Copiers 556"/>
    <x v="2"/>
    <n v="3"/>
    <n v="3703.96"/>
    <n v="9445.098"/>
    <n v="0.15"/>
    <n v="0.15"/>
    <s v="Valid"/>
    <s v="Clean"/>
    <n v="9549.44"/>
    <n v="5586.28"/>
    <n v="3858.8180000000002"/>
    <n v="3858.82"/>
    <n v="0.40408861671469742"/>
    <s v="Paid"/>
    <x v="2"/>
  </r>
  <r>
    <s v="ORD-2025-10374"/>
    <s v="Duplicate Order ID"/>
    <x v="5"/>
    <n v="2025"/>
    <d v="2025-04-13T00:00:00"/>
    <d v="2025-04-13T00:00:00"/>
    <n v="0"/>
    <s v="Valid"/>
    <s v="CUST-8566"/>
    <s v="Sneha Kapoor"/>
    <x v="1"/>
    <x v="0"/>
    <s v="Uttar Pradesh"/>
    <m/>
    <x v="0"/>
    <x v="8"/>
    <s v="Prime Storage 951"/>
    <x v="0"/>
    <n v="9"/>
    <n v="1118.68"/>
    <n v="10068.120000000001"/>
    <n v="0"/>
    <n v="0"/>
    <s v="Valid"/>
    <s v="Clean"/>
    <n v="10348.43"/>
    <n v="8595.3700000000008"/>
    <n v="1472.75"/>
    <n v="1472.75"/>
    <n v="0.14231627406282885"/>
    <s v="Paid"/>
    <x v="2"/>
  </r>
  <r>
    <s v="ORD-2025-10225"/>
    <s v="Duplicate Order ID"/>
    <x v="9"/>
    <n v="2025"/>
    <d v="2025-10-02T00:00:00"/>
    <d v="2025-10-08T00:00:00"/>
    <n v="6"/>
    <s v="Valid"/>
    <s v="CUST-9871"/>
    <s v="Isha Nair"/>
    <x v="1"/>
    <x v="0"/>
    <s v="Punjab"/>
    <m/>
    <x v="1"/>
    <x v="3"/>
    <s v="Classic Furnishings 109"/>
    <x v="3"/>
    <n v="4"/>
    <n v="3944.64"/>
    <n v="11833.92"/>
    <n v="0.25"/>
    <n v="0.25"/>
    <s v="Valid"/>
    <s v="Clean"/>
    <n v="12116.89"/>
    <n v="6682.92"/>
    <n v="5151"/>
    <n v="5151"/>
    <n v="0.42510908327136748"/>
    <s v="Paid"/>
    <x v="2"/>
  </r>
  <r>
    <s v="ORD-2025-10315"/>
    <s v="Duplicate Order ID"/>
    <x v="4"/>
    <n v="2025"/>
    <d v="2025-05-18T00:00:00"/>
    <d v="2025-05-20T00:00:00"/>
    <n v="2"/>
    <s v="Valid"/>
    <s v="CUST-1945"/>
    <s v="Isha Nair"/>
    <x v="2"/>
    <x v="3"/>
    <s v="Madhya Pradesh"/>
    <m/>
    <x v="0"/>
    <x v="7"/>
    <s v="Elite Labels 544"/>
    <x v="3"/>
    <n v="9"/>
    <n v="847.76"/>
    <n v="6485.3639999999996"/>
    <n v="0.15"/>
    <n v="0.15"/>
    <s v="Valid"/>
    <s v="Clean"/>
    <n v="6589.37"/>
    <n v="5376.17"/>
    <n v="1109.1939999999995"/>
    <n v="1109.19"/>
    <n v="0.16833020455673306"/>
    <s v="Failed"/>
    <x v="0"/>
  </r>
  <r>
    <s v="ORD-2025-10171"/>
    <s v="Duplicate Order ID"/>
    <x v="7"/>
    <n v="2025"/>
    <d v="2025-09-07T00:00:00"/>
    <d v="2025-09-15T00:00:00"/>
    <n v="8"/>
    <s v="Valid"/>
    <s v="CUST-3734"/>
    <s v="Rohan Mehta"/>
    <x v="2"/>
    <x v="1"/>
    <s v="Bihar"/>
    <m/>
    <x v="2"/>
    <x v="6"/>
    <s v="Eco Copiers 102"/>
    <x v="3"/>
    <n v="3"/>
    <n v="1711.32"/>
    <n v="5133.96"/>
    <n v="0"/>
    <n v="0"/>
    <s v="Valid"/>
    <s v="Clean"/>
    <n v="5206.53"/>
    <n v="3930"/>
    <n v="1203.96"/>
    <n v="1203.96"/>
    <n v="0.23124038467078845"/>
    <s v="Paid"/>
    <x v="2"/>
  </r>
  <r>
    <s v="ORD-2024-10424"/>
    <s v="Duplicate Order ID"/>
    <x v="6"/>
    <n v="2024"/>
    <d v="2024-02-20T00:00:00"/>
    <d v="2024-02-27T00:00:00"/>
    <n v="7"/>
    <s v="Valid"/>
    <s v="CUST-6169"/>
    <s v="Diya Patel"/>
    <x v="0"/>
    <x v="2"/>
    <s v="Kerala"/>
    <m/>
    <x v="2"/>
    <x v="5"/>
    <s v="Prime Accessories 236"/>
    <x v="2"/>
    <n v="9"/>
    <n v="3779.31"/>
    <n v="27211.032000000003"/>
    <n v="0.2"/>
    <n v="0.2"/>
    <s v="Valid"/>
    <s v="Clean"/>
    <n v="27322.9"/>
    <n v="17940.43"/>
    <n v="9270.6020000000026"/>
    <n v="9270.6"/>
    <n v="0.33929780513781482"/>
    <s v="Paid"/>
    <x v="2"/>
  </r>
  <r>
    <s v="ORD-2025-10572"/>
    <s v="Duplicate Order ID"/>
    <x v="6"/>
    <n v="2025"/>
    <d v="2025-02-10T00:00:00"/>
    <d v="2025-02-14T00:00:00"/>
    <n v="4"/>
    <s v="Valid"/>
    <s v="CUST-3425"/>
    <s v="Priya Menon"/>
    <x v="1"/>
    <x v="0"/>
    <s v="Uttar Pradesh"/>
    <m/>
    <x v="2"/>
    <x v="11"/>
    <s v="Prime Phones 895"/>
    <x v="4"/>
    <n v="5"/>
    <n v="4276.29"/>
    <n v="21381.45"/>
    <n v="0"/>
    <n v="0"/>
    <s v="Valid"/>
    <s v="Clean"/>
    <n v="21443.63"/>
    <n v="13240.21"/>
    <n v="8141.2400000000016"/>
    <n v="8141.24"/>
    <n v="0.37965773518755919"/>
    <s v="Failed"/>
    <x v="0"/>
  </r>
  <r>
    <s v="ORD-2024-10143"/>
    <s v="Duplicate Order ID"/>
    <x v="11"/>
    <n v="2024"/>
    <d v="2024-03-30T00:00:00"/>
    <d v="2024-03-26T00:00:00"/>
    <n v="-4"/>
    <s v="Invalid: Ship Date Before Order Date"/>
    <s v="CUST-8944"/>
    <s v="Aditi Sen"/>
    <x v="3"/>
    <x v="0"/>
    <s v="Rajasthan"/>
    <m/>
    <x v="2"/>
    <x v="11"/>
    <s v="Classic Phones 142"/>
    <x v="0"/>
    <n v="5"/>
    <n v="907.54"/>
    <n v="3857.0449999999996"/>
    <n v="0.15"/>
    <n v="0.15"/>
    <s v="Valid"/>
    <s v="Invalid"/>
    <n v="4099.6899999999996"/>
    <n v="2769.26"/>
    <n v="1087.7849999999994"/>
    <n v="1087.78"/>
    <n v="0.26533225682917488"/>
    <s v="Paid"/>
    <x v="2"/>
  </r>
  <r>
    <s v="ORD-2024-10273"/>
    <s v="Duplicate Order ID"/>
    <x v="1"/>
    <n v="2024"/>
    <d v="2024-08-18T00:00:00"/>
    <d v="2024-08-24T00:00:00"/>
    <n v="6"/>
    <s v="Valid"/>
    <s v="CUST-7389"/>
    <s v="Arjun Bose"/>
    <x v="0"/>
    <x v="2"/>
    <s v="Andhra Pradesh"/>
    <m/>
    <x v="1"/>
    <x v="4"/>
    <s v="Eco Chairs 314"/>
    <x v="2"/>
    <n v="7"/>
    <n v="557.21"/>
    <n v="3510.4230000000002"/>
    <n v="0.1"/>
    <n v="0.1"/>
    <s v="Valid"/>
    <s v="Clean"/>
    <n v="3797.79"/>
    <n v="2191.5"/>
    <n v="1318.9230000000002"/>
    <n v="1213.48"/>
    <n v="0.31952266976320443"/>
    <s v="Paid"/>
    <x v="2"/>
  </r>
  <r>
    <s v="ORD-2024-10124"/>
    <s v="Duplicate Order ID"/>
    <x v="4"/>
    <n v="2024"/>
    <d v="2024-05-24T00:00:00"/>
    <d v="2024-05-25T00:00:00"/>
    <n v="1"/>
    <s v="Valid"/>
    <s v="CUST-1007"/>
    <s v="Sneha Kapoor"/>
    <x v="1"/>
    <x v="0"/>
    <s v="Punjab"/>
    <m/>
    <x v="2"/>
    <x v="6"/>
    <s v="Max Copiers 970"/>
    <x v="1"/>
    <n v="1"/>
    <n v="634.13"/>
    <n v="634.13"/>
    <n v="0"/>
    <n v="0"/>
    <s v="Valid"/>
    <s v="Clean"/>
    <n v="808.67"/>
    <n v="453.35"/>
    <n v="180.77999999999997"/>
    <n v="180.78"/>
    <n v="0.22355225246392227"/>
    <s v="Refunded"/>
    <x v="2"/>
  </r>
  <r>
    <s v="ORD-2025-10336"/>
    <s v="Duplicate Order ID"/>
    <x v="2"/>
    <n v="2025"/>
    <d v="2025-06-16T00:00:00"/>
    <d v="2025-06-18T00:00:00"/>
    <n v="2"/>
    <s v="Valid"/>
    <s v="CUST-3621"/>
    <s v="Rahul Verma"/>
    <x v="3"/>
    <x v="3"/>
    <s v="Madhya Pradesh"/>
    <m/>
    <x v="0"/>
    <x v="0"/>
    <s v="Prime Paper 559"/>
    <x v="2"/>
    <n v="3"/>
    <n v="4289.37"/>
    <n v="11581.299000000001"/>
    <n v="0.1"/>
    <n v="0.1"/>
    <s v="Valid"/>
    <s v="Clean"/>
    <n v="11778.71"/>
    <n v="6829.43"/>
    <n v="4751.8690000000006"/>
    <n v="4751.87"/>
    <n v="0.40342872861289564"/>
    <s v="Paid"/>
    <x v="2"/>
  </r>
  <r>
    <m/>
    <m/>
    <x v="12"/>
    <m/>
    <m/>
    <m/>
    <m/>
    <m/>
    <m/>
    <m/>
    <x v="4"/>
    <x v="5"/>
    <m/>
    <m/>
    <x v="3"/>
    <x v="13"/>
    <m/>
    <x v="5"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0"/>
        <item x="2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7">
    <i>
      <x v="2"/>
    </i>
    <i>
      <x/>
    </i>
    <i>
      <x v="1"/>
    </i>
    <i>
      <x v="4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5" baseField="11" baseItem="0"/>
    <dataField name="Sum of calculated_profit" fld="27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2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19">
    <i>
      <x v="2"/>
    </i>
    <i r="1">
      <x/>
    </i>
    <i r="1">
      <x v="5"/>
    </i>
    <i r="1">
      <x v="8"/>
    </i>
    <i r="1">
      <x v="10"/>
    </i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3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5" baseField="14" baseItem="0"/>
    <dataField name="Sum of calculated_sales" fld="20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29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11" firstHeaderRow="1" firstDataRow="2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h="1" x="0"/>
        <item x="2"/>
        <item x="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1"/>
  </colFields>
  <colItems count="4">
    <i>
      <x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7" firstHeaderRow="1" firstDataRow="1" firstDataCol="1"/>
  <pivotFields count="32">
    <pivotField showAll="0"/>
    <pivotField showAll="0"/>
    <pivotField axis="axisRow" showAll="0">
      <items count="14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25" baseField="2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D20" sqref="D20"/>
    </sheetView>
  </sheetViews>
  <sheetFormatPr defaultRowHeight="14.25"/>
  <cols>
    <col min="1" max="1" width="13.125" bestFit="1" customWidth="1"/>
    <col min="2" max="2" width="12.125" customWidth="1"/>
    <col min="3" max="3" width="22.625" customWidth="1"/>
  </cols>
  <sheetData>
    <row r="3" spans="1:3">
      <c r="A3" s="14" t="s">
        <v>2802</v>
      </c>
      <c r="B3" s="2" t="s">
        <v>2820</v>
      </c>
      <c r="C3" s="2" t="s">
        <v>2821</v>
      </c>
    </row>
    <row r="4" spans="1:3">
      <c r="A4" s="15" t="s">
        <v>55</v>
      </c>
      <c r="B4" s="16">
        <v>2319638.1999999993</v>
      </c>
      <c r="C4" s="16">
        <v>622133.32900000003</v>
      </c>
    </row>
    <row r="5" spans="1:3">
      <c r="A5" s="15" t="s">
        <v>39</v>
      </c>
      <c r="B5" s="16">
        <v>2201735.34</v>
      </c>
      <c r="C5" s="16">
        <v>671548.75800000015</v>
      </c>
    </row>
    <row r="6" spans="1:3">
      <c r="A6" s="15" t="s">
        <v>26</v>
      </c>
      <c r="B6" s="16">
        <v>2166470.1099999994</v>
      </c>
      <c r="C6" s="16">
        <v>602302.65099999995</v>
      </c>
    </row>
    <row r="7" spans="1:3">
      <c r="A7" s="15" t="s">
        <v>64</v>
      </c>
      <c r="B7" s="16">
        <v>2107785.1700000013</v>
      </c>
      <c r="C7" s="16">
        <v>586249.96849999996</v>
      </c>
    </row>
    <row r="8" spans="1:3">
      <c r="A8" s="15" t="s">
        <v>2793</v>
      </c>
      <c r="B8" s="16">
        <v>289809.21000000002</v>
      </c>
      <c r="C8" s="16">
        <v>87969.722000000009</v>
      </c>
    </row>
    <row r="9" spans="1:3">
      <c r="A9" s="15" t="s">
        <v>2803</v>
      </c>
      <c r="B9" s="16"/>
      <c r="C9" s="16"/>
    </row>
    <row r="10" spans="1:3">
      <c r="A10" s="15" t="s">
        <v>2804</v>
      </c>
      <c r="B10" s="16">
        <v>9085438.0299999993</v>
      </c>
      <c r="C10" s="16">
        <v>2570204.4284999999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tabSelected="1" workbookViewId="0">
      <selection activeCell="F18" sqref="F18"/>
    </sheetView>
  </sheetViews>
  <sheetFormatPr defaultRowHeight="14.25"/>
  <cols>
    <col min="1" max="1" width="16.375" bestFit="1" customWidth="1"/>
    <col min="2" max="2" width="12.125" bestFit="1" customWidth="1"/>
    <col min="3" max="3" width="22.5" bestFit="1" customWidth="1"/>
  </cols>
  <sheetData>
    <row r="3" spans="1:3">
      <c r="A3" s="14" t="s">
        <v>2802</v>
      </c>
      <c r="B3" s="2" t="s">
        <v>2820</v>
      </c>
      <c r="C3" s="2" t="s">
        <v>2822</v>
      </c>
    </row>
    <row r="4" spans="1:3">
      <c r="A4" s="15" t="s">
        <v>75</v>
      </c>
      <c r="B4" s="16">
        <v>3173609.3199999994</v>
      </c>
      <c r="C4" s="16">
        <v>3035473.0649999999</v>
      </c>
    </row>
    <row r="5" spans="1:3">
      <c r="A5" s="17" t="s">
        <v>76</v>
      </c>
      <c r="B5" s="16">
        <v>822281.68999999959</v>
      </c>
      <c r="C5" s="16">
        <v>814006.58799999987</v>
      </c>
    </row>
    <row r="6" spans="1:3">
      <c r="A6" s="17" t="s">
        <v>81</v>
      </c>
      <c r="B6" s="16">
        <v>901137.16000000027</v>
      </c>
      <c r="C6" s="16">
        <v>884932.50450000016</v>
      </c>
    </row>
    <row r="7" spans="1:3">
      <c r="A7" s="17" t="s">
        <v>275</v>
      </c>
      <c r="B7" s="16">
        <v>652672.68999999983</v>
      </c>
      <c r="C7" s="16">
        <v>608154.79399999999</v>
      </c>
    </row>
    <row r="8" spans="1:3">
      <c r="A8" s="17" t="s">
        <v>172</v>
      </c>
      <c r="B8" s="16">
        <v>797517.77999999991</v>
      </c>
      <c r="C8" s="16">
        <v>728379.17849999992</v>
      </c>
    </row>
    <row r="9" spans="1:3">
      <c r="A9" s="15" t="s">
        <v>42</v>
      </c>
      <c r="B9" s="16">
        <v>3128366.6500000004</v>
      </c>
      <c r="C9" s="16">
        <v>3068421.4634999996</v>
      </c>
    </row>
    <row r="10" spans="1:3">
      <c r="A10" s="17" t="s">
        <v>159</v>
      </c>
      <c r="B10" s="16">
        <v>686750.93</v>
      </c>
      <c r="C10" s="16">
        <v>674054.86400000018</v>
      </c>
    </row>
    <row r="11" spans="1:3">
      <c r="A11" s="17" t="s">
        <v>67</v>
      </c>
      <c r="B11" s="16">
        <v>972075.33999999985</v>
      </c>
      <c r="C11" s="16">
        <v>955528.3629999999</v>
      </c>
    </row>
    <row r="12" spans="1:3">
      <c r="A12" s="17" t="s">
        <v>58</v>
      </c>
      <c r="B12" s="16">
        <v>789467.08000000007</v>
      </c>
      <c r="C12" s="16">
        <v>758537.73499999999</v>
      </c>
    </row>
    <row r="13" spans="1:3">
      <c r="A13" s="17" t="s">
        <v>43</v>
      </c>
      <c r="B13" s="16">
        <v>680073.3</v>
      </c>
      <c r="C13" s="16">
        <v>680300.50150000001</v>
      </c>
    </row>
    <row r="14" spans="1:3">
      <c r="A14" s="15" t="s">
        <v>29</v>
      </c>
      <c r="B14" s="16">
        <v>2783462.06</v>
      </c>
      <c r="C14" s="16">
        <v>2706586.91</v>
      </c>
    </row>
    <row r="15" spans="1:3">
      <c r="A15" s="17" t="s">
        <v>49</v>
      </c>
      <c r="B15" s="16">
        <v>580984.80000000005</v>
      </c>
      <c r="C15" s="16">
        <v>573993.35199999996</v>
      </c>
    </row>
    <row r="16" spans="1:3">
      <c r="A16" s="17" t="s">
        <v>154</v>
      </c>
      <c r="B16" s="16">
        <v>555619.29999999993</v>
      </c>
      <c r="C16" s="16">
        <v>535849.26300000004</v>
      </c>
    </row>
    <row r="17" spans="1:3">
      <c r="A17" s="17" t="s">
        <v>92</v>
      </c>
      <c r="B17" s="16">
        <v>341081.60999999993</v>
      </c>
      <c r="C17" s="16">
        <v>324196.33749999991</v>
      </c>
    </row>
    <row r="18" spans="1:3">
      <c r="A18" s="17" t="s">
        <v>30</v>
      </c>
      <c r="B18" s="16">
        <v>616740.47000000009</v>
      </c>
      <c r="C18" s="16">
        <v>607937.76549999998</v>
      </c>
    </row>
    <row r="19" spans="1:3">
      <c r="A19" s="17" t="s">
        <v>125</v>
      </c>
      <c r="B19" s="16">
        <v>689035.87999999989</v>
      </c>
      <c r="C19" s="16">
        <v>664610.19200000004</v>
      </c>
    </row>
    <row r="20" spans="1:3">
      <c r="A20" s="15" t="s">
        <v>2803</v>
      </c>
      <c r="B20" s="16"/>
      <c r="C20" s="16"/>
    </row>
    <row r="21" spans="1:3">
      <c r="A21" s="17" t="s">
        <v>2803</v>
      </c>
      <c r="B21" s="16"/>
      <c r="C21" s="16"/>
    </row>
    <row r="22" spans="1:3">
      <c r="A22" s="15" t="s">
        <v>2804</v>
      </c>
      <c r="B22" s="16">
        <v>9085438.0299999993</v>
      </c>
      <c r="C22" s="16">
        <v>8810481.4384999983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C13" sqref="C13"/>
    </sheetView>
  </sheetViews>
  <sheetFormatPr defaultRowHeight="14.25"/>
  <cols>
    <col min="1" max="1" width="13.625" bestFit="1" customWidth="1"/>
    <col min="2" max="2" width="16.625" bestFit="1" customWidth="1"/>
  </cols>
  <sheetData>
    <row r="3" spans="1:2">
      <c r="A3" s="14" t="s">
        <v>2802</v>
      </c>
      <c r="B3" t="s">
        <v>2805</v>
      </c>
    </row>
    <row r="4" spans="1:2">
      <c r="A4" s="15" t="s">
        <v>60</v>
      </c>
      <c r="B4" s="16">
        <v>243</v>
      </c>
    </row>
    <row r="5" spans="1:2">
      <c r="A5" s="15" t="s">
        <v>51</v>
      </c>
      <c r="B5" s="16">
        <v>223</v>
      </c>
    </row>
    <row r="6" spans="1:2">
      <c r="A6" s="15" t="s">
        <v>32</v>
      </c>
      <c r="B6" s="16">
        <v>222</v>
      </c>
    </row>
    <row r="7" spans="1:2">
      <c r="A7" s="15" t="s">
        <v>45</v>
      </c>
      <c r="B7" s="16">
        <v>204</v>
      </c>
    </row>
    <row r="8" spans="1:2">
      <c r="A8" s="15" t="s">
        <v>2793</v>
      </c>
      <c r="B8" s="16">
        <v>21</v>
      </c>
    </row>
    <row r="9" spans="1:2">
      <c r="A9" s="15" t="s">
        <v>2803</v>
      </c>
      <c r="B9" s="16"/>
    </row>
    <row r="10" spans="1:2">
      <c r="A10" s="15" t="s">
        <v>2804</v>
      </c>
      <c r="B10" s="16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85" zoomScaleNormal="85" workbookViewId="0">
      <selection activeCell="B4" sqref="B4"/>
    </sheetView>
  </sheetViews>
  <sheetFormatPr defaultRowHeight="14.25"/>
  <cols>
    <col min="1" max="1" width="14.125" bestFit="1" customWidth="1"/>
    <col min="2" max="2" width="23.125" bestFit="1" customWidth="1"/>
  </cols>
  <sheetData>
    <row r="3" spans="1:2">
      <c r="A3" s="14" t="s">
        <v>2802</v>
      </c>
      <c r="B3" t="s">
        <v>2806</v>
      </c>
    </row>
    <row r="4" spans="1:2">
      <c r="A4" s="15" t="s">
        <v>25</v>
      </c>
      <c r="B4" s="16">
        <v>0.30781605904703074</v>
      </c>
    </row>
    <row r="5" spans="1:2">
      <c r="A5" s="15" t="s">
        <v>91</v>
      </c>
      <c r="B5" s="16">
        <v>0.29638832198670989</v>
      </c>
    </row>
    <row r="6" spans="1:2">
      <c r="A6" s="15" t="s">
        <v>96</v>
      </c>
      <c r="B6" s="16">
        <v>0.29831960562164667</v>
      </c>
    </row>
    <row r="7" spans="1:2">
      <c r="A7" s="15" t="s">
        <v>38</v>
      </c>
      <c r="B7" s="16">
        <v>0.29888615967895826</v>
      </c>
    </row>
    <row r="8" spans="1:2">
      <c r="A8" s="15" t="s">
        <v>2803</v>
      </c>
      <c r="B8" s="16"/>
    </row>
    <row r="9" spans="1:2">
      <c r="A9" s="15" t="s">
        <v>2804</v>
      </c>
      <c r="B9" s="16">
        <v>0.30032901804096118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D18" sqref="D18"/>
    </sheetView>
  </sheetViews>
  <sheetFormatPr defaultRowHeight="14.25"/>
  <cols>
    <col min="1" max="1" width="16.625" bestFit="1" customWidth="1"/>
    <col min="2" max="2" width="16.125" customWidth="1"/>
    <col min="3" max="3" width="9.25" customWidth="1"/>
    <col min="4" max="4" width="6.875" customWidth="1"/>
    <col min="5" max="5" width="11.375" customWidth="1"/>
    <col min="6" max="6" width="11.375" bestFit="1" customWidth="1"/>
  </cols>
  <sheetData>
    <row r="3" spans="1:5">
      <c r="A3" s="14" t="s">
        <v>2805</v>
      </c>
      <c r="B3" s="14" t="s">
        <v>2807</v>
      </c>
    </row>
    <row r="4" spans="1:5">
      <c r="A4" s="14" t="s">
        <v>2802</v>
      </c>
      <c r="B4" s="2" t="s">
        <v>69</v>
      </c>
      <c r="C4" s="2" t="s">
        <v>104</v>
      </c>
      <c r="D4" s="2" t="s">
        <v>2803</v>
      </c>
      <c r="E4" s="2" t="s">
        <v>2804</v>
      </c>
    </row>
    <row r="5" spans="1:5">
      <c r="A5" s="15" t="s">
        <v>39</v>
      </c>
      <c r="B5" s="16">
        <v>30</v>
      </c>
      <c r="C5" s="16">
        <v>45</v>
      </c>
      <c r="D5" s="16"/>
      <c r="E5" s="16">
        <v>75</v>
      </c>
    </row>
    <row r="6" spans="1:5">
      <c r="A6" s="15" t="s">
        <v>26</v>
      </c>
      <c r="B6" s="16">
        <v>48</v>
      </c>
      <c r="C6" s="16">
        <v>37</v>
      </c>
      <c r="D6" s="16"/>
      <c r="E6" s="16">
        <v>85</v>
      </c>
    </row>
    <row r="7" spans="1:5">
      <c r="A7" s="15" t="s">
        <v>55</v>
      </c>
      <c r="B7" s="16">
        <v>35</v>
      </c>
      <c r="C7" s="16">
        <v>37</v>
      </c>
      <c r="D7" s="16"/>
      <c r="E7" s="16">
        <v>72</v>
      </c>
    </row>
    <row r="8" spans="1:5">
      <c r="A8" s="15" t="s">
        <v>2793</v>
      </c>
      <c r="B8" s="16">
        <v>2</v>
      </c>
      <c r="C8" s="16">
        <v>4</v>
      </c>
      <c r="D8" s="16"/>
      <c r="E8" s="16">
        <v>6</v>
      </c>
    </row>
    <row r="9" spans="1:5">
      <c r="A9" s="15" t="s">
        <v>64</v>
      </c>
      <c r="B9" s="16">
        <v>30</v>
      </c>
      <c r="C9" s="16">
        <v>40</v>
      </c>
      <c r="D9" s="16"/>
      <c r="E9" s="16">
        <v>70</v>
      </c>
    </row>
    <row r="10" spans="1:5">
      <c r="A10" s="15" t="s">
        <v>2803</v>
      </c>
      <c r="B10" s="16"/>
      <c r="C10" s="16"/>
      <c r="D10" s="16"/>
      <c r="E10" s="16"/>
    </row>
    <row r="11" spans="1:5">
      <c r="A11" s="15" t="s">
        <v>2804</v>
      </c>
      <c r="B11" s="16">
        <v>145</v>
      </c>
      <c r="C11" s="16">
        <v>163</v>
      </c>
      <c r="D11" s="16"/>
      <c r="E11" s="16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F19" sqref="F19"/>
    </sheetView>
  </sheetViews>
  <sheetFormatPr defaultRowHeight="14.25"/>
  <cols>
    <col min="1" max="1" width="13.125" bestFit="1" customWidth="1"/>
    <col min="2" max="2" width="12.125" customWidth="1"/>
  </cols>
  <sheetData>
    <row r="3" spans="1:2">
      <c r="A3" s="14" t="s">
        <v>2802</v>
      </c>
      <c r="B3" t="s">
        <v>2820</v>
      </c>
    </row>
    <row r="4" spans="1:2">
      <c r="A4" s="15" t="s">
        <v>2808</v>
      </c>
      <c r="B4" s="16">
        <v>758390.11</v>
      </c>
    </row>
    <row r="5" spans="1:2">
      <c r="A5" s="15" t="s">
        <v>2809</v>
      </c>
      <c r="B5" s="16">
        <v>1032360.9599999997</v>
      </c>
    </row>
    <row r="6" spans="1:2">
      <c r="A6" s="15" t="s">
        <v>2810</v>
      </c>
      <c r="B6" s="16">
        <v>816531.05999999994</v>
      </c>
    </row>
    <row r="7" spans="1:2">
      <c r="A7" s="15" t="s">
        <v>2811</v>
      </c>
      <c r="B7" s="16">
        <v>858311.38</v>
      </c>
    </row>
    <row r="8" spans="1:2">
      <c r="A8" s="15" t="s">
        <v>2812</v>
      </c>
      <c r="B8" s="16">
        <v>813929.27999999968</v>
      </c>
    </row>
    <row r="9" spans="1:2">
      <c r="A9" s="15" t="s">
        <v>2813</v>
      </c>
      <c r="B9" s="16">
        <v>880326.30999999982</v>
      </c>
    </row>
    <row r="10" spans="1:2">
      <c r="A10" s="15" t="s">
        <v>2814</v>
      </c>
      <c r="B10" s="16">
        <v>838045.73999999987</v>
      </c>
    </row>
    <row r="11" spans="1:2">
      <c r="A11" s="15" t="s">
        <v>2815</v>
      </c>
      <c r="B11" s="16">
        <v>893816.04000000027</v>
      </c>
    </row>
    <row r="12" spans="1:2">
      <c r="A12" s="15" t="s">
        <v>2816</v>
      </c>
      <c r="B12" s="16">
        <v>842007.89999999991</v>
      </c>
    </row>
    <row r="13" spans="1:2">
      <c r="A13" s="15" t="s">
        <v>2817</v>
      </c>
      <c r="B13" s="16">
        <v>726095.49000000022</v>
      </c>
    </row>
    <row r="14" spans="1:2">
      <c r="A14" s="15" t="s">
        <v>2818</v>
      </c>
      <c r="B14" s="16">
        <v>336412.08000000013</v>
      </c>
    </row>
    <row r="15" spans="1:2">
      <c r="A15" s="15" t="s">
        <v>2819</v>
      </c>
      <c r="B15" s="16">
        <v>289211.68</v>
      </c>
    </row>
    <row r="16" spans="1:2">
      <c r="A16" s="15" t="s">
        <v>2803</v>
      </c>
      <c r="B16" s="16"/>
    </row>
    <row r="17" spans="1:2">
      <c r="A17" s="15" t="s">
        <v>2804</v>
      </c>
      <c r="B17" s="16">
        <v>9085438.0299999993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14"/>
  <sheetViews>
    <sheetView workbookViewId="0">
      <selection sqref="A1:XFD1048576"/>
    </sheetView>
  </sheetViews>
  <sheetFormatPr defaultRowHeight="14.25"/>
  <cols>
    <col min="1" max="6" width="16" style="2" customWidth="1"/>
    <col min="7" max="7" width="16" style="6" customWidth="1"/>
    <col min="8" max="8" width="20.125" style="6" customWidth="1"/>
    <col min="9" max="21" width="16" style="2" customWidth="1"/>
    <col min="22" max="22" width="16" style="13" customWidth="1"/>
    <col min="23" max="29" width="16" style="2" customWidth="1"/>
    <col min="30" max="30" width="16" style="11" customWidth="1"/>
    <col min="31" max="32" width="16" style="2" customWidth="1"/>
  </cols>
  <sheetData>
    <row r="1" spans="1:47" ht="27.95" customHeight="1">
      <c r="A1" s="1" t="s">
        <v>0</v>
      </c>
      <c r="B1" s="1" t="s">
        <v>2792</v>
      </c>
      <c r="C1" s="9" t="s">
        <v>2799</v>
      </c>
      <c r="D1" s="9" t="s">
        <v>2800</v>
      </c>
      <c r="E1" s="1" t="s">
        <v>1</v>
      </c>
      <c r="F1" s="1" t="s">
        <v>2</v>
      </c>
      <c r="G1" s="5" t="s">
        <v>21</v>
      </c>
      <c r="H1" s="5" t="s">
        <v>2791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9" t="s">
        <v>2796</v>
      </c>
      <c r="V1" s="12" t="s">
        <v>15</v>
      </c>
      <c r="W1" s="1" t="s">
        <v>2795</v>
      </c>
      <c r="X1" s="1" t="s">
        <v>2794</v>
      </c>
      <c r="Y1" s="9" t="s">
        <v>2801</v>
      </c>
      <c r="Z1" s="1" t="s">
        <v>16</v>
      </c>
      <c r="AA1" s="1" t="s">
        <v>17</v>
      </c>
      <c r="AB1" s="9" t="s">
        <v>2798</v>
      </c>
      <c r="AC1" s="1" t="s">
        <v>18</v>
      </c>
      <c r="AD1" s="10" t="s">
        <v>2797</v>
      </c>
      <c r="AE1" s="1" t="s">
        <v>19</v>
      </c>
      <c r="AF1" s="1" t="s">
        <v>20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15">
      <c r="A2" t="s">
        <v>22</v>
      </c>
      <c r="B2" s="2" t="str">
        <f t="shared" ref="B2:B65" si="0">IF(COUNTIF($A:$A,A2)&gt;1,"Duplicate Order ID","Unique")</f>
        <v>Unique</v>
      </c>
      <c r="C2" s="8" t="str">
        <f>TEXT(E2,"mmm")</f>
        <v>Jul</v>
      </c>
      <c r="D2" s="2">
        <f>YEAR(E2)</f>
        <v>2024</v>
      </c>
      <c r="E2" s="4">
        <v>45494</v>
      </c>
      <c r="F2" s="4">
        <v>45500</v>
      </c>
      <c r="G2" s="6">
        <f t="shared" ref="G2:G65" si="1">F2-E2</f>
        <v>6</v>
      </c>
      <c r="H2" s="6" t="str">
        <f t="shared" ref="H2:H65" si="2">IF(G2&lt;0,"Invalid: Ship Date Before Order Date","Valid")</f>
        <v>Valid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8</v>
      </c>
      <c r="T2">
        <v>2976.45</v>
      </c>
      <c r="U2" s="2">
        <f>IF(ISNUMBER(W2),S2*T2*(1-W2),"Invalid")</f>
        <v>19049.28</v>
      </c>
      <c r="V2" s="13">
        <v>0.2</v>
      </c>
      <c r="W2" s="2">
        <f>IF(OR(V2&lt;0,V2&gt;1),"Invalid",V2)</f>
        <v>0.2</v>
      </c>
      <c r="X2" s="2" t="str">
        <f>IF(OR(V2&lt;0,V2&gt;1),"Invalid","Valid")</f>
        <v>Valid</v>
      </c>
      <c r="Y2" s="2" t="str">
        <f>IF(AND(H2="Valid",X2="Valid"),"Clean","Invalid")</f>
        <v>Clean</v>
      </c>
      <c r="Z2">
        <v>19049.28</v>
      </c>
      <c r="AA2">
        <v>15841.89</v>
      </c>
      <c r="AB2" s="2">
        <f t="shared" ref="AB2:AB65" si="3">IF(ISNUMBER(U2),U2-AA2,"Invalid")</f>
        <v>3207.3899999999994</v>
      </c>
      <c r="AC2">
        <v>3207.39</v>
      </c>
      <c r="AD2" s="11">
        <f>AC2/Z2</f>
        <v>0.16837329284886357</v>
      </c>
      <c r="AE2" t="s">
        <v>33</v>
      </c>
      <c r="AF2" t="s">
        <v>34</v>
      </c>
      <c r="AL2" s="7"/>
      <c r="AM2" s="7"/>
      <c r="AN2" s="7"/>
      <c r="AO2" s="7"/>
      <c r="AP2" s="7"/>
      <c r="AQ2" s="7"/>
      <c r="AR2" s="7"/>
      <c r="AS2" s="7"/>
      <c r="AT2" s="7"/>
    </row>
    <row r="3" spans="1:47">
      <c r="A3" t="s">
        <v>35</v>
      </c>
      <c r="B3" s="2" t="str">
        <f t="shared" si="0"/>
        <v>Unique</v>
      </c>
      <c r="C3" s="2" t="str">
        <f t="shared" ref="C3:C66" si="4">TEXT(E3,"mmm")</f>
        <v>Aug</v>
      </c>
      <c r="D3" s="2">
        <f t="shared" ref="D3:D66" si="5">YEAR(E3)</f>
        <v>2024</v>
      </c>
      <c r="E3" s="4">
        <v>45535</v>
      </c>
      <c r="F3" s="4">
        <v>45540</v>
      </c>
      <c r="G3" s="6">
        <f t="shared" si="1"/>
        <v>5</v>
      </c>
      <c r="H3" s="6" t="str">
        <f t="shared" si="2"/>
        <v>Valid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>
        <v>3</v>
      </c>
      <c r="T3">
        <v>2437.5</v>
      </c>
      <c r="U3" s="2">
        <f t="shared" ref="U3:U66" si="6">IF(ISNUMBER(W3),S3*T3*(1-W3),"Invalid")</f>
        <v>7312.5</v>
      </c>
      <c r="V3" s="13">
        <v>0</v>
      </c>
      <c r="W3" s="2">
        <f t="shared" ref="W3:W66" si="7">IF(OR(V3&lt;0,V3&gt;1),"Invalid",V3)</f>
        <v>0</v>
      </c>
      <c r="X3" s="2" t="str">
        <f t="shared" ref="X3:X66" si="8">IF(OR(V3&lt;0,V3&gt;1),"Invalid","Valid")</f>
        <v>Valid</v>
      </c>
      <c r="Y3" s="2" t="str">
        <f t="shared" ref="Y3:Y66" si="9">IF(AND(H3="Valid",X3="Valid"),"Clean","Invalid")</f>
        <v>Clean</v>
      </c>
      <c r="Z3">
        <v>7312.5</v>
      </c>
      <c r="AA3">
        <v>4904.7299999999996</v>
      </c>
      <c r="AB3" s="2">
        <f t="shared" si="3"/>
        <v>2407.7700000000004</v>
      </c>
      <c r="AC3">
        <v>2407.77</v>
      </c>
      <c r="AD3" s="11">
        <f t="shared" ref="AD3:AD66" si="10">AC3/Z3</f>
        <v>0.32926769230769232</v>
      </c>
      <c r="AE3" t="s">
        <v>33</v>
      </c>
      <c r="AF3" t="s">
        <v>34</v>
      </c>
    </row>
    <row r="4" spans="1:47">
      <c r="A4" t="s">
        <v>46</v>
      </c>
      <c r="B4" s="2" t="str">
        <f t="shared" si="0"/>
        <v>Unique</v>
      </c>
      <c r="C4" s="2" t="str">
        <f t="shared" si="4"/>
        <v>Jun</v>
      </c>
      <c r="D4" s="2">
        <f t="shared" si="5"/>
        <v>2024</v>
      </c>
      <c r="E4" s="4">
        <v>45451</v>
      </c>
      <c r="F4" s="4">
        <v>45458</v>
      </c>
      <c r="G4" s="6">
        <f t="shared" si="1"/>
        <v>7</v>
      </c>
      <c r="H4" s="6" t="str">
        <f t="shared" si="2"/>
        <v>Valid</v>
      </c>
      <c r="I4" t="s">
        <v>47</v>
      </c>
      <c r="J4" t="s">
        <v>48</v>
      </c>
      <c r="K4" t="s">
        <v>25</v>
      </c>
      <c r="L4" t="s">
        <v>39</v>
      </c>
      <c r="M4" t="s">
        <v>40</v>
      </c>
      <c r="N4" t="s">
        <v>41</v>
      </c>
      <c r="O4" t="s">
        <v>29</v>
      </c>
      <c r="P4" t="s">
        <v>49</v>
      </c>
      <c r="Q4" t="s">
        <v>50</v>
      </c>
      <c r="R4" t="s">
        <v>51</v>
      </c>
      <c r="S4">
        <v>4</v>
      </c>
      <c r="T4">
        <v>1065.43</v>
      </c>
      <c r="U4" s="2">
        <f t="shared" si="6"/>
        <v>1917.7739999999999</v>
      </c>
      <c r="V4" s="13">
        <v>0.55000000000000004</v>
      </c>
      <c r="W4" s="2">
        <f t="shared" si="7"/>
        <v>0.55000000000000004</v>
      </c>
      <c r="X4" s="2" t="str">
        <f t="shared" si="8"/>
        <v>Valid</v>
      </c>
      <c r="Y4" s="2" t="str">
        <f t="shared" si="9"/>
        <v>Clean</v>
      </c>
      <c r="Z4">
        <v>4261.72</v>
      </c>
      <c r="AA4">
        <v>2465.69</v>
      </c>
      <c r="AB4" s="2">
        <f t="shared" si="3"/>
        <v>-547.91600000000017</v>
      </c>
      <c r="AC4">
        <v>1796.03</v>
      </c>
      <c r="AD4" s="11">
        <f t="shared" si="10"/>
        <v>0.42143313028542462</v>
      </c>
      <c r="AE4" t="s">
        <v>33</v>
      </c>
      <c r="AF4" t="s">
        <v>34</v>
      </c>
    </row>
    <row r="5" spans="1:47">
      <c r="A5" t="s">
        <v>52</v>
      </c>
      <c r="B5" s="2" t="str">
        <f t="shared" si="0"/>
        <v>Unique</v>
      </c>
      <c r="C5" s="2" t="str">
        <f t="shared" si="4"/>
        <v>Nov</v>
      </c>
      <c r="D5" s="2">
        <f t="shared" si="5"/>
        <v>2024</v>
      </c>
      <c r="E5" s="4">
        <v>45624</v>
      </c>
      <c r="F5" s="4">
        <v>45625</v>
      </c>
      <c r="G5" s="6">
        <f t="shared" si="1"/>
        <v>1</v>
      </c>
      <c r="H5" s="6" t="str">
        <f t="shared" si="2"/>
        <v>Valid</v>
      </c>
      <c r="I5" t="s">
        <v>53</v>
      </c>
      <c r="J5" t="s">
        <v>54</v>
      </c>
      <c r="K5" t="s">
        <v>38</v>
      </c>
      <c r="L5" t="s">
        <v>55</v>
      </c>
      <c r="M5" t="s">
        <v>56</v>
      </c>
      <c r="N5" t="s">
        <v>57</v>
      </c>
      <c r="O5" t="s">
        <v>42</v>
      </c>
      <c r="P5" t="s">
        <v>58</v>
      </c>
      <c r="Q5" t="s">
        <v>59</v>
      </c>
      <c r="R5" t="s">
        <v>60</v>
      </c>
      <c r="S5">
        <v>6</v>
      </c>
      <c r="T5">
        <v>1848.43</v>
      </c>
      <c r="U5" s="2">
        <f t="shared" si="6"/>
        <v>8317.9349999999995</v>
      </c>
      <c r="V5" s="13">
        <v>0.25</v>
      </c>
      <c r="W5" s="2">
        <f t="shared" si="7"/>
        <v>0.25</v>
      </c>
      <c r="X5" s="2" t="str">
        <f t="shared" si="8"/>
        <v>Valid</v>
      </c>
      <c r="Y5" s="2" t="str">
        <f t="shared" si="9"/>
        <v>Clean</v>
      </c>
      <c r="Z5">
        <v>8317.93</v>
      </c>
      <c r="AA5">
        <v>6796.77</v>
      </c>
      <c r="AB5" s="2">
        <f t="shared" si="3"/>
        <v>1521.1649999999991</v>
      </c>
      <c r="AC5">
        <v>1521.16</v>
      </c>
      <c r="AD5" s="11">
        <f t="shared" si="10"/>
        <v>0.18287723027243558</v>
      </c>
      <c r="AE5" t="s">
        <v>33</v>
      </c>
      <c r="AF5" t="s">
        <v>34</v>
      </c>
    </row>
    <row r="6" spans="1:47">
      <c r="A6" t="s">
        <v>61</v>
      </c>
      <c r="B6" s="2" t="str">
        <f t="shared" si="0"/>
        <v>Unique</v>
      </c>
      <c r="C6" s="2" t="str">
        <f t="shared" si="4"/>
        <v>Aug</v>
      </c>
      <c r="D6" s="2">
        <f t="shared" si="5"/>
        <v>2025</v>
      </c>
      <c r="E6" s="4">
        <v>45898</v>
      </c>
      <c r="F6" s="4">
        <v>45901</v>
      </c>
      <c r="G6" s="6">
        <f t="shared" si="1"/>
        <v>3</v>
      </c>
      <c r="H6" s="6" t="str">
        <f t="shared" si="2"/>
        <v>Valid</v>
      </c>
      <c r="I6" t="s">
        <v>62</v>
      </c>
      <c r="J6" t="s">
        <v>63</v>
      </c>
      <c r="K6" t="s">
        <v>38</v>
      </c>
      <c r="L6" t="s">
        <v>64</v>
      </c>
      <c r="M6" t="s">
        <v>65</v>
      </c>
      <c r="N6" t="s">
        <v>66</v>
      </c>
      <c r="O6" t="s">
        <v>42</v>
      </c>
      <c r="P6" t="s">
        <v>67</v>
      </c>
      <c r="Q6" t="s">
        <v>68</v>
      </c>
      <c r="R6" t="s">
        <v>51</v>
      </c>
      <c r="S6">
        <v>7</v>
      </c>
      <c r="T6">
        <v>2973.76</v>
      </c>
      <c r="U6" s="2">
        <f t="shared" si="6"/>
        <v>20816.32</v>
      </c>
      <c r="V6" s="13">
        <v>0</v>
      </c>
      <c r="W6" s="2">
        <f t="shared" si="7"/>
        <v>0</v>
      </c>
      <c r="X6" s="2" t="str">
        <f t="shared" si="8"/>
        <v>Valid</v>
      </c>
      <c r="Y6" s="2" t="str">
        <f t="shared" si="9"/>
        <v>Clean</v>
      </c>
      <c r="Z6">
        <v>20816.32</v>
      </c>
      <c r="AA6">
        <v>17705.37</v>
      </c>
      <c r="AB6" s="2">
        <f t="shared" si="3"/>
        <v>3110.9500000000007</v>
      </c>
      <c r="AC6">
        <v>3110.95</v>
      </c>
      <c r="AD6" s="11">
        <f t="shared" si="10"/>
        <v>0.14944764492475135</v>
      </c>
      <c r="AE6" t="s">
        <v>33</v>
      </c>
      <c r="AF6" t="s">
        <v>69</v>
      </c>
    </row>
    <row r="7" spans="1:47">
      <c r="A7" t="s">
        <v>70</v>
      </c>
      <c r="B7" s="2" t="str">
        <f t="shared" si="0"/>
        <v>Unique</v>
      </c>
      <c r="C7" s="2" t="str">
        <f t="shared" si="4"/>
        <v>May</v>
      </c>
      <c r="D7" s="2">
        <f t="shared" si="5"/>
        <v>2024</v>
      </c>
      <c r="E7" s="4">
        <v>45436</v>
      </c>
      <c r="F7" s="4">
        <v>45440</v>
      </c>
      <c r="G7" s="6">
        <f t="shared" si="1"/>
        <v>4</v>
      </c>
      <c r="H7" s="6" t="str">
        <f t="shared" si="2"/>
        <v>Valid</v>
      </c>
      <c r="I7" t="s">
        <v>71</v>
      </c>
      <c r="J7" t="s">
        <v>72</v>
      </c>
      <c r="K7" t="s">
        <v>38</v>
      </c>
      <c r="L7" t="s">
        <v>64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45</v>
      </c>
      <c r="S7">
        <v>3</v>
      </c>
      <c r="T7">
        <v>1053.1099999999999</v>
      </c>
      <c r="U7" s="2">
        <f t="shared" si="6"/>
        <v>2527.4639999999999</v>
      </c>
      <c r="V7" s="13">
        <v>0.2</v>
      </c>
      <c r="W7" s="2">
        <f t="shared" si="7"/>
        <v>0.2</v>
      </c>
      <c r="X7" s="2" t="str">
        <f t="shared" si="8"/>
        <v>Valid</v>
      </c>
      <c r="Y7" s="2" t="str">
        <f t="shared" si="9"/>
        <v>Clean</v>
      </c>
      <c r="Z7">
        <v>2527.46</v>
      </c>
      <c r="AA7">
        <v>1533.58</v>
      </c>
      <c r="AB7" s="2">
        <f t="shared" si="3"/>
        <v>993.88400000000001</v>
      </c>
      <c r="AC7">
        <v>993.88</v>
      </c>
      <c r="AD7" s="11">
        <f t="shared" si="10"/>
        <v>0.39323273167527872</v>
      </c>
      <c r="AE7" t="s">
        <v>33</v>
      </c>
      <c r="AF7" t="s">
        <v>34</v>
      </c>
    </row>
    <row r="8" spans="1:47">
      <c r="A8" t="s">
        <v>78</v>
      </c>
      <c r="B8" s="2" t="str">
        <f t="shared" si="0"/>
        <v>Duplicate Order ID</v>
      </c>
      <c r="C8" s="2" t="str">
        <f t="shared" si="4"/>
        <v>Apr</v>
      </c>
      <c r="D8" s="2">
        <f t="shared" si="5"/>
        <v>2025</v>
      </c>
      <c r="E8" s="4">
        <v>45757</v>
      </c>
      <c r="F8" s="4">
        <v>45763</v>
      </c>
      <c r="G8" s="6">
        <f t="shared" si="1"/>
        <v>6</v>
      </c>
      <c r="H8" s="6" t="str">
        <f t="shared" si="2"/>
        <v>Valid</v>
      </c>
      <c r="I8" t="s">
        <v>79</v>
      </c>
      <c r="J8" t="s">
        <v>80</v>
      </c>
      <c r="K8" t="s">
        <v>25</v>
      </c>
      <c r="L8" t="s">
        <v>39</v>
      </c>
      <c r="M8" t="s">
        <v>40</v>
      </c>
      <c r="N8" t="s">
        <v>41</v>
      </c>
      <c r="O8" t="s">
        <v>75</v>
      </c>
      <c r="P8" t="s">
        <v>81</v>
      </c>
      <c r="Q8" t="s">
        <v>82</v>
      </c>
      <c r="R8" t="s">
        <v>60</v>
      </c>
      <c r="S8">
        <v>4</v>
      </c>
      <c r="T8">
        <v>1719.87</v>
      </c>
      <c r="U8" s="2">
        <f t="shared" si="6"/>
        <v>5847.5579999999991</v>
      </c>
      <c r="V8" s="13">
        <v>0.15</v>
      </c>
      <c r="W8" s="2">
        <f t="shared" si="7"/>
        <v>0.15</v>
      </c>
      <c r="X8" s="2" t="str">
        <f t="shared" si="8"/>
        <v>Valid</v>
      </c>
      <c r="Y8" s="2" t="str">
        <f t="shared" si="9"/>
        <v>Clean</v>
      </c>
      <c r="Z8">
        <v>5847.56</v>
      </c>
      <c r="AA8">
        <v>4727.25</v>
      </c>
      <c r="AB8" s="2">
        <f t="shared" si="3"/>
        <v>1120.3079999999991</v>
      </c>
      <c r="AC8">
        <v>1120.31</v>
      </c>
      <c r="AD8" s="11">
        <f t="shared" si="10"/>
        <v>0.19158589223539388</v>
      </c>
      <c r="AE8" t="s">
        <v>33</v>
      </c>
      <c r="AF8" t="s">
        <v>34</v>
      </c>
    </row>
    <row r="9" spans="1:47">
      <c r="A9" t="s">
        <v>83</v>
      </c>
      <c r="B9" s="2" t="str">
        <f t="shared" si="0"/>
        <v>Unique</v>
      </c>
      <c r="C9" s="2" t="str">
        <f t="shared" si="4"/>
        <v>Feb</v>
      </c>
      <c r="D9" s="2">
        <f t="shared" si="5"/>
        <v>2025</v>
      </c>
      <c r="E9" s="4">
        <v>45711</v>
      </c>
      <c r="F9" s="4">
        <v>45714</v>
      </c>
      <c r="G9" s="6">
        <f t="shared" si="1"/>
        <v>3</v>
      </c>
      <c r="H9" s="6" t="str">
        <f t="shared" si="2"/>
        <v>Valid</v>
      </c>
      <c r="I9" t="s">
        <v>84</v>
      </c>
      <c r="J9" t="s">
        <v>48</v>
      </c>
      <c r="K9" t="s">
        <v>38</v>
      </c>
      <c r="L9" t="s">
        <v>55</v>
      </c>
      <c r="M9" t="s">
        <v>85</v>
      </c>
      <c r="N9" t="s">
        <v>86</v>
      </c>
      <c r="O9" t="s">
        <v>29</v>
      </c>
      <c r="P9" t="s">
        <v>49</v>
      </c>
      <c r="Q9" t="s">
        <v>87</v>
      </c>
      <c r="R9" t="s">
        <v>51</v>
      </c>
      <c r="S9">
        <v>1</v>
      </c>
      <c r="T9">
        <v>2980.71</v>
      </c>
      <c r="U9" s="2">
        <f t="shared" si="6"/>
        <v>2980.71</v>
      </c>
      <c r="V9" s="13">
        <v>0</v>
      </c>
      <c r="W9" s="2">
        <f t="shared" si="7"/>
        <v>0</v>
      </c>
      <c r="X9" s="2" t="str">
        <f t="shared" si="8"/>
        <v>Valid</v>
      </c>
      <c r="Y9" s="2" t="str">
        <f t="shared" si="9"/>
        <v>Clean</v>
      </c>
      <c r="Z9">
        <v>2980.71</v>
      </c>
      <c r="AA9">
        <v>2357.2199999999998</v>
      </c>
      <c r="AB9" s="2">
        <f t="shared" si="3"/>
        <v>623.49000000000024</v>
      </c>
      <c r="AC9">
        <v>623.49</v>
      </c>
      <c r="AD9" s="11">
        <f t="shared" si="10"/>
        <v>0.20917499521925983</v>
      </c>
      <c r="AE9" t="s">
        <v>33</v>
      </c>
      <c r="AF9" t="s">
        <v>34</v>
      </c>
    </row>
    <row r="10" spans="1:47">
      <c r="A10" t="s">
        <v>88</v>
      </c>
      <c r="B10" s="2" t="str">
        <f t="shared" si="0"/>
        <v>Unique</v>
      </c>
      <c r="C10" s="2" t="str">
        <f t="shared" si="4"/>
        <v>Nov</v>
      </c>
      <c r="D10" s="2">
        <f t="shared" si="5"/>
        <v>2024</v>
      </c>
      <c r="E10" s="4">
        <v>45601</v>
      </c>
      <c r="F10" s="4">
        <v>45606</v>
      </c>
      <c r="G10" s="6">
        <f t="shared" si="1"/>
        <v>5</v>
      </c>
      <c r="H10" s="6" t="str">
        <f t="shared" si="2"/>
        <v>Valid</v>
      </c>
      <c r="I10" t="s">
        <v>89</v>
      </c>
      <c r="J10" t="s">
        <v>90</v>
      </c>
      <c r="K10" t="s">
        <v>91</v>
      </c>
      <c r="L10" t="s">
        <v>55</v>
      </c>
      <c r="M10" t="s">
        <v>56</v>
      </c>
      <c r="N10" t="s">
        <v>57</v>
      </c>
      <c r="O10" t="s">
        <v>29</v>
      </c>
      <c r="P10" t="s">
        <v>92</v>
      </c>
      <c r="Q10" t="s">
        <v>93</v>
      </c>
      <c r="R10" t="s">
        <v>51</v>
      </c>
      <c r="S10">
        <v>8</v>
      </c>
      <c r="T10">
        <v>3134.2</v>
      </c>
      <c r="U10" s="2">
        <f t="shared" si="6"/>
        <v>25073.599999999999</v>
      </c>
      <c r="V10" s="13">
        <v>0</v>
      </c>
      <c r="W10" s="2">
        <f t="shared" si="7"/>
        <v>0</v>
      </c>
      <c r="X10" s="2" t="str">
        <f t="shared" si="8"/>
        <v>Valid</v>
      </c>
      <c r="Y10" s="2" t="str">
        <f t="shared" si="9"/>
        <v>Clean</v>
      </c>
      <c r="Z10">
        <v>25073.599999999999</v>
      </c>
      <c r="AA10">
        <v>17347.23</v>
      </c>
      <c r="AB10" s="2">
        <f t="shared" si="3"/>
        <v>7726.369999999999</v>
      </c>
      <c r="AC10">
        <v>7726.37</v>
      </c>
      <c r="AD10" s="11">
        <f t="shared" si="10"/>
        <v>0.30814761342607366</v>
      </c>
      <c r="AE10" t="s">
        <v>33</v>
      </c>
      <c r="AF10" t="s">
        <v>34</v>
      </c>
    </row>
    <row r="11" spans="1:47">
      <c r="A11" t="s">
        <v>94</v>
      </c>
      <c r="B11" s="2" t="str">
        <f t="shared" si="0"/>
        <v>Unique</v>
      </c>
      <c r="C11" s="2" t="str">
        <f t="shared" si="4"/>
        <v>Sep</v>
      </c>
      <c r="D11" s="2">
        <f t="shared" si="5"/>
        <v>2025</v>
      </c>
      <c r="E11" s="4">
        <v>45907</v>
      </c>
      <c r="F11" s="4">
        <v>45912</v>
      </c>
      <c r="G11" s="6">
        <f t="shared" si="1"/>
        <v>5</v>
      </c>
      <c r="H11" s="6" t="str">
        <f t="shared" si="2"/>
        <v>Valid</v>
      </c>
      <c r="I11" t="s">
        <v>95</v>
      </c>
      <c r="J11" t="s">
        <v>37</v>
      </c>
      <c r="K11" t="s">
        <v>96</v>
      </c>
      <c r="L11" t="s">
        <v>55</v>
      </c>
      <c r="M11" t="s">
        <v>56</v>
      </c>
      <c r="N11" t="s">
        <v>57</v>
      </c>
      <c r="O11" t="s">
        <v>29</v>
      </c>
      <c r="P11" t="s">
        <v>30</v>
      </c>
      <c r="Q11" t="s">
        <v>97</v>
      </c>
      <c r="R11" t="s">
        <v>32</v>
      </c>
      <c r="S11">
        <v>9</v>
      </c>
      <c r="T11">
        <v>852.04</v>
      </c>
      <c r="U11" s="2">
        <f t="shared" si="6"/>
        <v>6134.6880000000001</v>
      </c>
      <c r="V11" s="13">
        <v>0.2</v>
      </c>
      <c r="W11" s="2">
        <f t="shared" si="7"/>
        <v>0.2</v>
      </c>
      <c r="X11" s="2" t="str">
        <f t="shared" si="8"/>
        <v>Valid</v>
      </c>
      <c r="Y11" s="2" t="str">
        <f t="shared" si="9"/>
        <v>Clean</v>
      </c>
      <c r="Z11">
        <v>6134.69</v>
      </c>
      <c r="AA11">
        <v>3800.19</v>
      </c>
      <c r="AB11" s="2">
        <f t="shared" si="3"/>
        <v>2334.498</v>
      </c>
      <c r="AC11">
        <v>2334.5</v>
      </c>
      <c r="AD11" s="11">
        <f t="shared" si="10"/>
        <v>0.3805408260238089</v>
      </c>
      <c r="AE11" t="s">
        <v>33</v>
      </c>
      <c r="AF11" t="s">
        <v>34</v>
      </c>
    </row>
    <row r="12" spans="1:47">
      <c r="A12" t="s">
        <v>98</v>
      </c>
      <c r="B12" s="2" t="str">
        <f t="shared" si="0"/>
        <v>Unique</v>
      </c>
      <c r="C12" s="2" t="str">
        <f t="shared" si="4"/>
        <v>May</v>
      </c>
      <c r="D12" s="2">
        <f t="shared" si="5"/>
        <v>2025</v>
      </c>
      <c r="E12" s="4">
        <v>45797</v>
      </c>
      <c r="F12" s="4">
        <v>45797</v>
      </c>
      <c r="G12" s="6">
        <f t="shared" si="1"/>
        <v>0</v>
      </c>
      <c r="H12" s="6" t="str">
        <f t="shared" si="2"/>
        <v>Valid</v>
      </c>
      <c r="I12" t="s">
        <v>99</v>
      </c>
      <c r="J12" t="s">
        <v>63</v>
      </c>
      <c r="K12" t="s">
        <v>91</v>
      </c>
      <c r="L12" t="s">
        <v>39</v>
      </c>
      <c r="M12" t="s">
        <v>100</v>
      </c>
      <c r="N12" t="s">
        <v>101</v>
      </c>
      <c r="O12" t="s">
        <v>29</v>
      </c>
      <c r="P12" t="s">
        <v>92</v>
      </c>
      <c r="Q12" t="s">
        <v>102</v>
      </c>
      <c r="R12" t="s">
        <v>32</v>
      </c>
      <c r="S12">
        <v>3</v>
      </c>
      <c r="T12">
        <v>3534.83</v>
      </c>
      <c r="U12" s="2">
        <f t="shared" si="6"/>
        <v>10074.2655</v>
      </c>
      <c r="V12" s="13">
        <v>0.05</v>
      </c>
      <c r="W12" s="2">
        <f t="shared" si="7"/>
        <v>0.05</v>
      </c>
      <c r="X12" s="2" t="str">
        <f t="shared" si="8"/>
        <v>Valid</v>
      </c>
      <c r="Y12" s="2" t="str">
        <f t="shared" si="9"/>
        <v>Clean</v>
      </c>
      <c r="Z12">
        <v>10074.27</v>
      </c>
      <c r="AA12">
        <v>6048.27</v>
      </c>
      <c r="AB12" s="2">
        <f t="shared" si="3"/>
        <v>4025.9954999999991</v>
      </c>
      <c r="AC12">
        <v>4026</v>
      </c>
      <c r="AD12" s="11">
        <f t="shared" si="10"/>
        <v>0.39963193362893784</v>
      </c>
      <c r="AE12" t="s">
        <v>103</v>
      </c>
      <c r="AF12" t="s">
        <v>104</v>
      </c>
    </row>
    <row r="13" spans="1:47">
      <c r="A13" t="s">
        <v>105</v>
      </c>
      <c r="B13" s="2" t="str">
        <f t="shared" si="0"/>
        <v>Unique</v>
      </c>
      <c r="C13" s="2" t="str">
        <f t="shared" si="4"/>
        <v>Jul</v>
      </c>
      <c r="D13" s="2">
        <f t="shared" si="5"/>
        <v>2024</v>
      </c>
      <c r="E13" s="4">
        <v>45495</v>
      </c>
      <c r="F13" s="4">
        <v>45496</v>
      </c>
      <c r="G13" s="6">
        <f t="shared" si="1"/>
        <v>1</v>
      </c>
      <c r="H13" s="6" t="str">
        <f t="shared" si="2"/>
        <v>Valid</v>
      </c>
      <c r="I13" t="s">
        <v>106</v>
      </c>
      <c r="J13" t="s">
        <v>72</v>
      </c>
      <c r="K13" t="s">
        <v>38</v>
      </c>
      <c r="L13" t="s">
        <v>39</v>
      </c>
      <c r="M13" t="s">
        <v>40</v>
      </c>
      <c r="N13" t="s">
        <v>41</v>
      </c>
      <c r="O13" t="s">
        <v>75</v>
      </c>
      <c r="P13" t="s">
        <v>76</v>
      </c>
      <c r="Q13" t="s">
        <v>107</v>
      </c>
      <c r="R13" t="s">
        <v>45</v>
      </c>
      <c r="S13">
        <v>6</v>
      </c>
      <c r="T13">
        <v>2005.95</v>
      </c>
      <c r="U13" s="2">
        <f t="shared" si="6"/>
        <v>9628.5600000000013</v>
      </c>
      <c r="V13" s="13">
        <v>0.2</v>
      </c>
      <c r="W13" s="2">
        <f t="shared" si="7"/>
        <v>0.2</v>
      </c>
      <c r="X13" s="2" t="str">
        <f t="shared" si="8"/>
        <v>Valid</v>
      </c>
      <c r="Y13" s="2" t="str">
        <f t="shared" si="9"/>
        <v>Clean</v>
      </c>
      <c r="Z13">
        <v>9628.56</v>
      </c>
      <c r="AA13">
        <v>8038.59</v>
      </c>
      <c r="AB13" s="2">
        <f t="shared" si="3"/>
        <v>1589.9700000000012</v>
      </c>
      <c r="AC13">
        <v>1589.97</v>
      </c>
      <c r="AD13" s="11">
        <f t="shared" si="10"/>
        <v>0.16513061143099281</v>
      </c>
      <c r="AE13" t="s">
        <v>33</v>
      </c>
      <c r="AF13" t="s">
        <v>34</v>
      </c>
    </row>
    <row r="14" spans="1:47">
      <c r="A14" t="s">
        <v>108</v>
      </c>
      <c r="B14" s="2" t="str">
        <f t="shared" si="0"/>
        <v>Unique</v>
      </c>
      <c r="C14" s="2" t="str">
        <f t="shared" si="4"/>
        <v>Dec</v>
      </c>
      <c r="D14" s="2">
        <f t="shared" si="5"/>
        <v>2024</v>
      </c>
      <c r="E14" s="4">
        <v>45646</v>
      </c>
      <c r="F14" s="4">
        <v>45647</v>
      </c>
      <c r="G14" s="6">
        <f t="shared" si="1"/>
        <v>1</v>
      </c>
      <c r="H14" s="6" t="str">
        <f t="shared" si="2"/>
        <v>Valid</v>
      </c>
      <c r="I14" t="s">
        <v>109</v>
      </c>
      <c r="J14" t="s">
        <v>63</v>
      </c>
      <c r="K14" t="s">
        <v>91</v>
      </c>
      <c r="L14" t="s">
        <v>64</v>
      </c>
      <c r="M14" t="s">
        <v>27</v>
      </c>
      <c r="N14" t="s">
        <v>110</v>
      </c>
      <c r="O14" t="s">
        <v>29</v>
      </c>
      <c r="P14" t="s">
        <v>30</v>
      </c>
      <c r="Q14" t="s">
        <v>111</v>
      </c>
      <c r="R14" t="s">
        <v>51</v>
      </c>
      <c r="S14">
        <v>1</v>
      </c>
      <c r="T14">
        <v>702.14</v>
      </c>
      <c r="U14" s="2">
        <f t="shared" si="6"/>
        <v>596.81899999999996</v>
      </c>
      <c r="V14" s="13">
        <v>0.15</v>
      </c>
      <c r="W14" s="2">
        <f t="shared" si="7"/>
        <v>0.15</v>
      </c>
      <c r="X14" s="2" t="str">
        <f t="shared" si="8"/>
        <v>Valid</v>
      </c>
      <c r="Y14" s="2" t="str">
        <f t="shared" si="9"/>
        <v>Clean</v>
      </c>
      <c r="Z14">
        <v>596.82000000000005</v>
      </c>
      <c r="AA14">
        <v>380.25</v>
      </c>
      <c r="AB14" s="2">
        <f t="shared" si="3"/>
        <v>216.56899999999996</v>
      </c>
      <c r="AC14">
        <v>216.57</v>
      </c>
      <c r="AD14" s="11">
        <f t="shared" si="10"/>
        <v>0.36287322810897754</v>
      </c>
      <c r="AE14" t="s">
        <v>112</v>
      </c>
      <c r="AF14" t="s">
        <v>104</v>
      </c>
    </row>
    <row r="15" spans="1:47">
      <c r="A15" t="s">
        <v>113</v>
      </c>
      <c r="B15" s="2" t="str">
        <f t="shared" si="0"/>
        <v>Unique</v>
      </c>
      <c r="C15" s="2" t="str">
        <f t="shared" si="4"/>
        <v>Oct</v>
      </c>
      <c r="D15" s="2">
        <f t="shared" si="5"/>
        <v>2025</v>
      </c>
      <c r="E15" s="4">
        <v>45942</v>
      </c>
      <c r="F15" s="4">
        <v>45946</v>
      </c>
      <c r="G15" s="6">
        <f t="shared" si="1"/>
        <v>4</v>
      </c>
      <c r="H15" s="6" t="str">
        <f t="shared" si="2"/>
        <v>Valid</v>
      </c>
      <c r="I15" t="s">
        <v>114</v>
      </c>
      <c r="J15" t="s">
        <v>115</v>
      </c>
      <c r="K15" t="s">
        <v>38</v>
      </c>
      <c r="L15" t="s">
        <v>64</v>
      </c>
      <c r="M15" t="s">
        <v>65</v>
      </c>
      <c r="N15" t="s">
        <v>66</v>
      </c>
      <c r="O15" t="s">
        <v>29</v>
      </c>
      <c r="P15" t="s">
        <v>49</v>
      </c>
      <c r="Q15" t="s">
        <v>116</v>
      </c>
      <c r="R15" t="s">
        <v>32</v>
      </c>
      <c r="S15">
        <v>7</v>
      </c>
      <c r="T15">
        <v>3964.72</v>
      </c>
      <c r="U15" s="2">
        <f t="shared" si="6"/>
        <v>26365.387999999995</v>
      </c>
      <c r="V15" s="13">
        <v>0.05</v>
      </c>
      <c r="W15" s="2">
        <f t="shared" si="7"/>
        <v>0.05</v>
      </c>
      <c r="X15" s="2" t="str">
        <f t="shared" si="8"/>
        <v>Valid</v>
      </c>
      <c r="Y15" s="2" t="str">
        <f t="shared" si="9"/>
        <v>Clean</v>
      </c>
      <c r="Z15">
        <v>26365.39</v>
      </c>
      <c r="AA15">
        <v>22306.240000000002</v>
      </c>
      <c r="AB15" s="2">
        <f t="shared" si="3"/>
        <v>4059.1479999999938</v>
      </c>
      <c r="AC15">
        <v>4059.15</v>
      </c>
      <c r="AD15" s="11">
        <f t="shared" si="10"/>
        <v>0.15395751779131658</v>
      </c>
      <c r="AE15" t="s">
        <v>33</v>
      </c>
      <c r="AF15" t="s">
        <v>34</v>
      </c>
    </row>
    <row r="16" spans="1:47">
      <c r="A16" t="s">
        <v>117</v>
      </c>
      <c r="B16" s="2" t="str">
        <f t="shared" si="0"/>
        <v>Unique</v>
      </c>
      <c r="C16" s="2" t="str">
        <f t="shared" si="4"/>
        <v>Dec</v>
      </c>
      <c r="D16" s="2">
        <f t="shared" si="5"/>
        <v>2024</v>
      </c>
      <c r="E16" s="4">
        <v>45653</v>
      </c>
      <c r="F16" s="4">
        <v>45654</v>
      </c>
      <c r="G16" s="6">
        <f t="shared" si="1"/>
        <v>1</v>
      </c>
      <c r="H16" s="6" t="str">
        <f t="shared" si="2"/>
        <v>Valid</v>
      </c>
      <c r="I16" t="s">
        <v>118</v>
      </c>
      <c r="J16" t="s">
        <v>119</v>
      </c>
      <c r="K16" t="s">
        <v>25</v>
      </c>
      <c r="L16" t="s">
        <v>64</v>
      </c>
      <c r="M16" t="s">
        <v>27</v>
      </c>
      <c r="N16" t="s">
        <v>110</v>
      </c>
      <c r="O16" t="s">
        <v>75</v>
      </c>
      <c r="P16" t="s">
        <v>81</v>
      </c>
      <c r="Q16" t="s">
        <v>120</v>
      </c>
      <c r="R16" t="s">
        <v>60</v>
      </c>
      <c r="S16">
        <v>2</v>
      </c>
      <c r="T16">
        <v>2737.83</v>
      </c>
      <c r="U16" s="2">
        <f t="shared" si="6"/>
        <v>4106.7449999999999</v>
      </c>
      <c r="V16" s="13">
        <v>0.25</v>
      </c>
      <c r="W16" s="2">
        <f t="shared" si="7"/>
        <v>0.25</v>
      </c>
      <c r="X16" s="2" t="str">
        <f t="shared" si="8"/>
        <v>Valid</v>
      </c>
      <c r="Y16" s="2" t="str">
        <f t="shared" si="9"/>
        <v>Clean</v>
      </c>
      <c r="Z16">
        <v>4106.74</v>
      </c>
      <c r="AA16">
        <v>2666.3</v>
      </c>
      <c r="AB16" s="2">
        <f t="shared" si="3"/>
        <v>1440.4449999999997</v>
      </c>
      <c r="AC16">
        <v>1440.44</v>
      </c>
      <c r="AD16" s="11">
        <f t="shared" si="10"/>
        <v>0.35075023010952727</v>
      </c>
      <c r="AE16" t="s">
        <v>33</v>
      </c>
      <c r="AF16" t="s">
        <v>34</v>
      </c>
    </row>
    <row r="17" spans="1:32">
      <c r="A17" t="s">
        <v>121</v>
      </c>
      <c r="B17" s="2" t="str">
        <f t="shared" si="0"/>
        <v>Unique</v>
      </c>
      <c r="C17" s="2" t="str">
        <f t="shared" si="4"/>
        <v>Jul</v>
      </c>
      <c r="D17" s="2">
        <f t="shared" si="5"/>
        <v>2024</v>
      </c>
      <c r="E17" s="4">
        <v>45482</v>
      </c>
      <c r="F17" s="4">
        <v>45482</v>
      </c>
      <c r="G17" s="6">
        <f t="shared" si="1"/>
        <v>0</v>
      </c>
      <c r="H17" s="6" t="str">
        <f t="shared" si="2"/>
        <v>Valid</v>
      </c>
      <c r="I17" t="s">
        <v>122</v>
      </c>
      <c r="J17" t="s">
        <v>24</v>
      </c>
      <c r="K17" t="s">
        <v>38</v>
      </c>
      <c r="L17" t="s">
        <v>26</v>
      </c>
      <c r="M17" t="s">
        <v>123</v>
      </c>
      <c r="N17" t="s">
        <v>124</v>
      </c>
      <c r="O17" t="s">
        <v>29</v>
      </c>
      <c r="P17" t="s">
        <v>125</v>
      </c>
      <c r="Q17" t="s">
        <v>126</v>
      </c>
      <c r="R17" t="s">
        <v>32</v>
      </c>
      <c r="S17">
        <v>6</v>
      </c>
      <c r="T17">
        <v>3965.76</v>
      </c>
      <c r="U17" s="2">
        <f t="shared" si="6"/>
        <v>23794.560000000001</v>
      </c>
      <c r="V17" s="13">
        <v>0</v>
      </c>
      <c r="W17" s="2">
        <f t="shared" si="7"/>
        <v>0</v>
      </c>
      <c r="X17" s="2" t="str">
        <f t="shared" si="8"/>
        <v>Valid</v>
      </c>
      <c r="Y17" s="2" t="str">
        <f t="shared" si="9"/>
        <v>Clean</v>
      </c>
      <c r="Z17">
        <v>23794.560000000001</v>
      </c>
      <c r="AA17">
        <v>15698.47</v>
      </c>
      <c r="AB17" s="2">
        <f t="shared" si="3"/>
        <v>8096.090000000002</v>
      </c>
      <c r="AC17">
        <v>8096.09</v>
      </c>
      <c r="AD17" s="11">
        <f t="shared" si="10"/>
        <v>0.34024962008122867</v>
      </c>
      <c r="AE17" t="s">
        <v>33</v>
      </c>
      <c r="AF17" t="s">
        <v>34</v>
      </c>
    </row>
    <row r="18" spans="1:32">
      <c r="A18" t="s">
        <v>127</v>
      </c>
      <c r="B18" s="2" t="str">
        <f t="shared" si="0"/>
        <v>Unique</v>
      </c>
      <c r="C18" s="2" t="str">
        <f t="shared" si="4"/>
        <v>May</v>
      </c>
      <c r="D18" s="2">
        <f t="shared" si="5"/>
        <v>2024</v>
      </c>
      <c r="E18" s="4">
        <v>45420</v>
      </c>
      <c r="F18" s="4">
        <v>45427</v>
      </c>
      <c r="G18" s="6">
        <f t="shared" si="1"/>
        <v>7</v>
      </c>
      <c r="H18" s="6" t="str">
        <f t="shared" si="2"/>
        <v>Valid</v>
      </c>
      <c r="I18" t="s">
        <v>128</v>
      </c>
      <c r="J18" t="s">
        <v>129</v>
      </c>
      <c r="K18" t="s">
        <v>25</v>
      </c>
      <c r="L18" t="s">
        <v>55</v>
      </c>
      <c r="M18" t="s">
        <v>56</v>
      </c>
      <c r="N18" t="s">
        <v>57</v>
      </c>
      <c r="O18" t="s">
        <v>29</v>
      </c>
      <c r="P18" t="s">
        <v>49</v>
      </c>
      <c r="Q18" t="s">
        <v>130</v>
      </c>
      <c r="R18" t="s">
        <v>51</v>
      </c>
      <c r="S18">
        <v>4</v>
      </c>
      <c r="T18">
        <v>3323.51</v>
      </c>
      <c r="U18" s="2">
        <f t="shared" si="6"/>
        <v>9970.5300000000007</v>
      </c>
      <c r="V18" s="13">
        <v>0.25</v>
      </c>
      <c r="W18" s="2">
        <f t="shared" si="7"/>
        <v>0.25</v>
      </c>
      <c r="X18" s="2" t="str">
        <f t="shared" si="8"/>
        <v>Valid</v>
      </c>
      <c r="Y18" s="2" t="str">
        <f t="shared" si="9"/>
        <v>Clean</v>
      </c>
      <c r="Z18">
        <v>9970.5300000000007</v>
      </c>
      <c r="AA18">
        <v>5668.17</v>
      </c>
      <c r="AB18" s="2">
        <f t="shared" si="3"/>
        <v>4302.3600000000006</v>
      </c>
      <c r="AC18">
        <v>4302.3599999999997</v>
      </c>
      <c r="AD18" s="11">
        <f t="shared" si="10"/>
        <v>0.43150765305354877</v>
      </c>
      <c r="AE18" t="s">
        <v>33</v>
      </c>
      <c r="AF18" t="s">
        <v>34</v>
      </c>
    </row>
    <row r="19" spans="1:32">
      <c r="A19" t="s">
        <v>131</v>
      </c>
      <c r="B19" s="2" t="str">
        <f t="shared" si="0"/>
        <v>Unique</v>
      </c>
      <c r="C19" s="2" t="str">
        <f t="shared" si="4"/>
        <v>Jan</v>
      </c>
      <c r="D19" s="2">
        <f t="shared" si="5"/>
        <v>2024</v>
      </c>
      <c r="E19" s="4">
        <v>45298</v>
      </c>
      <c r="F19" s="4">
        <v>45299</v>
      </c>
      <c r="G19" s="6">
        <f t="shared" si="1"/>
        <v>1</v>
      </c>
      <c r="H19" s="6" t="str">
        <f t="shared" si="2"/>
        <v>Valid</v>
      </c>
      <c r="I19" t="s">
        <v>132</v>
      </c>
      <c r="J19" t="s">
        <v>133</v>
      </c>
      <c r="K19" t="s">
        <v>38</v>
      </c>
      <c r="L19" t="s">
        <v>26</v>
      </c>
      <c r="M19" t="s">
        <v>27</v>
      </c>
      <c r="N19" t="s">
        <v>28</v>
      </c>
      <c r="O19" t="s">
        <v>42</v>
      </c>
      <c r="P19" t="s">
        <v>58</v>
      </c>
      <c r="Q19" t="s">
        <v>134</v>
      </c>
      <c r="R19" t="s">
        <v>45</v>
      </c>
      <c r="S19">
        <v>5</v>
      </c>
      <c r="T19">
        <v>1526.78</v>
      </c>
      <c r="U19" s="2">
        <f t="shared" si="6"/>
        <v>7633.9</v>
      </c>
      <c r="V19" s="13">
        <v>0</v>
      </c>
      <c r="W19" s="2">
        <f t="shared" si="7"/>
        <v>0</v>
      </c>
      <c r="X19" s="2" t="str">
        <f>IF(OR(V19&lt;0,V19&gt;1),"Invalid","Valid")</f>
        <v>Valid</v>
      </c>
      <c r="Y19" s="2" t="str">
        <f t="shared" si="9"/>
        <v>Clean</v>
      </c>
      <c r="Z19">
        <v>7633.9</v>
      </c>
      <c r="AA19">
        <v>4706.91</v>
      </c>
      <c r="AB19" s="2">
        <f t="shared" si="3"/>
        <v>2926.99</v>
      </c>
      <c r="AC19">
        <v>2926.99</v>
      </c>
      <c r="AD19" s="11">
        <f t="shared" si="10"/>
        <v>0.38342000812166782</v>
      </c>
      <c r="AE19" t="s">
        <v>33</v>
      </c>
      <c r="AF19" t="s">
        <v>34</v>
      </c>
    </row>
    <row r="20" spans="1:32">
      <c r="A20" t="s">
        <v>135</v>
      </c>
      <c r="B20" s="2" t="str">
        <f t="shared" si="0"/>
        <v>Unique</v>
      </c>
      <c r="C20" s="2" t="str">
        <f t="shared" si="4"/>
        <v>Jul</v>
      </c>
      <c r="D20" s="2">
        <f t="shared" si="5"/>
        <v>2025</v>
      </c>
      <c r="E20" s="4">
        <v>45853</v>
      </c>
      <c r="F20" s="4">
        <v>45855</v>
      </c>
      <c r="G20" s="6">
        <f t="shared" si="1"/>
        <v>2</v>
      </c>
      <c r="H20" s="6" t="str">
        <f t="shared" si="2"/>
        <v>Valid</v>
      </c>
      <c r="I20" t="s">
        <v>136</v>
      </c>
      <c r="J20" t="s">
        <v>129</v>
      </c>
      <c r="K20" t="s">
        <v>96</v>
      </c>
      <c r="L20" t="s">
        <v>26</v>
      </c>
      <c r="M20" t="s">
        <v>137</v>
      </c>
      <c r="N20" t="s">
        <v>138</v>
      </c>
      <c r="O20" t="s">
        <v>75</v>
      </c>
      <c r="P20" t="s">
        <v>81</v>
      </c>
      <c r="Q20" t="s">
        <v>139</v>
      </c>
      <c r="R20" t="s">
        <v>51</v>
      </c>
      <c r="S20">
        <v>2</v>
      </c>
      <c r="T20">
        <v>1997.99</v>
      </c>
      <c r="U20" s="2">
        <f t="shared" si="6"/>
        <v>3995.98</v>
      </c>
      <c r="V20" s="13">
        <v>0</v>
      </c>
      <c r="W20" s="2">
        <f t="shared" si="7"/>
        <v>0</v>
      </c>
      <c r="X20" s="2" t="str">
        <f t="shared" si="8"/>
        <v>Valid</v>
      </c>
      <c r="Y20" s="2" t="str">
        <f t="shared" si="9"/>
        <v>Clean</v>
      </c>
      <c r="Z20">
        <v>3995.98</v>
      </c>
      <c r="AA20">
        <v>2633.2</v>
      </c>
      <c r="AB20" s="2">
        <f t="shared" si="3"/>
        <v>1362.7800000000002</v>
      </c>
      <c r="AC20">
        <v>1362.78</v>
      </c>
      <c r="AD20" s="11">
        <f t="shared" si="10"/>
        <v>0.34103774293164629</v>
      </c>
      <c r="AE20" t="s">
        <v>103</v>
      </c>
      <c r="AF20" t="s">
        <v>69</v>
      </c>
    </row>
    <row r="21" spans="1:32">
      <c r="A21" t="s">
        <v>140</v>
      </c>
      <c r="B21" s="2" t="str">
        <f t="shared" si="0"/>
        <v>Unique</v>
      </c>
      <c r="C21" s="2" t="str">
        <f t="shared" si="4"/>
        <v>Jul</v>
      </c>
      <c r="D21" s="2">
        <f t="shared" si="5"/>
        <v>2024</v>
      </c>
      <c r="E21" s="4">
        <v>45500</v>
      </c>
      <c r="F21" s="4">
        <v>45504</v>
      </c>
      <c r="G21" s="6">
        <f t="shared" si="1"/>
        <v>4</v>
      </c>
      <c r="H21" s="6" t="str">
        <f t="shared" si="2"/>
        <v>Valid</v>
      </c>
      <c r="I21" t="s">
        <v>141</v>
      </c>
      <c r="J21" t="s">
        <v>142</v>
      </c>
      <c r="K21" t="s">
        <v>96</v>
      </c>
      <c r="L21" t="s">
        <v>64</v>
      </c>
      <c r="M21" t="s">
        <v>73</v>
      </c>
      <c r="N21" t="s">
        <v>74</v>
      </c>
      <c r="O21" t="s">
        <v>29</v>
      </c>
      <c r="P21" t="s">
        <v>125</v>
      </c>
      <c r="Q21" t="s">
        <v>143</v>
      </c>
      <c r="R21" t="s">
        <v>32</v>
      </c>
      <c r="S21">
        <v>3</v>
      </c>
      <c r="T21">
        <v>3887.94</v>
      </c>
      <c r="U21" s="2" t="str">
        <f t="shared" si="6"/>
        <v>Invalid</v>
      </c>
      <c r="V21" s="13">
        <v>-0.19</v>
      </c>
      <c r="W21" s="2" t="str">
        <f t="shared" si="7"/>
        <v>Invalid</v>
      </c>
      <c r="X21" s="2" t="str">
        <f t="shared" si="8"/>
        <v>Invalid</v>
      </c>
      <c r="Y21" s="2" t="str">
        <f t="shared" si="9"/>
        <v>Invalid</v>
      </c>
      <c r="Z21">
        <v>9331.06</v>
      </c>
      <c r="AA21">
        <v>7529.31</v>
      </c>
      <c r="AB21" s="2" t="str">
        <f t="shared" si="3"/>
        <v>Invalid</v>
      </c>
      <c r="AC21">
        <v>1801.75</v>
      </c>
      <c r="AD21" s="11">
        <f t="shared" si="10"/>
        <v>0.19309167447213929</v>
      </c>
      <c r="AE21" t="s">
        <v>33</v>
      </c>
      <c r="AF21" t="s">
        <v>34</v>
      </c>
    </row>
    <row r="22" spans="1:32">
      <c r="A22" t="s">
        <v>144</v>
      </c>
      <c r="B22" s="2" t="str">
        <f t="shared" si="0"/>
        <v>Unique</v>
      </c>
      <c r="C22" s="2" t="str">
        <f t="shared" si="4"/>
        <v>Jan</v>
      </c>
      <c r="D22" s="2">
        <f t="shared" si="5"/>
        <v>2025</v>
      </c>
      <c r="E22" s="4">
        <v>45678</v>
      </c>
      <c r="F22" s="4">
        <v>45680</v>
      </c>
      <c r="G22" s="6">
        <f t="shared" si="1"/>
        <v>2</v>
      </c>
      <c r="H22" s="6" t="str">
        <f t="shared" si="2"/>
        <v>Valid</v>
      </c>
      <c r="I22" t="s">
        <v>145</v>
      </c>
      <c r="J22" t="s">
        <v>90</v>
      </c>
      <c r="K22" t="s">
        <v>96</v>
      </c>
      <c r="L22" t="s">
        <v>39</v>
      </c>
      <c r="M22" t="s">
        <v>146</v>
      </c>
      <c r="N22" t="s">
        <v>147</v>
      </c>
      <c r="O22" t="s">
        <v>75</v>
      </c>
      <c r="P22" t="s">
        <v>81</v>
      </c>
      <c r="Q22" t="s">
        <v>148</v>
      </c>
      <c r="R22" t="s">
        <v>51</v>
      </c>
      <c r="S22">
        <v>5</v>
      </c>
      <c r="T22">
        <v>4373.0600000000004</v>
      </c>
      <c r="U22" s="2">
        <f t="shared" si="6"/>
        <v>16398.975000000002</v>
      </c>
      <c r="V22" s="13">
        <v>0.25</v>
      </c>
      <c r="W22" s="2">
        <f t="shared" si="7"/>
        <v>0.25</v>
      </c>
      <c r="X22" s="2" t="str">
        <f t="shared" si="8"/>
        <v>Valid</v>
      </c>
      <c r="Y22" s="2" t="str">
        <f t="shared" si="9"/>
        <v>Clean</v>
      </c>
      <c r="Z22">
        <v>16398.98</v>
      </c>
      <c r="AA22">
        <v>9556.52</v>
      </c>
      <c r="AB22" s="2">
        <f t="shared" si="3"/>
        <v>6842.4550000000017</v>
      </c>
      <c r="AC22">
        <v>6842.46</v>
      </c>
      <c r="AD22" s="11">
        <f t="shared" si="10"/>
        <v>0.41724912159170879</v>
      </c>
      <c r="AE22" t="s">
        <v>33</v>
      </c>
      <c r="AF22" t="s">
        <v>34</v>
      </c>
    </row>
    <row r="23" spans="1:32">
      <c r="A23" t="s">
        <v>149</v>
      </c>
      <c r="B23" s="2" t="str">
        <f t="shared" si="0"/>
        <v>Unique</v>
      </c>
      <c r="C23" s="2" t="str">
        <f t="shared" si="4"/>
        <v>Jan</v>
      </c>
      <c r="D23" s="2">
        <f t="shared" si="5"/>
        <v>2025</v>
      </c>
      <c r="E23" s="4">
        <v>45681</v>
      </c>
      <c r="F23" s="4">
        <v>45687</v>
      </c>
      <c r="G23" s="6">
        <f t="shared" si="1"/>
        <v>6</v>
      </c>
      <c r="H23" s="6" t="str">
        <f t="shared" si="2"/>
        <v>Valid</v>
      </c>
      <c r="I23" t="s">
        <v>150</v>
      </c>
      <c r="J23" t="s">
        <v>133</v>
      </c>
      <c r="K23" t="s">
        <v>25</v>
      </c>
      <c r="L23" t="s">
        <v>64</v>
      </c>
      <c r="M23" t="s">
        <v>73</v>
      </c>
      <c r="N23" t="s">
        <v>74</v>
      </c>
      <c r="O23" t="s">
        <v>42</v>
      </c>
      <c r="P23" t="s">
        <v>58</v>
      </c>
      <c r="Q23" t="s">
        <v>151</v>
      </c>
      <c r="R23" t="s">
        <v>32</v>
      </c>
      <c r="S23">
        <v>4</v>
      </c>
      <c r="T23">
        <v>697.69</v>
      </c>
      <c r="U23" s="2" t="str">
        <f t="shared" si="6"/>
        <v>Invalid</v>
      </c>
      <c r="V23" s="13">
        <v>-0.23</v>
      </c>
      <c r="W23" s="2" t="str">
        <f t="shared" si="7"/>
        <v>Invalid</v>
      </c>
      <c r="X23" s="2" t="str">
        <f t="shared" si="8"/>
        <v>Invalid</v>
      </c>
      <c r="Y23" s="2" t="str">
        <f t="shared" si="9"/>
        <v>Invalid</v>
      </c>
      <c r="Z23">
        <v>2790.76</v>
      </c>
      <c r="AA23">
        <v>2037.71</v>
      </c>
      <c r="AB23" s="2" t="str">
        <f t="shared" si="3"/>
        <v>Invalid</v>
      </c>
      <c r="AC23">
        <v>753.05</v>
      </c>
      <c r="AD23" s="11">
        <f t="shared" si="10"/>
        <v>0.26983689030944974</v>
      </c>
      <c r="AE23" t="s">
        <v>33</v>
      </c>
      <c r="AF23" t="s">
        <v>34</v>
      </c>
    </row>
    <row r="24" spans="1:32">
      <c r="A24" t="s">
        <v>152</v>
      </c>
      <c r="B24" s="2" t="str">
        <f t="shared" si="0"/>
        <v>Unique</v>
      </c>
      <c r="C24" s="2" t="str">
        <f t="shared" si="4"/>
        <v>Jan</v>
      </c>
      <c r="D24" s="2">
        <f t="shared" si="5"/>
        <v>2025</v>
      </c>
      <c r="E24" s="4">
        <v>45676</v>
      </c>
      <c r="F24" s="4">
        <v>45678</v>
      </c>
      <c r="G24" s="6">
        <f t="shared" si="1"/>
        <v>2</v>
      </c>
      <c r="H24" s="6" t="str">
        <f t="shared" si="2"/>
        <v>Valid</v>
      </c>
      <c r="I24" t="s">
        <v>153</v>
      </c>
      <c r="J24" t="s">
        <v>37</v>
      </c>
      <c r="K24" t="s">
        <v>25</v>
      </c>
      <c r="L24" t="s">
        <v>55</v>
      </c>
      <c r="M24" t="s">
        <v>56</v>
      </c>
      <c r="N24" t="s">
        <v>57</v>
      </c>
      <c r="O24" t="s">
        <v>29</v>
      </c>
      <c r="P24" t="s">
        <v>154</v>
      </c>
      <c r="Q24" t="s">
        <v>155</v>
      </c>
      <c r="R24" t="s">
        <v>60</v>
      </c>
      <c r="S24">
        <v>8</v>
      </c>
      <c r="T24">
        <v>1219.3399999999999</v>
      </c>
      <c r="U24" s="2">
        <f t="shared" si="6"/>
        <v>8291.5119999999988</v>
      </c>
      <c r="V24" s="13">
        <v>0.15</v>
      </c>
      <c r="W24" s="2">
        <f t="shared" si="7"/>
        <v>0.15</v>
      </c>
      <c r="X24" s="2" t="str">
        <f t="shared" si="8"/>
        <v>Valid</v>
      </c>
      <c r="Y24" s="2" t="str">
        <f t="shared" si="9"/>
        <v>Clean</v>
      </c>
      <c r="Z24">
        <v>8291.51</v>
      </c>
      <c r="AA24">
        <v>6685.03</v>
      </c>
      <c r="AB24" s="2">
        <f t="shared" si="3"/>
        <v>1606.4819999999991</v>
      </c>
      <c r="AC24">
        <v>1606.48</v>
      </c>
      <c r="AD24" s="11">
        <f t="shared" si="10"/>
        <v>0.19374999246216912</v>
      </c>
      <c r="AE24" t="s">
        <v>156</v>
      </c>
      <c r="AF24" t="s">
        <v>104</v>
      </c>
    </row>
    <row r="25" spans="1:32">
      <c r="A25" t="s">
        <v>157</v>
      </c>
      <c r="B25" s="2" t="str">
        <f t="shared" si="0"/>
        <v>Unique</v>
      </c>
      <c r="C25" s="2" t="str">
        <f t="shared" si="4"/>
        <v>Aug</v>
      </c>
      <c r="D25" s="2">
        <f t="shared" si="5"/>
        <v>2025</v>
      </c>
      <c r="E25" s="4">
        <v>45898</v>
      </c>
      <c r="F25" s="4">
        <v>45900</v>
      </c>
      <c r="G25" s="6">
        <f t="shared" si="1"/>
        <v>2</v>
      </c>
      <c r="H25" s="6" t="str">
        <f t="shared" si="2"/>
        <v>Valid</v>
      </c>
      <c r="I25" t="s">
        <v>158</v>
      </c>
      <c r="J25" t="s">
        <v>119</v>
      </c>
      <c r="K25" t="s">
        <v>96</v>
      </c>
      <c r="L25" t="s">
        <v>39</v>
      </c>
      <c r="M25" t="s">
        <v>146</v>
      </c>
      <c r="N25" t="s">
        <v>147</v>
      </c>
      <c r="O25" t="s">
        <v>42</v>
      </c>
      <c r="P25" t="s">
        <v>159</v>
      </c>
      <c r="Q25" t="s">
        <v>160</v>
      </c>
      <c r="R25" t="s">
        <v>51</v>
      </c>
      <c r="S25">
        <v>4</v>
      </c>
      <c r="T25">
        <v>1958.01</v>
      </c>
      <c r="U25" s="2">
        <f t="shared" si="6"/>
        <v>6265.6320000000005</v>
      </c>
      <c r="V25" s="13">
        <v>0.2</v>
      </c>
      <c r="W25" s="2">
        <f t="shared" si="7"/>
        <v>0.2</v>
      </c>
      <c r="X25" s="2" t="str">
        <f t="shared" si="8"/>
        <v>Valid</v>
      </c>
      <c r="Y25" s="2" t="str">
        <f t="shared" si="9"/>
        <v>Clean</v>
      </c>
      <c r="Z25">
        <v>6265.63</v>
      </c>
      <c r="AA25">
        <v>4321.8599999999997</v>
      </c>
      <c r="AB25" s="2">
        <f t="shared" si="3"/>
        <v>1943.7720000000008</v>
      </c>
      <c r="AC25">
        <v>1943.77</v>
      </c>
      <c r="AD25" s="11">
        <f t="shared" si="10"/>
        <v>0.31022738335969408</v>
      </c>
      <c r="AE25" t="s">
        <v>33</v>
      </c>
      <c r="AF25" t="s">
        <v>34</v>
      </c>
    </row>
    <row r="26" spans="1:32">
      <c r="A26" t="s">
        <v>161</v>
      </c>
      <c r="B26" s="2" t="str">
        <f t="shared" si="0"/>
        <v>Unique</v>
      </c>
      <c r="C26" s="2" t="str">
        <f t="shared" si="4"/>
        <v>Mar</v>
      </c>
      <c r="D26" s="2">
        <f t="shared" si="5"/>
        <v>2024</v>
      </c>
      <c r="E26" s="4">
        <v>45355</v>
      </c>
      <c r="F26" s="4">
        <v>45352</v>
      </c>
      <c r="G26" s="6">
        <f t="shared" si="1"/>
        <v>-3</v>
      </c>
      <c r="H26" s="6" t="str">
        <f t="shared" si="2"/>
        <v>Invalid: Ship Date Before Order Date</v>
      </c>
      <c r="I26" t="s">
        <v>162</v>
      </c>
      <c r="J26" t="s">
        <v>163</v>
      </c>
      <c r="K26" t="s">
        <v>25</v>
      </c>
      <c r="L26" t="s">
        <v>26</v>
      </c>
      <c r="M26" t="s">
        <v>123</v>
      </c>
      <c r="N26" t="s">
        <v>124</v>
      </c>
      <c r="O26" t="s">
        <v>29</v>
      </c>
      <c r="P26" t="s">
        <v>49</v>
      </c>
      <c r="Q26" t="s">
        <v>164</v>
      </c>
      <c r="R26" t="s">
        <v>60</v>
      </c>
      <c r="S26">
        <v>4</v>
      </c>
      <c r="T26">
        <v>4492.9399999999996</v>
      </c>
      <c r="U26" s="2">
        <f t="shared" si="6"/>
        <v>13478.82</v>
      </c>
      <c r="V26" s="13">
        <v>0.25</v>
      </c>
      <c r="W26" s="2">
        <f t="shared" si="7"/>
        <v>0.25</v>
      </c>
      <c r="X26" s="2" t="str">
        <f t="shared" si="8"/>
        <v>Valid</v>
      </c>
      <c r="Y26" s="2" t="str">
        <f t="shared" si="9"/>
        <v>Invalid</v>
      </c>
      <c r="Z26">
        <v>13478.82</v>
      </c>
      <c r="AA26">
        <v>10937.35</v>
      </c>
      <c r="AB26" s="2">
        <f t="shared" si="3"/>
        <v>2541.4699999999993</v>
      </c>
      <c r="AC26">
        <v>2541.4699999999998</v>
      </c>
      <c r="AD26" s="11">
        <f t="shared" si="10"/>
        <v>0.18855285551702597</v>
      </c>
      <c r="AE26" t="s">
        <v>112</v>
      </c>
      <c r="AF26" t="s">
        <v>69</v>
      </c>
    </row>
    <row r="27" spans="1:32">
      <c r="A27" t="s">
        <v>165</v>
      </c>
      <c r="B27" s="2" t="str">
        <f t="shared" si="0"/>
        <v>Unique</v>
      </c>
      <c r="C27" s="2" t="str">
        <f t="shared" si="4"/>
        <v>Oct</v>
      </c>
      <c r="D27" s="2">
        <f t="shared" si="5"/>
        <v>2024</v>
      </c>
      <c r="E27" s="4">
        <v>45576</v>
      </c>
      <c r="F27" s="4">
        <v>45584</v>
      </c>
      <c r="G27" s="6">
        <f t="shared" si="1"/>
        <v>8</v>
      </c>
      <c r="H27" s="6" t="str">
        <f t="shared" si="2"/>
        <v>Valid</v>
      </c>
      <c r="I27" t="s">
        <v>166</v>
      </c>
      <c r="J27" t="s">
        <v>54</v>
      </c>
      <c r="K27" t="s">
        <v>91</v>
      </c>
      <c r="L27" t="s">
        <v>39</v>
      </c>
      <c r="M27" t="s">
        <v>167</v>
      </c>
      <c r="N27" t="s">
        <v>168</v>
      </c>
      <c r="O27" t="s">
        <v>75</v>
      </c>
      <c r="P27" t="s">
        <v>76</v>
      </c>
      <c r="Q27" t="s">
        <v>169</v>
      </c>
      <c r="R27" t="s">
        <v>51</v>
      </c>
      <c r="S27">
        <v>2</v>
      </c>
      <c r="T27">
        <v>4315.2</v>
      </c>
      <c r="U27" s="2">
        <f t="shared" si="6"/>
        <v>7335.8399999999992</v>
      </c>
      <c r="V27" s="13">
        <v>0.15</v>
      </c>
      <c r="W27" s="2">
        <f t="shared" si="7"/>
        <v>0.15</v>
      </c>
      <c r="X27" s="2" t="str">
        <f t="shared" si="8"/>
        <v>Valid</v>
      </c>
      <c r="Y27" s="2" t="str">
        <f t="shared" si="9"/>
        <v>Clean</v>
      </c>
      <c r="Z27">
        <v>7335.84</v>
      </c>
      <c r="AA27">
        <v>4968.41</v>
      </c>
      <c r="AB27" s="2">
        <f t="shared" si="3"/>
        <v>2367.4299999999994</v>
      </c>
      <c r="AC27">
        <v>2367.4299999999998</v>
      </c>
      <c r="AD27" s="11">
        <f t="shared" si="10"/>
        <v>0.32272105171323257</v>
      </c>
      <c r="AE27" t="s">
        <v>33</v>
      </c>
      <c r="AF27" t="s">
        <v>34</v>
      </c>
    </row>
    <row r="28" spans="1:32">
      <c r="A28" t="s">
        <v>170</v>
      </c>
      <c r="B28" s="2" t="str">
        <f t="shared" si="0"/>
        <v>Unique</v>
      </c>
      <c r="C28" s="2" t="str">
        <f t="shared" si="4"/>
        <v>Nov</v>
      </c>
      <c r="D28" s="2">
        <f t="shared" si="5"/>
        <v>2024</v>
      </c>
      <c r="E28" s="4">
        <v>45619</v>
      </c>
      <c r="F28" s="4">
        <v>45619</v>
      </c>
      <c r="G28" s="6">
        <f t="shared" si="1"/>
        <v>0</v>
      </c>
      <c r="H28" s="6" t="str">
        <f t="shared" si="2"/>
        <v>Valid</v>
      </c>
      <c r="I28" t="s">
        <v>171</v>
      </c>
      <c r="J28" t="s">
        <v>163</v>
      </c>
      <c r="K28" t="s">
        <v>91</v>
      </c>
      <c r="L28" t="s">
        <v>26</v>
      </c>
      <c r="M28" t="s">
        <v>137</v>
      </c>
      <c r="N28" t="s">
        <v>138</v>
      </c>
      <c r="O28" t="s">
        <v>75</v>
      </c>
      <c r="P28" t="s">
        <v>172</v>
      </c>
      <c r="Q28" t="s">
        <v>173</v>
      </c>
      <c r="R28" t="s">
        <v>60</v>
      </c>
      <c r="S28">
        <v>4</v>
      </c>
      <c r="T28">
        <v>716.13</v>
      </c>
      <c r="U28" s="2">
        <f t="shared" si="6"/>
        <v>2578.0680000000002</v>
      </c>
      <c r="V28" s="13">
        <v>0.1</v>
      </c>
      <c r="W28" s="2">
        <f t="shared" si="7"/>
        <v>0.1</v>
      </c>
      <c r="X28" s="2" t="str">
        <f t="shared" si="8"/>
        <v>Valid</v>
      </c>
      <c r="Y28" s="2" t="str">
        <f t="shared" si="9"/>
        <v>Clean</v>
      </c>
      <c r="Z28">
        <v>2578.0700000000002</v>
      </c>
      <c r="AA28">
        <v>1527.55</v>
      </c>
      <c r="AB28" s="2">
        <f t="shared" si="3"/>
        <v>1050.5180000000003</v>
      </c>
      <c r="AC28">
        <v>1050.52</v>
      </c>
      <c r="AD28" s="11">
        <f t="shared" si="10"/>
        <v>0.40748311721559149</v>
      </c>
      <c r="AE28" t="s">
        <v>33</v>
      </c>
      <c r="AF28" t="s">
        <v>104</v>
      </c>
    </row>
    <row r="29" spans="1:32">
      <c r="A29" t="s">
        <v>174</v>
      </c>
      <c r="B29" s="2" t="str">
        <f t="shared" si="0"/>
        <v>Unique</v>
      </c>
      <c r="C29" s="2" t="str">
        <f t="shared" si="4"/>
        <v>Sep</v>
      </c>
      <c r="D29" s="2">
        <f t="shared" si="5"/>
        <v>2025</v>
      </c>
      <c r="E29" s="4">
        <v>45929</v>
      </c>
      <c r="F29" s="4">
        <v>45935</v>
      </c>
      <c r="G29" s="6">
        <f t="shared" si="1"/>
        <v>6</v>
      </c>
      <c r="H29" s="6" t="str">
        <f t="shared" si="2"/>
        <v>Valid</v>
      </c>
      <c r="I29" t="s">
        <v>175</v>
      </c>
      <c r="J29" t="s">
        <v>54</v>
      </c>
      <c r="K29" t="s">
        <v>38</v>
      </c>
      <c r="L29" t="s">
        <v>55</v>
      </c>
      <c r="M29" t="s">
        <v>176</v>
      </c>
      <c r="N29" t="s">
        <v>177</v>
      </c>
      <c r="O29" t="s">
        <v>29</v>
      </c>
      <c r="P29" t="s">
        <v>30</v>
      </c>
      <c r="Q29" t="s">
        <v>178</v>
      </c>
      <c r="R29" t="s">
        <v>32</v>
      </c>
      <c r="S29">
        <v>5</v>
      </c>
      <c r="T29">
        <v>1806.51</v>
      </c>
      <c r="U29" s="2">
        <f t="shared" si="6"/>
        <v>6774.4124999999995</v>
      </c>
      <c r="V29" s="13">
        <v>0.25</v>
      </c>
      <c r="W29" s="2">
        <f t="shared" si="7"/>
        <v>0.25</v>
      </c>
      <c r="X29" s="2" t="str">
        <f t="shared" si="8"/>
        <v>Valid</v>
      </c>
      <c r="Y29" s="2" t="str">
        <f t="shared" si="9"/>
        <v>Clean</v>
      </c>
      <c r="Z29">
        <v>6774.41</v>
      </c>
      <c r="AA29">
        <v>4710.3599999999997</v>
      </c>
      <c r="AB29" s="2">
        <f t="shared" si="3"/>
        <v>2064.0524999999998</v>
      </c>
      <c r="AC29">
        <v>2064.0500000000002</v>
      </c>
      <c r="AD29" s="11">
        <f t="shared" si="10"/>
        <v>0.30468335987931056</v>
      </c>
      <c r="AE29" t="s">
        <v>156</v>
      </c>
      <c r="AF29" t="s">
        <v>104</v>
      </c>
    </row>
    <row r="30" spans="1:32">
      <c r="A30" t="s">
        <v>179</v>
      </c>
      <c r="B30" s="2" t="str">
        <f t="shared" si="0"/>
        <v>Unique</v>
      </c>
      <c r="C30" s="2" t="str">
        <f t="shared" si="4"/>
        <v>Oct</v>
      </c>
      <c r="D30" s="2">
        <f t="shared" si="5"/>
        <v>2024</v>
      </c>
      <c r="E30" s="4">
        <v>45576</v>
      </c>
      <c r="F30" s="4">
        <v>45583</v>
      </c>
      <c r="G30" s="6">
        <f t="shared" si="1"/>
        <v>7</v>
      </c>
      <c r="H30" s="6" t="str">
        <f t="shared" si="2"/>
        <v>Valid</v>
      </c>
      <c r="I30" t="s">
        <v>180</v>
      </c>
      <c r="J30" t="s">
        <v>63</v>
      </c>
      <c r="K30" t="s">
        <v>96</v>
      </c>
      <c r="L30" t="s">
        <v>64</v>
      </c>
      <c r="M30" t="s">
        <v>181</v>
      </c>
      <c r="N30" t="s">
        <v>182</v>
      </c>
      <c r="O30" t="s">
        <v>75</v>
      </c>
      <c r="P30" t="s">
        <v>172</v>
      </c>
      <c r="Q30" t="s">
        <v>183</v>
      </c>
      <c r="R30" t="s">
        <v>32</v>
      </c>
      <c r="S30">
        <v>2</v>
      </c>
      <c r="T30">
        <v>1942.22</v>
      </c>
      <c r="U30" s="2">
        <f t="shared" si="6"/>
        <v>2913.33</v>
      </c>
      <c r="V30" s="13">
        <v>0.25</v>
      </c>
      <c r="W30" s="2">
        <f t="shared" si="7"/>
        <v>0.25</v>
      </c>
      <c r="X30" s="2" t="str">
        <f t="shared" si="8"/>
        <v>Valid</v>
      </c>
      <c r="Y30" s="2" t="str">
        <f t="shared" si="9"/>
        <v>Clean</v>
      </c>
      <c r="Z30">
        <v>2913.33</v>
      </c>
      <c r="AA30">
        <v>2122.33</v>
      </c>
      <c r="AB30" s="2">
        <f t="shared" si="3"/>
        <v>791</v>
      </c>
      <c r="AC30">
        <v>791</v>
      </c>
      <c r="AD30" s="11">
        <f t="shared" si="10"/>
        <v>0.27151060813570727</v>
      </c>
      <c r="AE30" t="s">
        <v>103</v>
      </c>
      <c r="AF30" t="s">
        <v>69</v>
      </c>
    </row>
    <row r="31" spans="1:32">
      <c r="A31" t="s">
        <v>184</v>
      </c>
      <c r="B31" s="2" t="str">
        <f t="shared" si="0"/>
        <v>Unique</v>
      </c>
      <c r="C31" s="2" t="str">
        <f t="shared" si="4"/>
        <v>Aug</v>
      </c>
      <c r="D31" s="2">
        <f t="shared" si="5"/>
        <v>2025</v>
      </c>
      <c r="E31" s="4">
        <v>45882</v>
      </c>
      <c r="F31" s="4">
        <v>45882</v>
      </c>
      <c r="G31" s="6">
        <f t="shared" si="1"/>
        <v>0</v>
      </c>
      <c r="H31" s="6" t="str">
        <f t="shared" si="2"/>
        <v>Valid</v>
      </c>
      <c r="I31" t="s">
        <v>185</v>
      </c>
      <c r="J31" t="s">
        <v>142</v>
      </c>
      <c r="K31" t="s">
        <v>96</v>
      </c>
      <c r="L31" t="s">
        <v>55</v>
      </c>
      <c r="M31" t="s">
        <v>186</v>
      </c>
      <c r="N31" t="s">
        <v>187</v>
      </c>
      <c r="O31" t="s">
        <v>75</v>
      </c>
      <c r="P31" t="s">
        <v>172</v>
      </c>
      <c r="Q31" t="s">
        <v>188</v>
      </c>
      <c r="R31" t="s">
        <v>60</v>
      </c>
      <c r="S31">
        <v>1</v>
      </c>
      <c r="T31">
        <v>256.01</v>
      </c>
      <c r="U31" s="2">
        <f t="shared" si="6"/>
        <v>217.60849999999999</v>
      </c>
      <c r="V31" s="13">
        <v>0.15</v>
      </c>
      <c r="W31" s="2">
        <f t="shared" si="7"/>
        <v>0.15</v>
      </c>
      <c r="X31" s="2" t="str">
        <f t="shared" si="8"/>
        <v>Valid</v>
      </c>
      <c r="Y31" s="2" t="str">
        <f t="shared" si="9"/>
        <v>Clean</v>
      </c>
      <c r="Z31">
        <v>217.61</v>
      </c>
      <c r="AA31">
        <v>119.77</v>
      </c>
      <c r="AB31" s="2">
        <f t="shared" si="3"/>
        <v>97.838499999999996</v>
      </c>
      <c r="AC31">
        <v>97.84</v>
      </c>
      <c r="AD31" s="11">
        <f t="shared" si="10"/>
        <v>0.44961169063921691</v>
      </c>
      <c r="AE31" t="s">
        <v>33</v>
      </c>
      <c r="AF31" t="s">
        <v>34</v>
      </c>
    </row>
    <row r="32" spans="1:32">
      <c r="A32" t="s">
        <v>189</v>
      </c>
      <c r="B32" s="2" t="str">
        <f t="shared" si="0"/>
        <v>Unique</v>
      </c>
      <c r="C32" s="2" t="str">
        <f t="shared" si="4"/>
        <v>Feb</v>
      </c>
      <c r="D32" s="2">
        <f t="shared" si="5"/>
        <v>2024</v>
      </c>
      <c r="E32" s="4">
        <v>45331</v>
      </c>
      <c r="F32" s="4">
        <v>45334</v>
      </c>
      <c r="G32" s="6">
        <f t="shared" si="1"/>
        <v>3</v>
      </c>
      <c r="H32" s="6" t="str">
        <f t="shared" si="2"/>
        <v>Valid</v>
      </c>
      <c r="I32" t="s">
        <v>190</v>
      </c>
      <c r="J32" t="s">
        <v>63</v>
      </c>
      <c r="K32" t="s">
        <v>91</v>
      </c>
      <c r="L32" t="s">
        <v>64</v>
      </c>
      <c r="M32" t="s">
        <v>191</v>
      </c>
      <c r="N32" t="s">
        <v>192</v>
      </c>
      <c r="O32" t="s">
        <v>29</v>
      </c>
      <c r="P32" t="s">
        <v>92</v>
      </c>
      <c r="Q32" t="s">
        <v>193</v>
      </c>
      <c r="R32" t="s">
        <v>51</v>
      </c>
      <c r="S32">
        <v>1</v>
      </c>
      <c r="T32">
        <v>3421.77</v>
      </c>
      <c r="U32" s="2">
        <f t="shared" si="6"/>
        <v>3079.5929999999998</v>
      </c>
      <c r="V32" s="13">
        <v>0.1</v>
      </c>
      <c r="W32" s="2">
        <f t="shared" si="7"/>
        <v>0.1</v>
      </c>
      <c r="X32" s="2" t="str">
        <f t="shared" si="8"/>
        <v>Valid</v>
      </c>
      <c r="Y32" s="2" t="str">
        <f t="shared" si="9"/>
        <v>Clean</v>
      </c>
      <c r="Z32">
        <v>3079.59</v>
      </c>
      <c r="AA32">
        <v>2001.89</v>
      </c>
      <c r="AB32" s="2">
        <f t="shared" si="3"/>
        <v>1077.7029999999997</v>
      </c>
      <c r="AC32">
        <v>1077.7</v>
      </c>
      <c r="AD32" s="11">
        <f t="shared" si="10"/>
        <v>0.34994918154689425</v>
      </c>
      <c r="AE32" t="s">
        <v>33</v>
      </c>
      <c r="AF32" t="s">
        <v>34</v>
      </c>
    </row>
    <row r="33" spans="1:32">
      <c r="A33" t="s">
        <v>194</v>
      </c>
      <c r="B33" s="2" t="str">
        <f t="shared" si="0"/>
        <v>Unique</v>
      </c>
      <c r="C33" s="2" t="str">
        <f t="shared" si="4"/>
        <v>Jun</v>
      </c>
      <c r="D33" s="2">
        <f t="shared" si="5"/>
        <v>2025</v>
      </c>
      <c r="E33" s="4">
        <v>45823</v>
      </c>
      <c r="F33" s="4">
        <v>45827</v>
      </c>
      <c r="G33" s="6">
        <f t="shared" si="1"/>
        <v>4</v>
      </c>
      <c r="H33" s="6" t="str">
        <f t="shared" si="2"/>
        <v>Valid</v>
      </c>
      <c r="I33" t="s">
        <v>195</v>
      </c>
      <c r="J33" t="s">
        <v>24</v>
      </c>
      <c r="K33" t="s">
        <v>38</v>
      </c>
      <c r="L33" t="s">
        <v>64</v>
      </c>
      <c r="M33" t="s">
        <v>73</v>
      </c>
      <c r="N33" t="s">
        <v>74</v>
      </c>
      <c r="O33" t="s">
        <v>29</v>
      </c>
      <c r="P33" t="s">
        <v>30</v>
      </c>
      <c r="Q33" t="s">
        <v>196</v>
      </c>
      <c r="R33" t="s">
        <v>32</v>
      </c>
      <c r="S33">
        <v>9</v>
      </c>
      <c r="T33">
        <v>3092.55</v>
      </c>
      <c r="U33" s="2">
        <f t="shared" si="6"/>
        <v>27832.95</v>
      </c>
      <c r="V33" s="13">
        <v>0</v>
      </c>
      <c r="W33" s="2">
        <f t="shared" si="7"/>
        <v>0</v>
      </c>
      <c r="X33" s="2" t="str">
        <f t="shared" si="8"/>
        <v>Valid</v>
      </c>
      <c r="Y33" s="2" t="str">
        <f t="shared" si="9"/>
        <v>Clean</v>
      </c>
      <c r="Z33">
        <v>27832.95</v>
      </c>
      <c r="AA33">
        <v>17769.75</v>
      </c>
      <c r="AB33" s="2">
        <f t="shared" si="3"/>
        <v>10063.200000000001</v>
      </c>
      <c r="AC33">
        <v>10063.200000000001</v>
      </c>
      <c r="AD33" s="11">
        <f t="shared" si="10"/>
        <v>0.36155707533696574</v>
      </c>
      <c r="AE33" t="s">
        <v>156</v>
      </c>
      <c r="AF33" t="s">
        <v>104</v>
      </c>
    </row>
    <row r="34" spans="1:32">
      <c r="A34" t="s">
        <v>197</v>
      </c>
      <c r="B34" s="2" t="str">
        <f t="shared" si="0"/>
        <v>Unique</v>
      </c>
      <c r="C34" s="2" t="str">
        <f t="shared" si="4"/>
        <v>Nov</v>
      </c>
      <c r="D34" s="2">
        <f t="shared" si="5"/>
        <v>2024</v>
      </c>
      <c r="E34" s="4">
        <v>45618</v>
      </c>
      <c r="F34" s="4">
        <v>45622</v>
      </c>
      <c r="G34" s="6">
        <f t="shared" si="1"/>
        <v>4</v>
      </c>
      <c r="H34" s="6" t="str">
        <f t="shared" si="2"/>
        <v>Valid</v>
      </c>
      <c r="I34" t="s">
        <v>198</v>
      </c>
      <c r="J34" t="s">
        <v>129</v>
      </c>
      <c r="K34" t="s">
        <v>91</v>
      </c>
      <c r="L34" t="s">
        <v>55</v>
      </c>
      <c r="M34" t="s">
        <v>85</v>
      </c>
      <c r="N34" t="s">
        <v>86</v>
      </c>
      <c r="O34" t="s">
        <v>75</v>
      </c>
      <c r="P34" t="s">
        <v>172</v>
      </c>
      <c r="Q34" t="s">
        <v>199</v>
      </c>
      <c r="R34" t="s">
        <v>32</v>
      </c>
      <c r="S34">
        <v>3</v>
      </c>
      <c r="T34">
        <v>4001.25</v>
      </c>
      <c r="U34" s="2">
        <f t="shared" si="6"/>
        <v>12003.75</v>
      </c>
      <c r="V34" s="13">
        <v>0</v>
      </c>
      <c r="W34" s="2">
        <f t="shared" si="7"/>
        <v>0</v>
      </c>
      <c r="X34" s="2" t="str">
        <f t="shared" si="8"/>
        <v>Valid</v>
      </c>
      <c r="Y34" s="2" t="str">
        <f t="shared" si="9"/>
        <v>Clean</v>
      </c>
      <c r="Z34">
        <v>9002.81</v>
      </c>
      <c r="AA34">
        <v>7529.92</v>
      </c>
      <c r="AB34" s="2">
        <f t="shared" si="3"/>
        <v>4473.83</v>
      </c>
      <c r="AC34">
        <v>1472.89</v>
      </c>
      <c r="AD34" s="11">
        <f t="shared" si="10"/>
        <v>0.16360336383862373</v>
      </c>
      <c r="AE34" t="s">
        <v>33</v>
      </c>
      <c r="AF34" t="s">
        <v>34</v>
      </c>
    </row>
    <row r="35" spans="1:32">
      <c r="A35" t="s">
        <v>200</v>
      </c>
      <c r="B35" s="2" t="str">
        <f t="shared" si="0"/>
        <v>Unique</v>
      </c>
      <c r="C35" s="2" t="str">
        <f t="shared" si="4"/>
        <v>Jul</v>
      </c>
      <c r="D35" s="2">
        <f t="shared" si="5"/>
        <v>2024</v>
      </c>
      <c r="E35" s="4">
        <v>45495</v>
      </c>
      <c r="F35" s="4">
        <v>45500</v>
      </c>
      <c r="G35" s="6">
        <f t="shared" si="1"/>
        <v>5</v>
      </c>
      <c r="H35" s="6" t="str">
        <f t="shared" si="2"/>
        <v>Valid</v>
      </c>
      <c r="I35" t="s">
        <v>201</v>
      </c>
      <c r="J35" t="s">
        <v>115</v>
      </c>
      <c r="K35" t="s">
        <v>96</v>
      </c>
      <c r="L35" t="s">
        <v>64</v>
      </c>
      <c r="M35" t="s">
        <v>191</v>
      </c>
      <c r="N35" t="s">
        <v>192</v>
      </c>
      <c r="O35" t="s">
        <v>42</v>
      </c>
      <c r="P35" t="s">
        <v>43</v>
      </c>
      <c r="Q35" t="s">
        <v>202</v>
      </c>
      <c r="R35" t="s">
        <v>45</v>
      </c>
      <c r="S35">
        <v>7</v>
      </c>
      <c r="T35">
        <v>492.41</v>
      </c>
      <c r="U35" s="2">
        <f t="shared" si="6"/>
        <v>2585.1525000000001</v>
      </c>
      <c r="V35" s="13">
        <v>0.25</v>
      </c>
      <c r="W35" s="2">
        <f t="shared" si="7"/>
        <v>0.25</v>
      </c>
      <c r="X35" s="2" t="str">
        <f t="shared" si="8"/>
        <v>Valid</v>
      </c>
      <c r="Y35" s="2" t="str">
        <f t="shared" si="9"/>
        <v>Clean</v>
      </c>
      <c r="Z35">
        <v>2585.15</v>
      </c>
      <c r="AA35">
        <v>2070.73</v>
      </c>
      <c r="AB35" s="2">
        <f t="shared" si="3"/>
        <v>514.42250000000013</v>
      </c>
      <c r="AC35">
        <v>514.41999999999996</v>
      </c>
      <c r="AD35" s="11">
        <f t="shared" si="10"/>
        <v>0.19899038740498615</v>
      </c>
      <c r="AE35" t="s">
        <v>33</v>
      </c>
      <c r="AF35" t="s">
        <v>34</v>
      </c>
    </row>
    <row r="36" spans="1:32">
      <c r="A36" t="s">
        <v>203</v>
      </c>
      <c r="B36" s="2" t="str">
        <f t="shared" si="0"/>
        <v>Unique</v>
      </c>
      <c r="C36" s="2" t="str">
        <f t="shared" si="4"/>
        <v>Jan</v>
      </c>
      <c r="D36" s="2">
        <f t="shared" si="5"/>
        <v>2025</v>
      </c>
      <c r="E36" s="4">
        <v>45688</v>
      </c>
      <c r="F36" s="4">
        <v>45693</v>
      </c>
      <c r="G36" s="6">
        <f t="shared" si="1"/>
        <v>5</v>
      </c>
      <c r="H36" s="6" t="str">
        <f t="shared" si="2"/>
        <v>Valid</v>
      </c>
      <c r="I36" t="s">
        <v>204</v>
      </c>
      <c r="J36" t="s">
        <v>115</v>
      </c>
      <c r="K36" t="s">
        <v>96</v>
      </c>
      <c r="L36" t="s">
        <v>39</v>
      </c>
      <c r="M36" t="s">
        <v>100</v>
      </c>
      <c r="N36" t="s">
        <v>101</v>
      </c>
      <c r="O36" t="s">
        <v>42</v>
      </c>
      <c r="P36" t="s">
        <v>67</v>
      </c>
      <c r="Q36" t="s">
        <v>205</v>
      </c>
      <c r="R36" t="s">
        <v>2793</v>
      </c>
      <c r="S36">
        <v>2</v>
      </c>
      <c r="T36">
        <v>4159.6899999999996</v>
      </c>
      <c r="U36" s="2">
        <f t="shared" si="6"/>
        <v>6655.5039999999999</v>
      </c>
      <c r="V36" s="13">
        <v>0.2</v>
      </c>
      <c r="W36" s="2">
        <f t="shared" si="7"/>
        <v>0.2</v>
      </c>
      <c r="X36" s="2" t="str">
        <f t="shared" si="8"/>
        <v>Valid</v>
      </c>
      <c r="Y36" s="2" t="str">
        <f t="shared" si="9"/>
        <v>Clean</v>
      </c>
      <c r="Z36">
        <v>6655.5</v>
      </c>
      <c r="AA36">
        <v>4340.21</v>
      </c>
      <c r="AB36" s="2">
        <f t="shared" si="3"/>
        <v>2315.2939999999999</v>
      </c>
      <c r="AC36">
        <v>2607.3200000000002</v>
      </c>
      <c r="AD36" s="11">
        <f t="shared" si="10"/>
        <v>0.39175418826534447</v>
      </c>
      <c r="AE36" t="s">
        <v>33</v>
      </c>
      <c r="AF36" t="s">
        <v>34</v>
      </c>
    </row>
    <row r="37" spans="1:32">
      <c r="A37" t="s">
        <v>206</v>
      </c>
      <c r="B37" s="2" t="str">
        <f t="shared" si="0"/>
        <v>Unique</v>
      </c>
      <c r="C37" s="2" t="str">
        <f t="shared" si="4"/>
        <v>May</v>
      </c>
      <c r="D37" s="2">
        <f t="shared" si="5"/>
        <v>2024</v>
      </c>
      <c r="E37" s="4">
        <v>45441</v>
      </c>
      <c r="F37" s="4">
        <v>45441</v>
      </c>
      <c r="G37" s="6">
        <f t="shared" si="1"/>
        <v>0</v>
      </c>
      <c r="H37" s="6" t="str">
        <f t="shared" si="2"/>
        <v>Valid</v>
      </c>
      <c r="I37" t="s">
        <v>207</v>
      </c>
      <c r="J37" t="s">
        <v>133</v>
      </c>
      <c r="K37" t="s">
        <v>38</v>
      </c>
      <c r="L37" t="s">
        <v>64</v>
      </c>
      <c r="M37" t="s">
        <v>181</v>
      </c>
      <c r="N37" t="s">
        <v>182</v>
      </c>
      <c r="O37" t="s">
        <v>42</v>
      </c>
      <c r="P37" t="s">
        <v>159</v>
      </c>
      <c r="Q37" t="s">
        <v>208</v>
      </c>
      <c r="R37" t="s">
        <v>32</v>
      </c>
      <c r="S37">
        <v>8</v>
      </c>
      <c r="T37">
        <v>2507.12</v>
      </c>
      <c r="U37" s="2">
        <f t="shared" si="6"/>
        <v>19054.111999999997</v>
      </c>
      <c r="V37" s="13">
        <v>0.05</v>
      </c>
      <c r="W37" s="2">
        <f t="shared" si="7"/>
        <v>0.05</v>
      </c>
      <c r="X37" s="2" t="str">
        <f t="shared" si="8"/>
        <v>Valid</v>
      </c>
      <c r="Y37" s="2" t="str">
        <f t="shared" si="9"/>
        <v>Clean</v>
      </c>
      <c r="Z37">
        <v>19054.11</v>
      </c>
      <c r="AA37">
        <v>15313.83</v>
      </c>
      <c r="AB37" s="2">
        <f t="shared" si="3"/>
        <v>3740.2819999999974</v>
      </c>
      <c r="AC37">
        <v>3740.28</v>
      </c>
      <c r="AD37" s="11">
        <f t="shared" si="10"/>
        <v>0.1962978066149508</v>
      </c>
      <c r="AE37" t="s">
        <v>112</v>
      </c>
      <c r="AF37" t="s">
        <v>104</v>
      </c>
    </row>
    <row r="38" spans="1:32">
      <c r="A38" t="s">
        <v>209</v>
      </c>
      <c r="B38" s="2" t="str">
        <f t="shared" si="0"/>
        <v>Unique</v>
      </c>
      <c r="C38" s="2" t="str">
        <f t="shared" si="4"/>
        <v>Oct</v>
      </c>
      <c r="D38" s="2">
        <f t="shared" si="5"/>
        <v>2024</v>
      </c>
      <c r="E38" s="4">
        <v>45590</v>
      </c>
      <c r="F38" s="4">
        <v>45593</v>
      </c>
      <c r="G38" s="6">
        <f t="shared" si="1"/>
        <v>3</v>
      </c>
      <c r="H38" s="6" t="str">
        <f t="shared" si="2"/>
        <v>Valid</v>
      </c>
      <c r="I38" t="s">
        <v>210</v>
      </c>
      <c r="J38" t="s">
        <v>142</v>
      </c>
      <c r="K38" t="s">
        <v>91</v>
      </c>
      <c r="L38" t="s">
        <v>64</v>
      </c>
      <c r="M38" t="s">
        <v>65</v>
      </c>
      <c r="N38" t="s">
        <v>66</v>
      </c>
      <c r="O38" t="s">
        <v>42</v>
      </c>
      <c r="P38" t="s">
        <v>159</v>
      </c>
      <c r="Q38" t="s">
        <v>211</v>
      </c>
      <c r="R38" t="s">
        <v>32</v>
      </c>
      <c r="S38">
        <v>3</v>
      </c>
      <c r="T38">
        <v>3126.47</v>
      </c>
      <c r="U38" s="2">
        <f t="shared" si="6"/>
        <v>9379.41</v>
      </c>
      <c r="V38" s="13">
        <v>0</v>
      </c>
      <c r="W38" s="2">
        <f t="shared" si="7"/>
        <v>0</v>
      </c>
      <c r="X38" s="2" t="str">
        <f t="shared" si="8"/>
        <v>Valid</v>
      </c>
      <c r="Y38" s="2" t="str">
        <f t="shared" si="9"/>
        <v>Clean</v>
      </c>
      <c r="Z38">
        <v>9379.41</v>
      </c>
      <c r="AA38">
        <v>6670.85</v>
      </c>
      <c r="AB38" s="2">
        <f t="shared" si="3"/>
        <v>2708.5599999999995</v>
      </c>
      <c r="AC38">
        <v>2708.56</v>
      </c>
      <c r="AD38" s="11">
        <f t="shared" si="10"/>
        <v>0.28877722585962229</v>
      </c>
      <c r="AE38" t="s">
        <v>33</v>
      </c>
      <c r="AF38" t="s">
        <v>104</v>
      </c>
    </row>
    <row r="39" spans="1:32">
      <c r="A39" t="s">
        <v>212</v>
      </c>
      <c r="B39" s="2" t="str">
        <f t="shared" si="0"/>
        <v>Unique</v>
      </c>
      <c r="C39" s="2" t="str">
        <f t="shared" si="4"/>
        <v>Jul</v>
      </c>
      <c r="D39" s="2">
        <f t="shared" si="5"/>
        <v>2025</v>
      </c>
      <c r="E39" s="4">
        <v>45867</v>
      </c>
      <c r="F39" s="4">
        <v>45867</v>
      </c>
      <c r="G39" s="6">
        <f t="shared" si="1"/>
        <v>0</v>
      </c>
      <c r="H39" s="6" t="str">
        <f t="shared" si="2"/>
        <v>Valid</v>
      </c>
      <c r="I39" t="s">
        <v>213</v>
      </c>
      <c r="J39" t="s">
        <v>163</v>
      </c>
      <c r="K39" t="s">
        <v>25</v>
      </c>
      <c r="L39" t="s">
        <v>64</v>
      </c>
      <c r="M39" t="s">
        <v>65</v>
      </c>
      <c r="N39" t="s">
        <v>66</v>
      </c>
      <c r="O39" t="s">
        <v>75</v>
      </c>
      <c r="P39" t="s">
        <v>81</v>
      </c>
      <c r="Q39" t="s">
        <v>214</v>
      </c>
      <c r="R39" t="s">
        <v>60</v>
      </c>
      <c r="S39">
        <v>4</v>
      </c>
      <c r="T39">
        <v>1327.54</v>
      </c>
      <c r="U39" s="2">
        <f t="shared" si="6"/>
        <v>4248.1279999999997</v>
      </c>
      <c r="V39" s="13">
        <v>0.2</v>
      </c>
      <c r="W39" s="2">
        <f t="shared" si="7"/>
        <v>0.2</v>
      </c>
      <c r="X39" s="2" t="str">
        <f t="shared" si="8"/>
        <v>Valid</v>
      </c>
      <c r="Y39" s="2" t="str">
        <f t="shared" si="9"/>
        <v>Clean</v>
      </c>
      <c r="Z39">
        <v>4248.13</v>
      </c>
      <c r="AA39">
        <v>3321.09</v>
      </c>
      <c r="AB39" s="2">
        <f t="shared" si="3"/>
        <v>927.03799999999956</v>
      </c>
      <c r="AC39">
        <v>927.04</v>
      </c>
      <c r="AD39" s="11">
        <f t="shared" si="10"/>
        <v>0.21822307697739945</v>
      </c>
      <c r="AE39" t="s">
        <v>33</v>
      </c>
      <c r="AF39" t="s">
        <v>34</v>
      </c>
    </row>
    <row r="40" spans="1:32">
      <c r="A40" t="s">
        <v>215</v>
      </c>
      <c r="B40" s="2" t="str">
        <f t="shared" si="0"/>
        <v>Unique</v>
      </c>
      <c r="C40" s="2" t="str">
        <f t="shared" si="4"/>
        <v>Jun</v>
      </c>
      <c r="D40" s="2">
        <f t="shared" si="5"/>
        <v>2024</v>
      </c>
      <c r="E40" s="4">
        <v>45460</v>
      </c>
      <c r="F40" s="4">
        <v>45465</v>
      </c>
      <c r="G40" s="6">
        <f t="shared" si="1"/>
        <v>5</v>
      </c>
      <c r="H40" s="6" t="str">
        <f t="shared" si="2"/>
        <v>Valid</v>
      </c>
      <c r="I40" t="s">
        <v>216</v>
      </c>
      <c r="J40" t="s">
        <v>129</v>
      </c>
      <c r="K40" t="s">
        <v>91</v>
      </c>
      <c r="L40" t="s">
        <v>64</v>
      </c>
      <c r="M40" t="s">
        <v>181</v>
      </c>
      <c r="N40" t="s">
        <v>182</v>
      </c>
      <c r="O40" t="s">
        <v>75</v>
      </c>
      <c r="P40" t="s">
        <v>172</v>
      </c>
      <c r="Q40" t="s">
        <v>217</v>
      </c>
      <c r="R40" t="s">
        <v>51</v>
      </c>
      <c r="S40">
        <v>7</v>
      </c>
      <c r="T40">
        <v>2210.6799999999998</v>
      </c>
      <c r="U40" s="2">
        <f t="shared" si="6"/>
        <v>13927.284</v>
      </c>
      <c r="V40" s="13">
        <v>0.1</v>
      </c>
      <c r="W40" s="2">
        <f t="shared" si="7"/>
        <v>0.1</v>
      </c>
      <c r="X40" s="2" t="str">
        <f t="shared" si="8"/>
        <v>Valid</v>
      </c>
      <c r="Y40" s="2" t="str">
        <f t="shared" si="9"/>
        <v>Clean</v>
      </c>
      <c r="Z40">
        <v>13927.28</v>
      </c>
      <c r="AA40">
        <v>10504.87</v>
      </c>
      <c r="AB40" s="2">
        <f t="shared" si="3"/>
        <v>3422.4139999999989</v>
      </c>
      <c r="AC40">
        <v>3422.41</v>
      </c>
      <c r="AD40" s="11">
        <f t="shared" si="10"/>
        <v>0.24573427115703853</v>
      </c>
      <c r="AE40" t="s">
        <v>33</v>
      </c>
      <c r="AF40" t="s">
        <v>34</v>
      </c>
    </row>
    <row r="41" spans="1:32">
      <c r="A41" t="s">
        <v>218</v>
      </c>
      <c r="B41" s="2" t="str">
        <f t="shared" si="0"/>
        <v>Unique</v>
      </c>
      <c r="C41" s="2" t="str">
        <f t="shared" si="4"/>
        <v>Dec</v>
      </c>
      <c r="D41" s="2">
        <f t="shared" si="5"/>
        <v>2024</v>
      </c>
      <c r="E41" s="4">
        <v>45637</v>
      </c>
      <c r="F41" s="4">
        <v>45637</v>
      </c>
      <c r="G41" s="6">
        <f t="shared" si="1"/>
        <v>0</v>
      </c>
      <c r="H41" s="6" t="str">
        <f t="shared" si="2"/>
        <v>Valid</v>
      </c>
      <c r="I41" t="s">
        <v>219</v>
      </c>
      <c r="J41" t="s">
        <v>37</v>
      </c>
      <c r="K41" t="s">
        <v>38</v>
      </c>
      <c r="L41" t="s">
        <v>64</v>
      </c>
      <c r="M41" t="s">
        <v>73</v>
      </c>
      <c r="N41" t="s">
        <v>74</v>
      </c>
      <c r="O41" t="s">
        <v>75</v>
      </c>
      <c r="P41" t="s">
        <v>81</v>
      </c>
      <c r="Q41" t="s">
        <v>220</v>
      </c>
      <c r="R41" t="s">
        <v>51</v>
      </c>
      <c r="S41">
        <v>4</v>
      </c>
      <c r="T41">
        <v>1370.92</v>
      </c>
      <c r="U41" s="2">
        <f t="shared" si="6"/>
        <v>4935.3120000000008</v>
      </c>
      <c r="V41" s="13">
        <v>0.1</v>
      </c>
      <c r="W41" s="2">
        <f t="shared" si="7"/>
        <v>0.1</v>
      </c>
      <c r="X41" s="2" t="str">
        <f t="shared" si="8"/>
        <v>Valid</v>
      </c>
      <c r="Y41" s="2" t="str">
        <f t="shared" si="9"/>
        <v>Clean</v>
      </c>
      <c r="Z41">
        <v>4935.3100000000004</v>
      </c>
      <c r="AA41">
        <v>3374.77</v>
      </c>
      <c r="AB41" s="2">
        <f t="shared" si="3"/>
        <v>1560.5420000000008</v>
      </c>
      <c r="AC41">
        <v>1560.54</v>
      </c>
      <c r="AD41" s="11">
        <f t="shared" si="10"/>
        <v>0.31619898243474065</v>
      </c>
      <c r="AE41" t="s">
        <v>112</v>
      </c>
      <c r="AF41" t="s">
        <v>104</v>
      </c>
    </row>
    <row r="42" spans="1:32">
      <c r="A42" t="s">
        <v>221</v>
      </c>
      <c r="B42" s="2" t="str">
        <f t="shared" si="0"/>
        <v>Unique</v>
      </c>
      <c r="C42" s="2" t="str">
        <f t="shared" si="4"/>
        <v>Oct</v>
      </c>
      <c r="D42" s="2">
        <f t="shared" si="5"/>
        <v>2024</v>
      </c>
      <c r="E42" s="4">
        <v>45575</v>
      </c>
      <c r="F42" s="4">
        <v>45581</v>
      </c>
      <c r="G42" s="6">
        <f t="shared" si="1"/>
        <v>6</v>
      </c>
      <c r="H42" s="6" t="str">
        <f t="shared" si="2"/>
        <v>Valid</v>
      </c>
      <c r="I42" t="s">
        <v>222</v>
      </c>
      <c r="J42" t="s">
        <v>48</v>
      </c>
      <c r="K42" t="s">
        <v>96</v>
      </c>
      <c r="L42" t="s">
        <v>64</v>
      </c>
      <c r="M42" t="s">
        <v>27</v>
      </c>
      <c r="N42" t="s">
        <v>110</v>
      </c>
      <c r="O42" t="s">
        <v>75</v>
      </c>
      <c r="P42" t="s">
        <v>81</v>
      </c>
      <c r="Q42" t="s">
        <v>223</v>
      </c>
      <c r="R42" t="s">
        <v>60</v>
      </c>
      <c r="S42">
        <v>7</v>
      </c>
      <c r="T42">
        <v>2509.27</v>
      </c>
      <c r="U42" s="2">
        <f t="shared" si="6"/>
        <v>14051.912</v>
      </c>
      <c r="V42" s="13">
        <v>0.2</v>
      </c>
      <c r="W42" s="2">
        <f t="shared" si="7"/>
        <v>0.2</v>
      </c>
      <c r="X42" s="2" t="str">
        <f t="shared" si="8"/>
        <v>Valid</v>
      </c>
      <c r="Y42" s="2" t="str">
        <f t="shared" si="9"/>
        <v>Clean</v>
      </c>
      <c r="Z42">
        <v>14051.91</v>
      </c>
      <c r="AA42">
        <v>11990.37</v>
      </c>
      <c r="AB42" s="2">
        <f t="shared" si="3"/>
        <v>2061.5419999999995</v>
      </c>
      <c r="AC42">
        <v>2061.54</v>
      </c>
      <c r="AD42" s="11">
        <f t="shared" si="10"/>
        <v>0.14670888156841311</v>
      </c>
      <c r="AE42" t="s">
        <v>33</v>
      </c>
      <c r="AF42" t="s">
        <v>34</v>
      </c>
    </row>
    <row r="43" spans="1:32">
      <c r="A43" t="s">
        <v>224</v>
      </c>
      <c r="B43" s="2" t="str">
        <f t="shared" si="0"/>
        <v>Unique</v>
      </c>
      <c r="C43" s="2" t="str">
        <f t="shared" si="4"/>
        <v>Mar</v>
      </c>
      <c r="D43" s="2">
        <f t="shared" si="5"/>
        <v>2024</v>
      </c>
      <c r="E43" s="4">
        <v>45363</v>
      </c>
      <c r="F43" s="4">
        <v>45368</v>
      </c>
      <c r="G43" s="6">
        <f t="shared" si="1"/>
        <v>5</v>
      </c>
      <c r="H43" s="6" t="str">
        <f t="shared" si="2"/>
        <v>Valid</v>
      </c>
      <c r="I43" t="s">
        <v>225</v>
      </c>
      <c r="J43" t="s">
        <v>129</v>
      </c>
      <c r="K43" t="s">
        <v>38</v>
      </c>
      <c r="L43" t="s">
        <v>39</v>
      </c>
      <c r="M43" t="s">
        <v>40</v>
      </c>
      <c r="N43" t="s">
        <v>41</v>
      </c>
      <c r="O43" t="s">
        <v>42</v>
      </c>
      <c r="P43" t="s">
        <v>159</v>
      </c>
      <c r="Q43" t="s">
        <v>226</v>
      </c>
      <c r="R43" t="s">
        <v>45</v>
      </c>
      <c r="S43">
        <v>8</v>
      </c>
      <c r="T43">
        <v>855.81</v>
      </c>
      <c r="U43" s="2">
        <f t="shared" si="6"/>
        <v>6846.48</v>
      </c>
      <c r="V43" s="13">
        <v>0</v>
      </c>
      <c r="W43" s="2">
        <f t="shared" si="7"/>
        <v>0</v>
      </c>
      <c r="X43" s="2" t="str">
        <f t="shared" si="8"/>
        <v>Valid</v>
      </c>
      <c r="Y43" s="2" t="str">
        <f t="shared" si="9"/>
        <v>Clean</v>
      </c>
      <c r="Z43">
        <v>6846.48</v>
      </c>
      <c r="AA43">
        <v>4239.8900000000003</v>
      </c>
      <c r="AB43" s="2">
        <f t="shared" si="3"/>
        <v>2606.5899999999992</v>
      </c>
      <c r="AC43">
        <v>2606.59</v>
      </c>
      <c r="AD43" s="11">
        <f t="shared" si="10"/>
        <v>0.38071972750961081</v>
      </c>
      <c r="AE43" t="s">
        <v>112</v>
      </c>
      <c r="AF43" t="s">
        <v>69</v>
      </c>
    </row>
    <row r="44" spans="1:32">
      <c r="A44" t="s">
        <v>227</v>
      </c>
      <c r="B44" s="2" t="str">
        <f t="shared" si="0"/>
        <v>Unique</v>
      </c>
      <c r="C44" s="2" t="str">
        <f t="shared" si="4"/>
        <v>Oct</v>
      </c>
      <c r="D44" s="2">
        <f t="shared" si="5"/>
        <v>2025</v>
      </c>
      <c r="E44" s="4">
        <v>45940</v>
      </c>
      <c r="F44" s="4">
        <v>45945</v>
      </c>
      <c r="G44" s="6">
        <f t="shared" si="1"/>
        <v>5</v>
      </c>
      <c r="H44" s="6" t="str">
        <f t="shared" si="2"/>
        <v>Valid</v>
      </c>
      <c r="I44" t="s">
        <v>228</v>
      </c>
      <c r="J44" t="s">
        <v>54</v>
      </c>
      <c r="K44" t="s">
        <v>91</v>
      </c>
      <c r="L44" t="s">
        <v>39</v>
      </c>
      <c r="M44" t="s">
        <v>229</v>
      </c>
      <c r="N44" t="s">
        <v>230</v>
      </c>
      <c r="O44" t="s">
        <v>75</v>
      </c>
      <c r="P44" t="s">
        <v>172</v>
      </c>
      <c r="Q44" t="s">
        <v>231</v>
      </c>
      <c r="R44" t="s">
        <v>60</v>
      </c>
      <c r="S44">
        <v>8</v>
      </c>
      <c r="T44">
        <v>979.87</v>
      </c>
      <c r="U44" s="2">
        <f t="shared" si="6"/>
        <v>7447.0119999999997</v>
      </c>
      <c r="V44" s="13">
        <v>0.05</v>
      </c>
      <c r="W44" s="2">
        <f t="shared" si="7"/>
        <v>0.05</v>
      </c>
      <c r="X44" s="2" t="str">
        <f t="shared" si="8"/>
        <v>Valid</v>
      </c>
      <c r="Y44" s="2" t="str">
        <f t="shared" si="9"/>
        <v>Clean</v>
      </c>
      <c r="Z44">
        <v>7447.01</v>
      </c>
      <c r="AA44">
        <v>4496.22</v>
      </c>
      <c r="AB44" s="2">
        <f t="shared" si="3"/>
        <v>2950.7919999999995</v>
      </c>
      <c r="AC44">
        <v>2950.79</v>
      </c>
      <c r="AD44" s="11">
        <f t="shared" si="10"/>
        <v>0.39623822178297058</v>
      </c>
      <c r="AE44" t="s">
        <v>33</v>
      </c>
      <c r="AF44" t="s">
        <v>34</v>
      </c>
    </row>
    <row r="45" spans="1:32">
      <c r="A45" t="s">
        <v>232</v>
      </c>
      <c r="B45" s="2" t="str">
        <f t="shared" si="0"/>
        <v>Unique</v>
      </c>
      <c r="C45" s="2" t="str">
        <f t="shared" si="4"/>
        <v>Jul</v>
      </c>
      <c r="D45" s="2">
        <f t="shared" si="5"/>
        <v>2024</v>
      </c>
      <c r="E45" s="4">
        <v>45481</v>
      </c>
      <c r="F45" s="4">
        <v>45487</v>
      </c>
      <c r="G45" s="6">
        <f t="shared" si="1"/>
        <v>6</v>
      </c>
      <c r="H45" s="6" t="str">
        <f t="shared" si="2"/>
        <v>Valid</v>
      </c>
      <c r="I45" t="s">
        <v>233</v>
      </c>
      <c r="J45" t="s">
        <v>115</v>
      </c>
      <c r="K45" t="s">
        <v>38</v>
      </c>
      <c r="L45" t="s">
        <v>39</v>
      </c>
      <c r="M45" t="s">
        <v>40</v>
      </c>
      <c r="N45" t="s">
        <v>41</v>
      </c>
      <c r="O45" t="s">
        <v>42</v>
      </c>
      <c r="P45" t="s">
        <v>58</v>
      </c>
      <c r="Q45" t="s">
        <v>234</v>
      </c>
      <c r="R45" t="s">
        <v>45</v>
      </c>
      <c r="S45">
        <v>3</v>
      </c>
      <c r="T45">
        <v>1010.23</v>
      </c>
      <c r="U45" s="2">
        <f t="shared" si="6"/>
        <v>3030.69</v>
      </c>
      <c r="V45" s="13">
        <v>0</v>
      </c>
      <c r="W45" s="2">
        <f t="shared" si="7"/>
        <v>0</v>
      </c>
      <c r="X45" s="2" t="str">
        <f t="shared" si="8"/>
        <v>Valid</v>
      </c>
      <c r="Y45" s="2" t="str">
        <f t="shared" si="9"/>
        <v>Clean</v>
      </c>
      <c r="Z45">
        <v>3030.69</v>
      </c>
      <c r="AA45">
        <v>1721.08</v>
      </c>
      <c r="AB45" s="2">
        <f t="shared" si="3"/>
        <v>1309.6100000000001</v>
      </c>
      <c r="AC45">
        <v>1309.6099999999999</v>
      </c>
      <c r="AD45" s="11">
        <f t="shared" si="10"/>
        <v>0.43211611877163281</v>
      </c>
      <c r="AE45" t="s">
        <v>33</v>
      </c>
      <c r="AF45" t="s">
        <v>34</v>
      </c>
    </row>
    <row r="46" spans="1:32">
      <c r="A46" t="s">
        <v>235</v>
      </c>
      <c r="B46" s="2" t="str">
        <f t="shared" si="0"/>
        <v>Unique</v>
      </c>
      <c r="C46" s="2" t="str">
        <f t="shared" si="4"/>
        <v>Jun</v>
      </c>
      <c r="D46" s="2">
        <f t="shared" si="5"/>
        <v>2024</v>
      </c>
      <c r="E46" s="4">
        <v>45465</v>
      </c>
      <c r="F46" s="4">
        <v>45468</v>
      </c>
      <c r="G46" s="6">
        <f t="shared" si="1"/>
        <v>3</v>
      </c>
      <c r="H46" s="6" t="str">
        <f t="shared" si="2"/>
        <v>Valid</v>
      </c>
      <c r="I46" t="s">
        <v>236</v>
      </c>
      <c r="J46" t="s">
        <v>142</v>
      </c>
      <c r="K46" t="s">
        <v>38</v>
      </c>
      <c r="L46" t="s">
        <v>26</v>
      </c>
      <c r="M46" t="s">
        <v>237</v>
      </c>
      <c r="N46" t="s">
        <v>238</v>
      </c>
      <c r="O46" t="s">
        <v>42</v>
      </c>
      <c r="P46" t="s">
        <v>67</v>
      </c>
      <c r="Q46" t="s">
        <v>239</v>
      </c>
      <c r="R46" t="s">
        <v>60</v>
      </c>
      <c r="S46">
        <v>9</v>
      </c>
      <c r="T46">
        <v>3329.77</v>
      </c>
      <c r="U46" s="2">
        <f t="shared" si="6"/>
        <v>26971.137000000002</v>
      </c>
      <c r="V46" s="13">
        <v>0.1</v>
      </c>
      <c r="W46" s="2">
        <f t="shared" si="7"/>
        <v>0.1</v>
      </c>
      <c r="X46" s="2" t="str">
        <f t="shared" si="8"/>
        <v>Valid</v>
      </c>
      <c r="Y46" s="2" t="str">
        <f t="shared" si="9"/>
        <v>Clean</v>
      </c>
      <c r="Z46">
        <v>26971.14</v>
      </c>
      <c r="AA46">
        <v>17376.2</v>
      </c>
      <c r="AB46" s="2">
        <f t="shared" si="3"/>
        <v>9594.9370000000017</v>
      </c>
      <c r="AC46">
        <v>9594.94</v>
      </c>
      <c r="AD46" s="11">
        <f t="shared" si="10"/>
        <v>0.35574840366406463</v>
      </c>
      <c r="AE46" t="s">
        <v>33</v>
      </c>
      <c r="AF46" t="s">
        <v>34</v>
      </c>
    </row>
    <row r="47" spans="1:32">
      <c r="A47" t="s">
        <v>240</v>
      </c>
      <c r="B47" s="2" t="str">
        <f t="shared" si="0"/>
        <v>Unique</v>
      </c>
      <c r="C47" s="2" t="str">
        <f t="shared" si="4"/>
        <v>Jan</v>
      </c>
      <c r="D47" s="2">
        <f t="shared" si="5"/>
        <v>2024</v>
      </c>
      <c r="E47" s="4">
        <v>45309</v>
      </c>
      <c r="F47" s="4">
        <v>45315</v>
      </c>
      <c r="G47" s="6">
        <f t="shared" si="1"/>
        <v>6</v>
      </c>
      <c r="H47" s="6" t="str">
        <f t="shared" si="2"/>
        <v>Valid</v>
      </c>
      <c r="I47" t="s">
        <v>241</v>
      </c>
      <c r="J47" t="s">
        <v>48</v>
      </c>
      <c r="K47" t="s">
        <v>96</v>
      </c>
      <c r="L47" t="s">
        <v>39</v>
      </c>
      <c r="M47" t="s">
        <v>146</v>
      </c>
      <c r="N47" t="s">
        <v>147</v>
      </c>
      <c r="O47" t="s">
        <v>29</v>
      </c>
      <c r="P47" t="s">
        <v>49</v>
      </c>
      <c r="Q47" t="s">
        <v>242</v>
      </c>
      <c r="R47" t="s">
        <v>32</v>
      </c>
      <c r="S47">
        <v>8</v>
      </c>
      <c r="T47">
        <v>3927.82</v>
      </c>
      <c r="U47" s="2">
        <f t="shared" si="6"/>
        <v>29851.432000000001</v>
      </c>
      <c r="V47" s="13">
        <v>0.05</v>
      </c>
      <c r="W47" s="2">
        <f t="shared" si="7"/>
        <v>0.05</v>
      </c>
      <c r="X47" s="2" t="str">
        <f t="shared" si="8"/>
        <v>Valid</v>
      </c>
      <c r="Y47" s="2" t="str">
        <f t="shared" si="9"/>
        <v>Clean</v>
      </c>
      <c r="Z47">
        <v>29851.43</v>
      </c>
      <c r="AA47">
        <v>17487.48</v>
      </c>
      <c r="AB47" s="2">
        <f t="shared" si="3"/>
        <v>12363.952000000001</v>
      </c>
      <c r="AC47">
        <v>12363.95</v>
      </c>
      <c r="AD47" s="11">
        <f t="shared" si="10"/>
        <v>0.41418283814209239</v>
      </c>
      <c r="AE47" t="s">
        <v>112</v>
      </c>
      <c r="AF47" t="s">
        <v>104</v>
      </c>
    </row>
    <row r="48" spans="1:32">
      <c r="A48" t="s">
        <v>243</v>
      </c>
      <c r="B48" s="2" t="str">
        <f t="shared" si="0"/>
        <v>Unique</v>
      </c>
      <c r="C48" s="2" t="str">
        <f t="shared" si="4"/>
        <v>Jul</v>
      </c>
      <c r="D48" s="2">
        <f t="shared" si="5"/>
        <v>2024</v>
      </c>
      <c r="E48" s="4">
        <v>45492</v>
      </c>
      <c r="F48" s="4">
        <v>45492</v>
      </c>
      <c r="G48" s="6">
        <f t="shared" si="1"/>
        <v>0</v>
      </c>
      <c r="H48" s="6" t="str">
        <f t="shared" si="2"/>
        <v>Valid</v>
      </c>
      <c r="I48" t="s">
        <v>244</v>
      </c>
      <c r="J48" t="s">
        <v>63</v>
      </c>
      <c r="K48" t="s">
        <v>38</v>
      </c>
      <c r="L48" t="s">
        <v>55</v>
      </c>
      <c r="M48" t="s">
        <v>186</v>
      </c>
      <c r="N48" t="s">
        <v>187</v>
      </c>
      <c r="O48" t="s">
        <v>42</v>
      </c>
      <c r="P48" t="s">
        <v>159</v>
      </c>
      <c r="Q48" t="s">
        <v>245</v>
      </c>
      <c r="R48" t="s">
        <v>60</v>
      </c>
      <c r="S48">
        <v>9</v>
      </c>
      <c r="T48">
        <v>2386.79</v>
      </c>
      <c r="U48" s="2">
        <f t="shared" si="6"/>
        <v>16110.8325</v>
      </c>
      <c r="V48" s="13">
        <v>0.25</v>
      </c>
      <c r="W48" s="2">
        <f t="shared" si="7"/>
        <v>0.25</v>
      </c>
      <c r="X48" s="2" t="str">
        <f t="shared" si="8"/>
        <v>Valid</v>
      </c>
      <c r="Y48" s="2" t="str">
        <f t="shared" si="9"/>
        <v>Clean</v>
      </c>
      <c r="Z48">
        <v>16110.83</v>
      </c>
      <c r="AA48">
        <v>10680.03</v>
      </c>
      <c r="AB48" s="2">
        <f t="shared" si="3"/>
        <v>5430.8024999999998</v>
      </c>
      <c r="AC48">
        <v>5430.8</v>
      </c>
      <c r="AD48" s="11">
        <f t="shared" si="10"/>
        <v>0.33709001957068629</v>
      </c>
      <c r="AE48" t="s">
        <v>103</v>
      </c>
      <c r="AF48" t="s">
        <v>104</v>
      </c>
    </row>
    <row r="49" spans="1:32">
      <c r="A49" t="s">
        <v>246</v>
      </c>
      <c r="B49" s="2" t="str">
        <f t="shared" si="0"/>
        <v>Unique</v>
      </c>
      <c r="C49" s="2" t="str">
        <f t="shared" si="4"/>
        <v>Aug</v>
      </c>
      <c r="D49" s="2">
        <f t="shared" si="5"/>
        <v>2024</v>
      </c>
      <c r="E49" s="4">
        <v>45516</v>
      </c>
      <c r="F49" s="4">
        <v>45516</v>
      </c>
      <c r="G49" s="6">
        <f t="shared" si="1"/>
        <v>0</v>
      </c>
      <c r="H49" s="6" t="str">
        <f t="shared" si="2"/>
        <v>Valid</v>
      </c>
      <c r="I49" t="s">
        <v>247</v>
      </c>
      <c r="J49" t="s">
        <v>119</v>
      </c>
      <c r="K49" t="s">
        <v>91</v>
      </c>
      <c r="L49" t="s">
        <v>55</v>
      </c>
      <c r="M49" t="s">
        <v>248</v>
      </c>
      <c r="N49" t="s">
        <v>249</v>
      </c>
      <c r="O49" t="s">
        <v>29</v>
      </c>
      <c r="P49" t="s">
        <v>125</v>
      </c>
      <c r="Q49" t="s">
        <v>250</v>
      </c>
      <c r="R49" t="s">
        <v>60</v>
      </c>
      <c r="S49">
        <v>8</v>
      </c>
      <c r="T49">
        <v>2445.31</v>
      </c>
      <c r="U49" s="2">
        <f t="shared" si="6"/>
        <v>17606.232</v>
      </c>
      <c r="V49" s="13">
        <v>0.1</v>
      </c>
      <c r="W49" s="2">
        <f t="shared" si="7"/>
        <v>0.1</v>
      </c>
      <c r="X49" s="2" t="str">
        <f t="shared" si="8"/>
        <v>Valid</v>
      </c>
      <c r="Y49" s="2" t="str">
        <f t="shared" si="9"/>
        <v>Clean</v>
      </c>
      <c r="Z49">
        <v>17606.23</v>
      </c>
      <c r="AA49">
        <v>12438.96</v>
      </c>
      <c r="AB49" s="2">
        <f t="shared" si="3"/>
        <v>5167.2720000000008</v>
      </c>
      <c r="AC49">
        <v>5167.2700000000004</v>
      </c>
      <c r="AD49" s="11">
        <f t="shared" si="10"/>
        <v>0.29349099722087013</v>
      </c>
      <c r="AE49" t="s">
        <v>33</v>
      </c>
      <c r="AF49" t="s">
        <v>34</v>
      </c>
    </row>
    <row r="50" spans="1:32">
      <c r="A50" t="s">
        <v>251</v>
      </c>
      <c r="B50" s="2" t="str">
        <f t="shared" si="0"/>
        <v>Unique</v>
      </c>
      <c r="C50" s="2" t="str">
        <f t="shared" si="4"/>
        <v>Jan</v>
      </c>
      <c r="D50" s="2">
        <f t="shared" si="5"/>
        <v>2025</v>
      </c>
      <c r="E50" s="4">
        <v>45687</v>
      </c>
      <c r="F50" s="4">
        <v>45693</v>
      </c>
      <c r="G50" s="6">
        <f t="shared" si="1"/>
        <v>6</v>
      </c>
      <c r="H50" s="6" t="str">
        <f t="shared" si="2"/>
        <v>Valid</v>
      </c>
      <c r="I50" t="s">
        <v>252</v>
      </c>
      <c r="J50" t="s">
        <v>80</v>
      </c>
      <c r="K50" t="s">
        <v>91</v>
      </c>
      <c r="L50" t="s">
        <v>64</v>
      </c>
      <c r="M50" t="s">
        <v>65</v>
      </c>
      <c r="N50" t="s">
        <v>66</v>
      </c>
      <c r="O50" t="s">
        <v>42</v>
      </c>
      <c r="P50" t="s">
        <v>67</v>
      </c>
      <c r="Q50" t="s">
        <v>253</v>
      </c>
      <c r="R50" t="s">
        <v>32</v>
      </c>
      <c r="S50">
        <v>7</v>
      </c>
      <c r="T50">
        <v>4063.66</v>
      </c>
      <c r="U50" s="2">
        <f t="shared" si="6"/>
        <v>28445.62</v>
      </c>
      <c r="V50" s="13">
        <v>0</v>
      </c>
      <c r="W50" s="2">
        <f t="shared" si="7"/>
        <v>0</v>
      </c>
      <c r="X50" s="2" t="str">
        <f t="shared" si="8"/>
        <v>Valid</v>
      </c>
      <c r="Y50" s="2" t="str">
        <f t="shared" si="9"/>
        <v>Clean</v>
      </c>
      <c r="Z50">
        <v>28445.62</v>
      </c>
      <c r="AA50">
        <v>20938.59</v>
      </c>
      <c r="AB50" s="2">
        <f t="shared" si="3"/>
        <v>7507.0299999999988</v>
      </c>
      <c r="AC50">
        <v>7507.03</v>
      </c>
      <c r="AD50" s="11">
        <f t="shared" si="10"/>
        <v>0.26390811660986824</v>
      </c>
      <c r="AE50" t="s">
        <v>33</v>
      </c>
      <c r="AF50" t="s">
        <v>34</v>
      </c>
    </row>
    <row r="51" spans="1:32">
      <c r="A51" t="s">
        <v>254</v>
      </c>
      <c r="B51" s="2" t="str">
        <f t="shared" si="0"/>
        <v>Unique</v>
      </c>
      <c r="C51" s="2" t="str">
        <f t="shared" si="4"/>
        <v>Apr</v>
      </c>
      <c r="D51" s="2">
        <f t="shared" si="5"/>
        <v>2024</v>
      </c>
      <c r="E51" s="4">
        <v>45388</v>
      </c>
      <c r="F51" s="4">
        <v>45395</v>
      </c>
      <c r="G51" s="6">
        <f t="shared" si="1"/>
        <v>7</v>
      </c>
      <c r="H51" s="6" t="str">
        <f t="shared" si="2"/>
        <v>Valid</v>
      </c>
      <c r="I51" t="s">
        <v>255</v>
      </c>
      <c r="J51" t="s">
        <v>129</v>
      </c>
      <c r="K51" t="s">
        <v>96</v>
      </c>
      <c r="L51" t="s">
        <v>26</v>
      </c>
      <c r="M51" t="s">
        <v>137</v>
      </c>
      <c r="N51" t="s">
        <v>138</v>
      </c>
      <c r="O51" t="s">
        <v>75</v>
      </c>
      <c r="P51" t="s">
        <v>81</v>
      </c>
      <c r="Q51" t="s">
        <v>256</v>
      </c>
      <c r="R51" t="s">
        <v>32</v>
      </c>
      <c r="S51">
        <v>9</v>
      </c>
      <c r="T51">
        <v>792.11</v>
      </c>
      <c r="U51" s="2">
        <f t="shared" si="6"/>
        <v>6772.5404999999992</v>
      </c>
      <c r="V51" s="13">
        <v>0.05</v>
      </c>
      <c r="W51" s="2">
        <f t="shared" si="7"/>
        <v>0.05</v>
      </c>
      <c r="X51" s="2" t="str">
        <f t="shared" si="8"/>
        <v>Valid</v>
      </c>
      <c r="Y51" s="2" t="str">
        <f t="shared" si="9"/>
        <v>Clean</v>
      </c>
      <c r="Z51">
        <v>6772.54</v>
      </c>
      <c r="AA51">
        <v>5755.46</v>
      </c>
      <c r="AB51" s="2">
        <f t="shared" si="3"/>
        <v>1017.0804999999991</v>
      </c>
      <c r="AC51">
        <v>1017.08</v>
      </c>
      <c r="AD51" s="11">
        <f t="shared" si="10"/>
        <v>0.15017703845233843</v>
      </c>
      <c r="AE51" t="s">
        <v>33</v>
      </c>
      <c r="AF51" t="s">
        <v>34</v>
      </c>
    </row>
    <row r="52" spans="1:32">
      <c r="A52" t="s">
        <v>257</v>
      </c>
      <c r="B52" s="2" t="str">
        <f t="shared" si="0"/>
        <v>Unique</v>
      </c>
      <c r="C52" s="2" t="str">
        <f t="shared" si="4"/>
        <v>May</v>
      </c>
      <c r="D52" s="2">
        <f t="shared" si="5"/>
        <v>2025</v>
      </c>
      <c r="E52" s="4">
        <v>45788</v>
      </c>
      <c r="F52" s="4">
        <v>45796</v>
      </c>
      <c r="G52" s="6">
        <f t="shared" si="1"/>
        <v>8</v>
      </c>
      <c r="H52" s="6" t="str">
        <f t="shared" si="2"/>
        <v>Valid</v>
      </c>
      <c r="I52" t="s">
        <v>258</v>
      </c>
      <c r="J52" t="s">
        <v>133</v>
      </c>
      <c r="K52" t="s">
        <v>25</v>
      </c>
      <c r="L52" t="s">
        <v>39</v>
      </c>
      <c r="M52" t="s">
        <v>100</v>
      </c>
      <c r="N52" t="s">
        <v>101</v>
      </c>
      <c r="O52" t="s">
        <v>75</v>
      </c>
      <c r="P52" t="s">
        <v>81</v>
      </c>
      <c r="Q52" t="s">
        <v>259</v>
      </c>
      <c r="R52" t="s">
        <v>60</v>
      </c>
      <c r="S52">
        <v>1</v>
      </c>
      <c r="T52">
        <v>2382.8000000000002</v>
      </c>
      <c r="U52" s="2">
        <f t="shared" si="6"/>
        <v>2025.38</v>
      </c>
      <c r="V52" s="13">
        <v>0.15</v>
      </c>
      <c r="W52" s="2">
        <f t="shared" si="7"/>
        <v>0.15</v>
      </c>
      <c r="X52" s="2" t="str">
        <f t="shared" si="8"/>
        <v>Valid</v>
      </c>
      <c r="Y52" s="2" t="str">
        <f t="shared" si="9"/>
        <v>Clean</v>
      </c>
      <c r="Z52">
        <v>2025.38</v>
      </c>
      <c r="AA52">
        <v>1140.6500000000001</v>
      </c>
      <c r="AB52" s="2">
        <f t="shared" si="3"/>
        <v>884.73</v>
      </c>
      <c r="AC52">
        <v>884.73</v>
      </c>
      <c r="AD52" s="11">
        <f t="shared" si="10"/>
        <v>0.43682173221815163</v>
      </c>
      <c r="AE52" t="s">
        <v>33</v>
      </c>
      <c r="AF52" t="s">
        <v>34</v>
      </c>
    </row>
    <row r="53" spans="1:32">
      <c r="A53" t="s">
        <v>260</v>
      </c>
      <c r="B53" s="2" t="str">
        <f t="shared" si="0"/>
        <v>Unique</v>
      </c>
      <c r="C53" s="2" t="str">
        <f t="shared" si="4"/>
        <v>Apr</v>
      </c>
      <c r="D53" s="2">
        <f t="shared" si="5"/>
        <v>2024</v>
      </c>
      <c r="E53" s="4">
        <v>45406</v>
      </c>
      <c r="F53" s="4">
        <v>45411</v>
      </c>
      <c r="G53" s="6">
        <f t="shared" si="1"/>
        <v>5</v>
      </c>
      <c r="H53" s="6" t="str">
        <f t="shared" si="2"/>
        <v>Valid</v>
      </c>
      <c r="I53" t="s">
        <v>261</v>
      </c>
      <c r="J53" t="s">
        <v>63</v>
      </c>
      <c r="K53" t="s">
        <v>91</v>
      </c>
      <c r="L53" t="s">
        <v>55</v>
      </c>
      <c r="M53" t="s">
        <v>56</v>
      </c>
      <c r="N53" t="s">
        <v>57</v>
      </c>
      <c r="O53" t="s">
        <v>29</v>
      </c>
      <c r="P53" t="s">
        <v>49</v>
      </c>
      <c r="Q53" t="s">
        <v>262</v>
      </c>
      <c r="R53" t="s">
        <v>60</v>
      </c>
      <c r="S53">
        <v>6</v>
      </c>
      <c r="T53">
        <v>1528.08</v>
      </c>
      <c r="U53" s="2">
        <f t="shared" si="6"/>
        <v>9168.48</v>
      </c>
      <c r="V53" s="13">
        <v>0</v>
      </c>
      <c r="W53" s="2">
        <f t="shared" si="7"/>
        <v>0</v>
      </c>
      <c r="X53" s="2" t="str">
        <f t="shared" si="8"/>
        <v>Valid</v>
      </c>
      <c r="Y53" s="2" t="str">
        <f t="shared" si="9"/>
        <v>Clean</v>
      </c>
      <c r="Z53">
        <v>9168.48</v>
      </c>
      <c r="AA53">
        <v>7439.77</v>
      </c>
      <c r="AB53" s="2">
        <f t="shared" si="3"/>
        <v>1728.7099999999991</v>
      </c>
      <c r="AC53">
        <v>1728.71</v>
      </c>
      <c r="AD53" s="11">
        <f t="shared" si="10"/>
        <v>0.18854924698532363</v>
      </c>
      <c r="AE53" t="s">
        <v>33</v>
      </c>
      <c r="AF53" t="s">
        <v>34</v>
      </c>
    </row>
    <row r="54" spans="1:32">
      <c r="A54" t="s">
        <v>263</v>
      </c>
      <c r="B54" s="2" t="str">
        <f t="shared" si="0"/>
        <v>Unique</v>
      </c>
      <c r="C54" s="2" t="str">
        <f t="shared" si="4"/>
        <v>Oct</v>
      </c>
      <c r="D54" s="2">
        <f t="shared" si="5"/>
        <v>2024</v>
      </c>
      <c r="E54" s="4">
        <v>45591</v>
      </c>
      <c r="F54" s="4">
        <v>45593</v>
      </c>
      <c r="G54" s="6">
        <f t="shared" si="1"/>
        <v>2</v>
      </c>
      <c r="H54" s="6" t="str">
        <f t="shared" si="2"/>
        <v>Valid</v>
      </c>
      <c r="I54" t="s">
        <v>264</v>
      </c>
      <c r="J54" t="s">
        <v>265</v>
      </c>
      <c r="K54" t="s">
        <v>38</v>
      </c>
      <c r="L54" t="s">
        <v>26</v>
      </c>
      <c r="M54" t="s">
        <v>27</v>
      </c>
      <c r="N54" t="s">
        <v>28</v>
      </c>
      <c r="O54" t="s">
        <v>42</v>
      </c>
      <c r="P54" t="s">
        <v>67</v>
      </c>
      <c r="Q54" t="s">
        <v>266</v>
      </c>
      <c r="R54" t="s">
        <v>51</v>
      </c>
      <c r="S54">
        <v>9</v>
      </c>
      <c r="T54">
        <v>1399.63</v>
      </c>
      <c r="U54" s="2">
        <f t="shared" si="6"/>
        <v>12596.670000000002</v>
      </c>
      <c r="V54" s="13">
        <v>0</v>
      </c>
      <c r="W54" s="2">
        <f t="shared" si="7"/>
        <v>0</v>
      </c>
      <c r="X54" s="2" t="str">
        <f t="shared" si="8"/>
        <v>Valid</v>
      </c>
      <c r="Y54" s="2" t="str">
        <f t="shared" si="9"/>
        <v>Clean</v>
      </c>
      <c r="Z54">
        <v>12596.67</v>
      </c>
      <c r="AA54">
        <v>10603.29</v>
      </c>
      <c r="AB54" s="2">
        <f t="shared" si="3"/>
        <v>1993.380000000001</v>
      </c>
      <c r="AC54">
        <v>1993.38</v>
      </c>
      <c r="AD54" s="11">
        <f t="shared" si="10"/>
        <v>0.1582465842163048</v>
      </c>
      <c r="AE54" t="s">
        <v>156</v>
      </c>
      <c r="AF54" t="s">
        <v>69</v>
      </c>
    </row>
    <row r="55" spans="1:32">
      <c r="A55" t="s">
        <v>267</v>
      </c>
      <c r="B55" s="2" t="str">
        <f t="shared" si="0"/>
        <v>Unique</v>
      </c>
      <c r="C55" s="2" t="str">
        <f t="shared" si="4"/>
        <v>Mar</v>
      </c>
      <c r="D55" s="2">
        <f t="shared" si="5"/>
        <v>2025</v>
      </c>
      <c r="E55" s="4">
        <v>45747</v>
      </c>
      <c r="F55" s="4">
        <v>45747</v>
      </c>
      <c r="G55" s="6">
        <f t="shared" si="1"/>
        <v>0</v>
      </c>
      <c r="H55" s="6" t="str">
        <f t="shared" si="2"/>
        <v>Valid</v>
      </c>
      <c r="I55" t="s">
        <v>268</v>
      </c>
      <c r="J55" t="s">
        <v>265</v>
      </c>
      <c r="K55" t="s">
        <v>96</v>
      </c>
      <c r="L55" t="s">
        <v>64</v>
      </c>
      <c r="M55" t="s">
        <v>181</v>
      </c>
      <c r="N55" t="s">
        <v>182</v>
      </c>
      <c r="O55" t="s">
        <v>29</v>
      </c>
      <c r="P55" t="s">
        <v>125</v>
      </c>
      <c r="Q55" t="s">
        <v>269</v>
      </c>
      <c r="R55" t="s">
        <v>51</v>
      </c>
      <c r="S55">
        <v>5</v>
      </c>
      <c r="T55">
        <v>1207.47</v>
      </c>
      <c r="U55" s="2">
        <f t="shared" si="6"/>
        <v>5131.7475000000004</v>
      </c>
      <c r="V55" s="13">
        <v>0.15</v>
      </c>
      <c r="W55" s="2">
        <f t="shared" si="7"/>
        <v>0.15</v>
      </c>
      <c r="X55" s="2" t="str">
        <f t="shared" si="8"/>
        <v>Valid</v>
      </c>
      <c r="Y55" s="2" t="str">
        <f t="shared" si="9"/>
        <v>Clean</v>
      </c>
      <c r="Z55">
        <v>5131.75</v>
      </c>
      <c r="AA55">
        <v>2838.68</v>
      </c>
      <c r="AB55" s="2">
        <f t="shared" si="3"/>
        <v>2293.0675000000006</v>
      </c>
      <c r="AC55">
        <v>2293.0700000000002</v>
      </c>
      <c r="AD55" s="11">
        <f t="shared" si="10"/>
        <v>0.44683977200759978</v>
      </c>
      <c r="AE55" t="s">
        <v>33</v>
      </c>
      <c r="AF55" t="s">
        <v>34</v>
      </c>
    </row>
    <row r="56" spans="1:32">
      <c r="A56" t="s">
        <v>270</v>
      </c>
      <c r="B56" s="2" t="str">
        <f t="shared" si="0"/>
        <v>Unique</v>
      </c>
      <c r="C56" s="2" t="str">
        <f t="shared" si="4"/>
        <v>May</v>
      </c>
      <c r="D56" s="2">
        <f t="shared" si="5"/>
        <v>2025</v>
      </c>
      <c r="E56" s="4">
        <v>45807</v>
      </c>
      <c r="F56" s="4">
        <v>45810</v>
      </c>
      <c r="G56" s="6">
        <f t="shared" si="1"/>
        <v>3</v>
      </c>
      <c r="H56" s="6" t="str">
        <f t="shared" si="2"/>
        <v>Valid</v>
      </c>
      <c r="I56" t="s">
        <v>271</v>
      </c>
      <c r="J56" t="s">
        <v>54</v>
      </c>
      <c r="K56" t="s">
        <v>91</v>
      </c>
      <c r="L56" t="s">
        <v>55</v>
      </c>
      <c r="M56" t="s">
        <v>248</v>
      </c>
      <c r="N56" t="s">
        <v>249</v>
      </c>
      <c r="O56" t="s">
        <v>29</v>
      </c>
      <c r="P56" t="s">
        <v>92</v>
      </c>
      <c r="Q56" t="s">
        <v>272</v>
      </c>
      <c r="R56" t="s">
        <v>45</v>
      </c>
      <c r="S56">
        <v>8</v>
      </c>
      <c r="T56">
        <v>474.37</v>
      </c>
      <c r="U56" s="2">
        <f t="shared" si="6"/>
        <v>3415.4639999999999</v>
      </c>
      <c r="V56" s="13">
        <v>0.1</v>
      </c>
      <c r="W56" s="2">
        <f t="shared" si="7"/>
        <v>0.1</v>
      </c>
      <c r="X56" s="2" t="str">
        <f t="shared" si="8"/>
        <v>Valid</v>
      </c>
      <c r="Y56" s="2" t="str">
        <f t="shared" si="9"/>
        <v>Clean</v>
      </c>
      <c r="Z56">
        <v>3415.46</v>
      </c>
      <c r="AA56">
        <v>1993.23</v>
      </c>
      <c r="AB56" s="2">
        <f t="shared" si="3"/>
        <v>1422.2339999999999</v>
      </c>
      <c r="AC56">
        <v>1422.23</v>
      </c>
      <c r="AD56" s="11">
        <f t="shared" si="10"/>
        <v>0.4164095026731392</v>
      </c>
      <c r="AE56" t="s">
        <v>156</v>
      </c>
      <c r="AF56" t="s">
        <v>69</v>
      </c>
    </row>
    <row r="57" spans="1:32">
      <c r="A57" t="s">
        <v>273</v>
      </c>
      <c r="B57" s="2" t="str">
        <f t="shared" si="0"/>
        <v>Unique</v>
      </c>
      <c r="C57" s="2" t="str">
        <f t="shared" si="4"/>
        <v>Jul</v>
      </c>
      <c r="D57" s="2">
        <f t="shared" si="5"/>
        <v>2025</v>
      </c>
      <c r="E57" s="4">
        <v>45839</v>
      </c>
      <c r="F57" s="4">
        <v>45841</v>
      </c>
      <c r="G57" s="6">
        <f t="shared" si="1"/>
        <v>2</v>
      </c>
      <c r="H57" s="6" t="str">
        <f t="shared" si="2"/>
        <v>Valid</v>
      </c>
      <c r="I57" t="s">
        <v>274</v>
      </c>
      <c r="J57" t="s">
        <v>37</v>
      </c>
      <c r="K57" t="s">
        <v>38</v>
      </c>
      <c r="L57" t="s">
        <v>55</v>
      </c>
      <c r="M57" t="s">
        <v>85</v>
      </c>
      <c r="N57" t="s">
        <v>86</v>
      </c>
      <c r="O57" t="s">
        <v>75</v>
      </c>
      <c r="P57" t="s">
        <v>275</v>
      </c>
      <c r="Q57" t="s">
        <v>276</v>
      </c>
      <c r="R57" t="s">
        <v>45</v>
      </c>
      <c r="S57">
        <v>3</v>
      </c>
      <c r="T57">
        <v>1516.24</v>
      </c>
      <c r="U57" s="2">
        <f t="shared" si="6"/>
        <v>3411.54</v>
      </c>
      <c r="V57" s="13">
        <v>0.25</v>
      </c>
      <c r="W57" s="2">
        <f t="shared" si="7"/>
        <v>0.25</v>
      </c>
      <c r="X57" s="2" t="str">
        <f t="shared" si="8"/>
        <v>Valid</v>
      </c>
      <c r="Y57" s="2" t="str">
        <f t="shared" si="9"/>
        <v>Clean</v>
      </c>
      <c r="Z57">
        <v>3411.54</v>
      </c>
      <c r="AA57">
        <v>2803.13</v>
      </c>
      <c r="AB57" s="2">
        <f t="shared" si="3"/>
        <v>608.40999999999985</v>
      </c>
      <c r="AC57">
        <v>608.41</v>
      </c>
      <c r="AD57" s="11">
        <f t="shared" si="10"/>
        <v>0.17833881472883215</v>
      </c>
      <c r="AE57" t="s">
        <v>33</v>
      </c>
      <c r="AF57" t="s">
        <v>34</v>
      </c>
    </row>
    <row r="58" spans="1:32">
      <c r="A58" t="s">
        <v>277</v>
      </c>
      <c r="B58" s="2" t="str">
        <f t="shared" si="0"/>
        <v>Unique</v>
      </c>
      <c r="C58" s="2" t="str">
        <f t="shared" si="4"/>
        <v>Jan</v>
      </c>
      <c r="D58" s="2">
        <f t="shared" si="5"/>
        <v>2025</v>
      </c>
      <c r="E58" s="4">
        <v>45662</v>
      </c>
      <c r="F58" s="4">
        <v>45663</v>
      </c>
      <c r="G58" s="6">
        <f t="shared" si="1"/>
        <v>1</v>
      </c>
      <c r="H58" s="6" t="str">
        <f t="shared" si="2"/>
        <v>Valid</v>
      </c>
      <c r="I58" t="s">
        <v>278</v>
      </c>
      <c r="J58" t="s">
        <v>24</v>
      </c>
      <c r="K58" t="s">
        <v>25</v>
      </c>
      <c r="L58" t="s">
        <v>55</v>
      </c>
      <c r="M58" t="s">
        <v>176</v>
      </c>
      <c r="N58" t="s">
        <v>177</v>
      </c>
      <c r="O58" t="s">
        <v>29</v>
      </c>
      <c r="P58" t="s">
        <v>154</v>
      </c>
      <c r="Q58" t="s">
        <v>279</v>
      </c>
      <c r="R58" t="s">
        <v>32</v>
      </c>
      <c r="S58">
        <v>3</v>
      </c>
      <c r="T58">
        <v>3155.61</v>
      </c>
      <c r="U58" s="2">
        <f t="shared" si="6"/>
        <v>9466.83</v>
      </c>
      <c r="V58" s="13">
        <v>0</v>
      </c>
      <c r="W58" s="2">
        <f t="shared" si="7"/>
        <v>0</v>
      </c>
      <c r="X58" s="2" t="str">
        <f t="shared" si="8"/>
        <v>Valid</v>
      </c>
      <c r="Y58" s="2" t="str">
        <f t="shared" si="9"/>
        <v>Clean</v>
      </c>
      <c r="Z58">
        <v>9466.83</v>
      </c>
      <c r="AA58">
        <v>6557.83</v>
      </c>
      <c r="AB58" s="2">
        <f t="shared" si="3"/>
        <v>2909</v>
      </c>
      <c r="AC58">
        <v>2909</v>
      </c>
      <c r="AD58" s="11">
        <f t="shared" si="10"/>
        <v>0.30728343067320318</v>
      </c>
      <c r="AE58" t="s">
        <v>103</v>
      </c>
      <c r="AF58" t="s">
        <v>69</v>
      </c>
    </row>
    <row r="59" spans="1:32">
      <c r="A59" t="s">
        <v>280</v>
      </c>
      <c r="B59" s="2" t="str">
        <f t="shared" si="0"/>
        <v>Unique</v>
      </c>
      <c r="C59" s="2" t="str">
        <f t="shared" si="4"/>
        <v>Feb</v>
      </c>
      <c r="D59" s="2">
        <f t="shared" si="5"/>
        <v>2024</v>
      </c>
      <c r="E59" s="4">
        <v>45329</v>
      </c>
      <c r="F59" s="4">
        <v>45337</v>
      </c>
      <c r="G59" s="6">
        <f t="shared" si="1"/>
        <v>8</v>
      </c>
      <c r="H59" s="6" t="str">
        <f t="shared" si="2"/>
        <v>Valid</v>
      </c>
      <c r="I59" t="s">
        <v>281</v>
      </c>
      <c r="J59" t="s">
        <v>115</v>
      </c>
      <c r="K59" t="s">
        <v>25</v>
      </c>
      <c r="L59" t="s">
        <v>64</v>
      </c>
      <c r="M59" t="s">
        <v>191</v>
      </c>
      <c r="N59" t="s">
        <v>192</v>
      </c>
      <c r="O59" t="s">
        <v>42</v>
      </c>
      <c r="P59" t="s">
        <v>67</v>
      </c>
      <c r="Q59" t="s">
        <v>282</v>
      </c>
      <c r="R59" t="s">
        <v>45</v>
      </c>
      <c r="S59">
        <v>5</v>
      </c>
      <c r="T59">
        <v>255.87</v>
      </c>
      <c r="U59" s="2">
        <f t="shared" si="6"/>
        <v>1279.3499999999999</v>
      </c>
      <c r="V59" s="13">
        <v>0</v>
      </c>
      <c r="W59" s="2">
        <f t="shared" si="7"/>
        <v>0</v>
      </c>
      <c r="X59" s="2" t="str">
        <f t="shared" si="8"/>
        <v>Valid</v>
      </c>
      <c r="Y59" s="2" t="str">
        <f t="shared" si="9"/>
        <v>Clean</v>
      </c>
      <c r="Z59">
        <v>1279.3499999999999</v>
      </c>
      <c r="AA59">
        <v>1091.54</v>
      </c>
      <c r="AB59" s="2">
        <f t="shared" si="3"/>
        <v>187.80999999999995</v>
      </c>
      <c r="AC59">
        <v>187.81</v>
      </c>
      <c r="AD59" s="11">
        <f t="shared" si="10"/>
        <v>0.14680110993864073</v>
      </c>
      <c r="AE59" t="s">
        <v>33</v>
      </c>
      <c r="AF59" t="s">
        <v>34</v>
      </c>
    </row>
    <row r="60" spans="1:32">
      <c r="A60" t="s">
        <v>283</v>
      </c>
      <c r="B60" s="2" t="str">
        <f t="shared" si="0"/>
        <v>Unique</v>
      </c>
      <c r="C60" s="2" t="str">
        <f t="shared" si="4"/>
        <v>Sep</v>
      </c>
      <c r="D60" s="2">
        <f t="shared" si="5"/>
        <v>2024</v>
      </c>
      <c r="E60" s="4">
        <v>45536</v>
      </c>
      <c r="F60" s="4">
        <v>45542</v>
      </c>
      <c r="G60" s="6">
        <f t="shared" si="1"/>
        <v>6</v>
      </c>
      <c r="H60" s="6" t="str">
        <f t="shared" si="2"/>
        <v>Valid</v>
      </c>
      <c r="I60" t="s">
        <v>284</v>
      </c>
      <c r="J60" t="s">
        <v>48</v>
      </c>
      <c r="K60" t="s">
        <v>96</v>
      </c>
      <c r="L60" t="s">
        <v>26</v>
      </c>
      <c r="M60" t="s">
        <v>27</v>
      </c>
      <c r="N60" t="s">
        <v>28</v>
      </c>
      <c r="O60" t="s">
        <v>29</v>
      </c>
      <c r="P60" t="s">
        <v>125</v>
      </c>
      <c r="Q60" t="s">
        <v>285</v>
      </c>
      <c r="R60" s="2" t="s">
        <v>2793</v>
      </c>
      <c r="S60">
        <v>9</v>
      </c>
      <c r="T60">
        <v>1389.48</v>
      </c>
      <c r="U60" s="2">
        <f t="shared" si="6"/>
        <v>11254.788</v>
      </c>
      <c r="V60" s="13">
        <v>0.1</v>
      </c>
      <c r="W60" s="2">
        <f t="shared" si="7"/>
        <v>0.1</v>
      </c>
      <c r="X60" s="2" t="str">
        <f t="shared" si="8"/>
        <v>Valid</v>
      </c>
      <c r="Y60" s="2" t="str">
        <f t="shared" si="9"/>
        <v>Clean</v>
      </c>
      <c r="Z60">
        <v>11254.79</v>
      </c>
      <c r="AA60">
        <v>6578.06</v>
      </c>
      <c r="AB60" s="2">
        <f t="shared" si="3"/>
        <v>4676.7280000000001</v>
      </c>
      <c r="AC60">
        <v>4676.7299999999996</v>
      </c>
      <c r="AD60" s="11">
        <f t="shared" si="10"/>
        <v>0.41553240886769094</v>
      </c>
      <c r="AE60" t="s">
        <v>112</v>
      </c>
      <c r="AF60" t="s">
        <v>104</v>
      </c>
    </row>
    <row r="61" spans="1:32">
      <c r="A61" t="s">
        <v>286</v>
      </c>
      <c r="B61" s="2" t="str">
        <f t="shared" si="0"/>
        <v>Unique</v>
      </c>
      <c r="C61" s="2" t="str">
        <f t="shared" si="4"/>
        <v>Jul</v>
      </c>
      <c r="D61" s="2">
        <f t="shared" si="5"/>
        <v>2024</v>
      </c>
      <c r="E61" s="4">
        <v>45493</v>
      </c>
      <c r="F61" s="4">
        <v>45498</v>
      </c>
      <c r="G61" s="6">
        <f t="shared" si="1"/>
        <v>5</v>
      </c>
      <c r="H61" s="6" t="str">
        <f t="shared" si="2"/>
        <v>Valid</v>
      </c>
      <c r="I61" t="s">
        <v>287</v>
      </c>
      <c r="J61" t="s">
        <v>115</v>
      </c>
      <c r="K61" t="s">
        <v>91</v>
      </c>
      <c r="L61" t="s">
        <v>39</v>
      </c>
      <c r="M61" t="s">
        <v>167</v>
      </c>
      <c r="N61" t="s">
        <v>168</v>
      </c>
      <c r="O61" t="s">
        <v>29</v>
      </c>
      <c r="P61" t="s">
        <v>92</v>
      </c>
      <c r="Q61" t="s">
        <v>288</v>
      </c>
      <c r="R61" t="s">
        <v>45</v>
      </c>
      <c r="S61">
        <v>5</v>
      </c>
      <c r="T61">
        <v>4133.8500000000004</v>
      </c>
      <c r="U61" s="2">
        <f t="shared" si="6"/>
        <v>16535.400000000001</v>
      </c>
      <c r="V61" s="13">
        <v>0.2</v>
      </c>
      <c r="W61" s="2">
        <f t="shared" si="7"/>
        <v>0.2</v>
      </c>
      <c r="X61" s="2" t="str">
        <f t="shared" si="8"/>
        <v>Valid</v>
      </c>
      <c r="Y61" s="2" t="str">
        <f t="shared" si="9"/>
        <v>Clean</v>
      </c>
      <c r="Z61">
        <v>16535.400000000001</v>
      </c>
      <c r="AA61">
        <v>12990.21</v>
      </c>
      <c r="AB61" s="2">
        <f t="shared" si="3"/>
        <v>3545.1900000000023</v>
      </c>
      <c r="AC61">
        <v>3545.19</v>
      </c>
      <c r="AD61" s="11">
        <f t="shared" si="10"/>
        <v>0.21440001451431473</v>
      </c>
      <c r="AE61" t="s">
        <v>33</v>
      </c>
      <c r="AF61" t="s">
        <v>69</v>
      </c>
    </row>
    <row r="62" spans="1:32">
      <c r="A62" t="s">
        <v>289</v>
      </c>
      <c r="B62" s="2" t="str">
        <f t="shared" si="0"/>
        <v>Unique</v>
      </c>
      <c r="C62" s="2" t="str">
        <f t="shared" si="4"/>
        <v>Jul</v>
      </c>
      <c r="D62" s="2">
        <f t="shared" si="5"/>
        <v>2024</v>
      </c>
      <c r="E62" s="4">
        <v>45486</v>
      </c>
      <c r="F62" s="4">
        <v>45492</v>
      </c>
      <c r="G62" s="6">
        <f t="shared" si="1"/>
        <v>6</v>
      </c>
      <c r="H62" s="6" t="str">
        <f t="shared" si="2"/>
        <v>Valid</v>
      </c>
      <c r="I62" t="s">
        <v>290</v>
      </c>
      <c r="J62" t="s">
        <v>63</v>
      </c>
      <c r="K62" t="s">
        <v>91</v>
      </c>
      <c r="L62" t="s">
        <v>39</v>
      </c>
      <c r="M62" t="s">
        <v>167</v>
      </c>
      <c r="N62" t="s">
        <v>168</v>
      </c>
      <c r="O62" t="s">
        <v>29</v>
      </c>
      <c r="P62" t="s">
        <v>92</v>
      </c>
      <c r="Q62" t="s">
        <v>291</v>
      </c>
      <c r="R62" t="s">
        <v>45</v>
      </c>
      <c r="S62">
        <v>3</v>
      </c>
      <c r="T62">
        <v>275.76</v>
      </c>
      <c r="U62" s="2">
        <f t="shared" si="6"/>
        <v>661.82400000000007</v>
      </c>
      <c r="V62" s="13">
        <v>0.2</v>
      </c>
      <c r="W62" s="2">
        <f t="shared" si="7"/>
        <v>0.2</v>
      </c>
      <c r="X62" s="2" t="str">
        <f t="shared" si="8"/>
        <v>Valid</v>
      </c>
      <c r="Y62" s="2" t="str">
        <f t="shared" si="9"/>
        <v>Clean</v>
      </c>
      <c r="Z62">
        <v>661.82</v>
      </c>
      <c r="AA62">
        <v>481.47</v>
      </c>
      <c r="AB62" s="2">
        <f t="shared" si="3"/>
        <v>180.35400000000004</v>
      </c>
      <c r="AC62">
        <v>180.35</v>
      </c>
      <c r="AD62" s="11">
        <f t="shared" si="10"/>
        <v>0.2725061194886827</v>
      </c>
      <c r="AE62" t="s">
        <v>103</v>
      </c>
      <c r="AF62" t="s">
        <v>69</v>
      </c>
    </row>
    <row r="63" spans="1:32">
      <c r="A63" t="s">
        <v>292</v>
      </c>
      <c r="B63" s="2" t="str">
        <f t="shared" si="0"/>
        <v>Unique</v>
      </c>
      <c r="C63" s="2" t="str">
        <f t="shared" si="4"/>
        <v>Apr</v>
      </c>
      <c r="D63" s="2">
        <f t="shared" si="5"/>
        <v>2024</v>
      </c>
      <c r="E63" s="4">
        <v>45398</v>
      </c>
      <c r="F63" s="4">
        <v>45398</v>
      </c>
      <c r="G63" s="6">
        <f t="shared" si="1"/>
        <v>0</v>
      </c>
      <c r="H63" s="6" t="str">
        <f t="shared" si="2"/>
        <v>Valid</v>
      </c>
      <c r="I63" t="s">
        <v>293</v>
      </c>
      <c r="J63" t="s">
        <v>72</v>
      </c>
      <c r="K63" t="s">
        <v>96</v>
      </c>
      <c r="L63" t="s">
        <v>39</v>
      </c>
      <c r="M63" t="s">
        <v>146</v>
      </c>
      <c r="N63" t="s">
        <v>147</v>
      </c>
      <c r="O63" t="s">
        <v>42</v>
      </c>
      <c r="P63" t="s">
        <v>159</v>
      </c>
      <c r="Q63" t="s">
        <v>294</v>
      </c>
      <c r="R63" t="s">
        <v>60</v>
      </c>
      <c r="S63">
        <v>1</v>
      </c>
      <c r="T63">
        <v>949.59</v>
      </c>
      <c r="U63" s="2">
        <f t="shared" si="6"/>
        <v>949.59</v>
      </c>
      <c r="V63" s="13">
        <v>0</v>
      </c>
      <c r="W63" s="2">
        <f t="shared" si="7"/>
        <v>0</v>
      </c>
      <c r="X63" s="2" t="str">
        <f t="shared" si="8"/>
        <v>Valid</v>
      </c>
      <c r="Y63" s="2" t="str">
        <f t="shared" si="9"/>
        <v>Clean</v>
      </c>
      <c r="Z63">
        <v>949.59</v>
      </c>
      <c r="AA63">
        <v>751.25</v>
      </c>
      <c r="AB63" s="2">
        <f t="shared" si="3"/>
        <v>198.34000000000003</v>
      </c>
      <c r="AC63">
        <v>198.34</v>
      </c>
      <c r="AD63" s="11">
        <f t="shared" si="10"/>
        <v>0.20886909087079686</v>
      </c>
      <c r="AE63" t="s">
        <v>33</v>
      </c>
      <c r="AF63" t="s">
        <v>34</v>
      </c>
    </row>
    <row r="64" spans="1:32">
      <c r="A64" t="s">
        <v>295</v>
      </c>
      <c r="B64" s="2" t="str">
        <f t="shared" si="0"/>
        <v>Unique</v>
      </c>
      <c r="C64" s="2" t="str">
        <f t="shared" si="4"/>
        <v>Oct</v>
      </c>
      <c r="D64" s="2">
        <f t="shared" si="5"/>
        <v>2024</v>
      </c>
      <c r="E64" s="4">
        <v>45595</v>
      </c>
      <c r="F64" s="4">
        <v>45598</v>
      </c>
      <c r="G64" s="6">
        <f t="shared" si="1"/>
        <v>3</v>
      </c>
      <c r="H64" s="6" t="str">
        <f t="shared" si="2"/>
        <v>Valid</v>
      </c>
      <c r="I64" t="s">
        <v>296</v>
      </c>
      <c r="J64" t="s">
        <v>133</v>
      </c>
      <c r="K64" t="s">
        <v>96</v>
      </c>
      <c r="L64" t="s">
        <v>26</v>
      </c>
      <c r="M64" t="s">
        <v>27</v>
      </c>
      <c r="N64" t="s">
        <v>28</v>
      </c>
      <c r="O64" t="s">
        <v>75</v>
      </c>
      <c r="P64" t="s">
        <v>172</v>
      </c>
      <c r="Q64" t="s">
        <v>297</v>
      </c>
      <c r="R64" t="s">
        <v>60</v>
      </c>
      <c r="S64">
        <v>9</v>
      </c>
      <c r="T64">
        <v>3042.29</v>
      </c>
      <c r="U64" s="2">
        <f t="shared" si="6"/>
        <v>21904.488000000001</v>
      </c>
      <c r="V64" s="13">
        <v>0.2</v>
      </c>
      <c r="W64" s="2">
        <f t="shared" si="7"/>
        <v>0.2</v>
      </c>
      <c r="X64" s="2" t="str">
        <f t="shared" si="8"/>
        <v>Valid</v>
      </c>
      <c r="Y64" s="2" t="str">
        <f t="shared" si="9"/>
        <v>Clean</v>
      </c>
      <c r="Z64">
        <v>21904.49</v>
      </c>
      <c r="AA64">
        <v>13570.55</v>
      </c>
      <c r="AB64" s="2">
        <f t="shared" si="3"/>
        <v>8333.9380000000019</v>
      </c>
      <c r="AC64">
        <v>8333.94</v>
      </c>
      <c r="AD64" s="11">
        <f t="shared" si="10"/>
        <v>0.38046720101677783</v>
      </c>
      <c r="AE64" t="s">
        <v>33</v>
      </c>
      <c r="AF64" t="s">
        <v>34</v>
      </c>
    </row>
    <row r="65" spans="1:32">
      <c r="A65" t="s">
        <v>298</v>
      </c>
      <c r="B65" s="2" t="str">
        <f t="shared" si="0"/>
        <v>Unique</v>
      </c>
      <c r="C65" s="2" t="str">
        <f t="shared" si="4"/>
        <v>Jan</v>
      </c>
      <c r="D65" s="2">
        <f t="shared" si="5"/>
        <v>2024</v>
      </c>
      <c r="E65" s="4">
        <v>45316</v>
      </c>
      <c r="F65" s="4">
        <v>45323</v>
      </c>
      <c r="G65" s="6">
        <f t="shared" si="1"/>
        <v>7</v>
      </c>
      <c r="H65" s="6" t="str">
        <f t="shared" si="2"/>
        <v>Valid</v>
      </c>
      <c r="I65" t="s">
        <v>299</v>
      </c>
      <c r="J65" t="s">
        <v>133</v>
      </c>
      <c r="K65" t="s">
        <v>96</v>
      </c>
      <c r="L65" t="s">
        <v>26</v>
      </c>
      <c r="M65" t="s">
        <v>237</v>
      </c>
      <c r="N65" t="s">
        <v>238</v>
      </c>
      <c r="O65" t="s">
        <v>29</v>
      </c>
      <c r="P65" t="s">
        <v>154</v>
      </c>
      <c r="Q65" t="s">
        <v>300</v>
      </c>
      <c r="R65" t="s">
        <v>45</v>
      </c>
      <c r="S65">
        <v>2</v>
      </c>
      <c r="T65">
        <v>2832.77</v>
      </c>
      <c r="U65" s="2">
        <f t="shared" si="6"/>
        <v>4815.7089999999998</v>
      </c>
      <c r="V65" s="13">
        <v>0.15</v>
      </c>
      <c r="W65" s="2">
        <f t="shared" si="7"/>
        <v>0.15</v>
      </c>
      <c r="X65" s="2" t="str">
        <f t="shared" si="8"/>
        <v>Valid</v>
      </c>
      <c r="Y65" s="2" t="str">
        <f t="shared" si="9"/>
        <v>Clean</v>
      </c>
      <c r="Z65">
        <v>4815.71</v>
      </c>
      <c r="AA65">
        <v>3027.75</v>
      </c>
      <c r="AB65" s="2">
        <f t="shared" si="3"/>
        <v>1787.9589999999998</v>
      </c>
      <c r="AC65">
        <v>1917.47</v>
      </c>
      <c r="AD65" s="11">
        <f t="shared" si="10"/>
        <v>0.39816974028751734</v>
      </c>
      <c r="AE65" t="s">
        <v>33</v>
      </c>
      <c r="AF65" t="s">
        <v>34</v>
      </c>
    </row>
    <row r="66" spans="1:32">
      <c r="A66" t="s">
        <v>301</v>
      </c>
      <c r="B66" s="2" t="str">
        <f t="shared" ref="B66:B129" si="11">IF(COUNTIF($A:$A,A66)&gt;1,"Duplicate Order ID","Unique")</f>
        <v>Unique</v>
      </c>
      <c r="C66" s="2" t="str">
        <f t="shared" si="4"/>
        <v>Dec</v>
      </c>
      <c r="D66" s="2">
        <f t="shared" si="5"/>
        <v>2024</v>
      </c>
      <c r="E66" s="4">
        <v>45649</v>
      </c>
      <c r="F66" s="4">
        <v>45655</v>
      </c>
      <c r="G66" s="6">
        <f t="shared" ref="G66:G129" si="12">F66-E66</f>
        <v>6</v>
      </c>
      <c r="H66" s="6" t="str">
        <f t="shared" ref="H66:H129" si="13">IF(G66&lt;0,"Invalid: Ship Date Before Order Date","Valid")</f>
        <v>Valid</v>
      </c>
      <c r="I66" t="s">
        <v>302</v>
      </c>
      <c r="J66" t="s">
        <v>129</v>
      </c>
      <c r="K66" t="s">
        <v>91</v>
      </c>
      <c r="L66" t="s">
        <v>39</v>
      </c>
      <c r="M66" t="s">
        <v>229</v>
      </c>
      <c r="N66" t="s">
        <v>230</v>
      </c>
      <c r="O66" t="s">
        <v>29</v>
      </c>
      <c r="P66" t="s">
        <v>30</v>
      </c>
      <c r="Q66" t="s">
        <v>303</v>
      </c>
      <c r="R66" t="s">
        <v>51</v>
      </c>
      <c r="S66">
        <v>7</v>
      </c>
      <c r="T66">
        <v>447.84</v>
      </c>
      <c r="U66" s="2">
        <f t="shared" si="6"/>
        <v>3134.8799999999997</v>
      </c>
      <c r="V66" s="13">
        <v>0</v>
      </c>
      <c r="W66" s="2">
        <f t="shared" si="7"/>
        <v>0</v>
      </c>
      <c r="X66" s="2" t="str">
        <f t="shared" si="8"/>
        <v>Valid</v>
      </c>
      <c r="Y66" s="2" t="str">
        <f t="shared" si="9"/>
        <v>Clean</v>
      </c>
      <c r="Z66">
        <v>3134.88</v>
      </c>
      <c r="AA66">
        <v>2367.63</v>
      </c>
      <c r="AB66" s="2">
        <f t="shared" ref="AB66:AB129" si="14">IF(ISNUMBER(U66),U66-AA66,"Invalid")</f>
        <v>767.24999999999955</v>
      </c>
      <c r="AC66">
        <v>767.25</v>
      </c>
      <c r="AD66" s="11">
        <f t="shared" si="10"/>
        <v>0.2447462103812586</v>
      </c>
      <c r="AE66" t="s">
        <v>103</v>
      </c>
      <c r="AF66" t="s">
        <v>104</v>
      </c>
    </row>
    <row r="67" spans="1:32">
      <c r="A67" t="s">
        <v>304</v>
      </c>
      <c r="B67" s="2" t="str">
        <f t="shared" si="11"/>
        <v>Unique</v>
      </c>
      <c r="C67" s="2" t="str">
        <f t="shared" ref="C67:C130" si="15">TEXT(E67,"mmm")</f>
        <v>Apr</v>
      </c>
      <c r="D67" s="2">
        <f t="shared" ref="D67:D130" si="16">YEAR(E67)</f>
        <v>2024</v>
      </c>
      <c r="E67" s="4">
        <v>45404</v>
      </c>
      <c r="F67" s="4">
        <v>45409</v>
      </c>
      <c r="G67" s="6">
        <f t="shared" si="12"/>
        <v>5</v>
      </c>
      <c r="H67" s="6" t="str">
        <f t="shared" si="13"/>
        <v>Valid</v>
      </c>
      <c r="I67" t="s">
        <v>305</v>
      </c>
      <c r="J67" t="s">
        <v>37</v>
      </c>
      <c r="K67" t="s">
        <v>96</v>
      </c>
      <c r="L67" t="s">
        <v>64</v>
      </c>
      <c r="M67" t="s">
        <v>65</v>
      </c>
      <c r="N67" t="s">
        <v>66</v>
      </c>
      <c r="O67" t="s">
        <v>29</v>
      </c>
      <c r="P67" t="s">
        <v>30</v>
      </c>
      <c r="Q67" t="s">
        <v>306</v>
      </c>
      <c r="R67" t="s">
        <v>32</v>
      </c>
      <c r="S67">
        <v>1</v>
      </c>
      <c r="T67">
        <v>4280.1899999999996</v>
      </c>
      <c r="U67" s="2">
        <f t="shared" ref="U67:U130" si="17">IF(ISNUMBER(W67),S67*T67*(1-W67),"Invalid")</f>
        <v>4066.1804999999995</v>
      </c>
      <c r="V67" s="13">
        <v>0.05</v>
      </c>
      <c r="W67" s="2">
        <f t="shared" ref="W67:W130" si="18">IF(OR(V67&lt;0,V67&gt;1),"Invalid",V67)</f>
        <v>0.05</v>
      </c>
      <c r="X67" s="2" t="str">
        <f t="shared" ref="X67:X130" si="19">IF(OR(V67&lt;0,V67&gt;1),"Invalid","Valid")</f>
        <v>Valid</v>
      </c>
      <c r="Y67" s="2" t="str">
        <f t="shared" ref="Y67:Y130" si="20">IF(AND(H67="Valid",X67="Valid"),"Clean","Invalid")</f>
        <v>Clean</v>
      </c>
      <c r="Z67">
        <v>4066.18</v>
      </c>
      <c r="AA67">
        <v>2628.92</v>
      </c>
      <c r="AB67" s="2">
        <f t="shared" si="14"/>
        <v>1437.2604999999994</v>
      </c>
      <c r="AC67">
        <v>1437.26</v>
      </c>
      <c r="AD67" s="11">
        <f t="shared" ref="AD67:AD130" si="21">AC67/Z67</f>
        <v>0.35346689029998674</v>
      </c>
      <c r="AE67" t="s">
        <v>33</v>
      </c>
      <c r="AF67" t="s">
        <v>34</v>
      </c>
    </row>
    <row r="68" spans="1:32">
      <c r="A68" t="s">
        <v>307</v>
      </c>
      <c r="B68" s="2" t="str">
        <f t="shared" si="11"/>
        <v>Unique</v>
      </c>
      <c r="C68" s="2" t="str">
        <f t="shared" si="15"/>
        <v>Aug</v>
      </c>
      <c r="D68" s="2">
        <f t="shared" si="16"/>
        <v>2025</v>
      </c>
      <c r="E68" s="4">
        <v>45897</v>
      </c>
      <c r="F68" s="4">
        <v>45901</v>
      </c>
      <c r="G68" s="6">
        <f t="shared" si="12"/>
        <v>4</v>
      </c>
      <c r="H68" s="6" t="str">
        <f t="shared" si="13"/>
        <v>Valid</v>
      </c>
      <c r="I68" t="s">
        <v>308</v>
      </c>
      <c r="J68" t="s">
        <v>24</v>
      </c>
      <c r="K68" t="s">
        <v>38</v>
      </c>
      <c r="L68" t="s">
        <v>55</v>
      </c>
      <c r="M68" t="s">
        <v>248</v>
      </c>
      <c r="N68" t="s">
        <v>249</v>
      </c>
      <c r="O68" t="s">
        <v>75</v>
      </c>
      <c r="P68" t="s">
        <v>76</v>
      </c>
      <c r="Q68" t="s">
        <v>309</v>
      </c>
      <c r="R68" t="s">
        <v>45</v>
      </c>
      <c r="S68">
        <v>7</v>
      </c>
      <c r="T68">
        <v>1057.46</v>
      </c>
      <c r="U68" s="2">
        <f t="shared" si="17"/>
        <v>7032.1089999999995</v>
      </c>
      <c r="V68" s="13">
        <v>0.05</v>
      </c>
      <c r="W68" s="2">
        <f t="shared" si="18"/>
        <v>0.05</v>
      </c>
      <c r="X68" s="2" t="str">
        <f t="shared" si="19"/>
        <v>Valid</v>
      </c>
      <c r="Y68" s="2" t="str">
        <f t="shared" si="20"/>
        <v>Clean</v>
      </c>
      <c r="Z68">
        <v>7032.11</v>
      </c>
      <c r="AA68">
        <v>4610.34</v>
      </c>
      <c r="AB68" s="2">
        <f t="shared" si="14"/>
        <v>2421.7689999999993</v>
      </c>
      <c r="AC68">
        <v>2421.77</v>
      </c>
      <c r="AD68" s="11">
        <f t="shared" si="21"/>
        <v>0.34438738870694574</v>
      </c>
      <c r="AE68" t="s">
        <v>33</v>
      </c>
      <c r="AF68" t="s">
        <v>34</v>
      </c>
    </row>
    <row r="69" spans="1:32">
      <c r="A69" t="s">
        <v>310</v>
      </c>
      <c r="B69" s="2" t="str">
        <f t="shared" si="11"/>
        <v>Unique</v>
      </c>
      <c r="C69" s="2" t="str">
        <f t="shared" si="15"/>
        <v>Feb</v>
      </c>
      <c r="D69" s="2">
        <f t="shared" si="16"/>
        <v>2025</v>
      </c>
      <c r="E69" s="4">
        <v>45691</v>
      </c>
      <c r="F69" s="4">
        <v>45695</v>
      </c>
      <c r="G69" s="6">
        <f t="shared" si="12"/>
        <v>4</v>
      </c>
      <c r="H69" s="6" t="str">
        <f t="shared" si="13"/>
        <v>Valid</v>
      </c>
      <c r="I69" t="s">
        <v>311</v>
      </c>
      <c r="J69" t="s">
        <v>265</v>
      </c>
      <c r="K69" t="s">
        <v>25</v>
      </c>
      <c r="L69" t="s">
        <v>26</v>
      </c>
      <c r="M69" t="s">
        <v>237</v>
      </c>
      <c r="N69" t="s">
        <v>238</v>
      </c>
      <c r="O69" t="s">
        <v>29</v>
      </c>
      <c r="P69" t="s">
        <v>30</v>
      </c>
      <c r="Q69" t="s">
        <v>312</v>
      </c>
      <c r="R69" t="s">
        <v>51</v>
      </c>
      <c r="S69">
        <v>7</v>
      </c>
      <c r="T69">
        <v>3609.34</v>
      </c>
      <c r="U69" s="2">
        <f t="shared" si="17"/>
        <v>24002.111000000001</v>
      </c>
      <c r="V69" s="13">
        <v>0.05</v>
      </c>
      <c r="W69" s="2">
        <f t="shared" si="18"/>
        <v>0.05</v>
      </c>
      <c r="X69" s="2" t="str">
        <f t="shared" si="19"/>
        <v>Valid</v>
      </c>
      <c r="Y69" s="2" t="str">
        <f t="shared" si="20"/>
        <v>Clean</v>
      </c>
      <c r="Z69">
        <v>24002.11</v>
      </c>
      <c r="AA69">
        <v>18707.57</v>
      </c>
      <c r="AB69" s="2">
        <f t="shared" si="14"/>
        <v>5294.5410000000011</v>
      </c>
      <c r="AC69">
        <v>5294.54</v>
      </c>
      <c r="AD69" s="11">
        <f t="shared" si="21"/>
        <v>0.2205864401088071</v>
      </c>
      <c r="AE69" t="s">
        <v>33</v>
      </c>
      <c r="AF69" t="s">
        <v>34</v>
      </c>
    </row>
    <row r="70" spans="1:32">
      <c r="A70" t="s">
        <v>313</v>
      </c>
      <c r="B70" s="2" t="str">
        <f t="shared" si="11"/>
        <v>Unique</v>
      </c>
      <c r="C70" s="2" t="str">
        <f t="shared" si="15"/>
        <v>Nov</v>
      </c>
      <c r="D70" s="2">
        <f t="shared" si="16"/>
        <v>2024</v>
      </c>
      <c r="E70" s="4">
        <v>45606</v>
      </c>
      <c r="F70" s="4">
        <v>45609</v>
      </c>
      <c r="G70" s="6">
        <f t="shared" si="12"/>
        <v>3</v>
      </c>
      <c r="H70" s="6" t="str">
        <f t="shared" si="13"/>
        <v>Valid</v>
      </c>
      <c r="I70" t="s">
        <v>314</v>
      </c>
      <c r="J70" t="s">
        <v>48</v>
      </c>
      <c r="K70" t="s">
        <v>91</v>
      </c>
      <c r="L70" t="s">
        <v>39</v>
      </c>
      <c r="M70" t="s">
        <v>229</v>
      </c>
      <c r="N70" t="s">
        <v>230</v>
      </c>
      <c r="O70" t="s">
        <v>29</v>
      </c>
      <c r="P70" t="s">
        <v>125</v>
      </c>
      <c r="Q70" t="s">
        <v>315</v>
      </c>
      <c r="R70" t="s">
        <v>32</v>
      </c>
      <c r="S70">
        <v>9</v>
      </c>
      <c r="T70">
        <v>2211.12</v>
      </c>
      <c r="U70" s="2">
        <f t="shared" si="17"/>
        <v>19900.079999999998</v>
      </c>
      <c r="V70" s="13">
        <v>0</v>
      </c>
      <c r="W70" s="2">
        <f t="shared" si="18"/>
        <v>0</v>
      </c>
      <c r="X70" s="2" t="str">
        <f t="shared" si="19"/>
        <v>Valid</v>
      </c>
      <c r="Y70" s="2" t="str">
        <f t="shared" si="20"/>
        <v>Clean</v>
      </c>
      <c r="Z70">
        <v>19900.080000000002</v>
      </c>
      <c r="AA70">
        <v>10962.66</v>
      </c>
      <c r="AB70" s="2">
        <f t="shared" si="14"/>
        <v>8937.4199999999983</v>
      </c>
      <c r="AC70">
        <v>8937.42</v>
      </c>
      <c r="AD70" s="11">
        <f t="shared" si="21"/>
        <v>0.44911477742803041</v>
      </c>
      <c r="AE70" t="s">
        <v>156</v>
      </c>
      <c r="AF70" t="s">
        <v>104</v>
      </c>
    </row>
    <row r="71" spans="1:32">
      <c r="A71" t="s">
        <v>316</v>
      </c>
      <c r="B71" s="2" t="str">
        <f t="shared" si="11"/>
        <v>Unique</v>
      </c>
      <c r="C71" s="2" t="str">
        <f t="shared" si="15"/>
        <v>Apr</v>
      </c>
      <c r="D71" s="2">
        <f t="shared" si="16"/>
        <v>2024</v>
      </c>
      <c r="E71" s="4">
        <v>45391</v>
      </c>
      <c r="F71" s="4">
        <v>45396</v>
      </c>
      <c r="G71" s="6">
        <f t="shared" si="12"/>
        <v>5</v>
      </c>
      <c r="H71" s="6" t="str">
        <f t="shared" si="13"/>
        <v>Valid</v>
      </c>
      <c r="I71" t="s">
        <v>317</v>
      </c>
      <c r="J71" t="s">
        <v>80</v>
      </c>
      <c r="K71" t="s">
        <v>38</v>
      </c>
      <c r="L71" t="s">
        <v>64</v>
      </c>
      <c r="M71" t="s">
        <v>181</v>
      </c>
      <c r="N71" t="s">
        <v>182</v>
      </c>
      <c r="O71" t="s">
        <v>75</v>
      </c>
      <c r="P71" t="s">
        <v>275</v>
      </c>
      <c r="Q71" t="s">
        <v>318</v>
      </c>
      <c r="R71" t="s">
        <v>45</v>
      </c>
      <c r="S71">
        <v>7</v>
      </c>
      <c r="T71">
        <v>3417.09</v>
      </c>
      <c r="U71" s="2">
        <f t="shared" si="17"/>
        <v>21527.667000000001</v>
      </c>
      <c r="V71" s="13">
        <v>0.1</v>
      </c>
      <c r="W71" s="2">
        <f t="shared" si="18"/>
        <v>0.1</v>
      </c>
      <c r="X71" s="2" t="str">
        <f t="shared" si="19"/>
        <v>Valid</v>
      </c>
      <c r="Y71" s="2" t="str">
        <f t="shared" si="20"/>
        <v>Clean</v>
      </c>
      <c r="Z71">
        <v>21527.67</v>
      </c>
      <c r="AA71">
        <v>18287.580000000002</v>
      </c>
      <c r="AB71" s="2">
        <f t="shared" si="14"/>
        <v>3240.0869999999995</v>
      </c>
      <c r="AC71">
        <v>3240.09</v>
      </c>
      <c r="AD71" s="11">
        <f t="shared" si="21"/>
        <v>0.15050815996343311</v>
      </c>
      <c r="AE71" t="s">
        <v>103</v>
      </c>
      <c r="AF71" t="s">
        <v>104</v>
      </c>
    </row>
    <row r="72" spans="1:32">
      <c r="A72" t="s">
        <v>319</v>
      </c>
      <c r="B72" s="2" t="str">
        <f t="shared" si="11"/>
        <v>Unique</v>
      </c>
      <c r="C72" s="2" t="str">
        <f t="shared" si="15"/>
        <v>Aug</v>
      </c>
      <c r="D72" s="2">
        <f t="shared" si="16"/>
        <v>2025</v>
      </c>
      <c r="E72" s="4">
        <v>45891</v>
      </c>
      <c r="F72" s="4">
        <v>45896</v>
      </c>
      <c r="G72" s="6">
        <f t="shared" si="12"/>
        <v>5</v>
      </c>
      <c r="H72" s="6" t="str">
        <f t="shared" si="13"/>
        <v>Valid</v>
      </c>
      <c r="I72" t="s">
        <v>320</v>
      </c>
      <c r="J72" t="s">
        <v>24</v>
      </c>
      <c r="K72" t="s">
        <v>91</v>
      </c>
      <c r="L72" t="s">
        <v>55</v>
      </c>
      <c r="M72" t="s">
        <v>85</v>
      </c>
      <c r="N72" t="s">
        <v>86</v>
      </c>
      <c r="O72" t="s">
        <v>75</v>
      </c>
      <c r="P72" t="s">
        <v>172</v>
      </c>
      <c r="Q72" t="s">
        <v>321</v>
      </c>
      <c r="R72" t="s">
        <v>51</v>
      </c>
      <c r="S72">
        <v>2</v>
      </c>
      <c r="T72">
        <v>905.87</v>
      </c>
      <c r="U72" s="2">
        <f t="shared" si="17"/>
        <v>1539.979</v>
      </c>
      <c r="V72" s="13">
        <v>0.15</v>
      </c>
      <c r="W72" s="2">
        <f t="shared" si="18"/>
        <v>0.15</v>
      </c>
      <c r="X72" s="2" t="str">
        <f t="shared" si="19"/>
        <v>Valid</v>
      </c>
      <c r="Y72" s="2" t="str">
        <f t="shared" si="20"/>
        <v>Clean</v>
      </c>
      <c r="Z72">
        <v>1539.98</v>
      </c>
      <c r="AA72">
        <v>1070.2</v>
      </c>
      <c r="AB72" s="2">
        <f t="shared" si="14"/>
        <v>469.779</v>
      </c>
      <c r="AC72">
        <v>469.78</v>
      </c>
      <c r="AD72" s="11">
        <f t="shared" si="21"/>
        <v>0.30505590981701058</v>
      </c>
      <c r="AE72" t="s">
        <v>33</v>
      </c>
      <c r="AF72" t="s">
        <v>34</v>
      </c>
    </row>
    <row r="73" spans="1:32">
      <c r="A73" t="s">
        <v>322</v>
      </c>
      <c r="B73" s="2" t="str">
        <f t="shared" si="11"/>
        <v>Unique</v>
      </c>
      <c r="C73" s="2" t="str">
        <f t="shared" si="15"/>
        <v>Apr</v>
      </c>
      <c r="D73" s="2">
        <f t="shared" si="16"/>
        <v>2025</v>
      </c>
      <c r="E73" s="4">
        <v>45763</v>
      </c>
      <c r="F73" s="4">
        <v>45770</v>
      </c>
      <c r="G73" s="6">
        <f t="shared" si="12"/>
        <v>7</v>
      </c>
      <c r="H73" s="6" t="str">
        <f t="shared" si="13"/>
        <v>Valid</v>
      </c>
      <c r="I73" t="s">
        <v>323</v>
      </c>
      <c r="J73" t="s">
        <v>37</v>
      </c>
      <c r="K73" t="s">
        <v>38</v>
      </c>
      <c r="L73" t="s">
        <v>64</v>
      </c>
      <c r="M73" t="s">
        <v>191</v>
      </c>
      <c r="N73" t="s">
        <v>192</v>
      </c>
      <c r="O73" t="s">
        <v>75</v>
      </c>
      <c r="P73" t="s">
        <v>275</v>
      </c>
      <c r="Q73" t="s">
        <v>324</v>
      </c>
      <c r="R73" t="s">
        <v>60</v>
      </c>
      <c r="S73">
        <v>6</v>
      </c>
      <c r="T73">
        <v>2027.32</v>
      </c>
      <c r="U73" s="2">
        <f t="shared" si="17"/>
        <v>10947.528</v>
      </c>
      <c r="V73" s="13">
        <v>0.1</v>
      </c>
      <c r="W73" s="2">
        <f t="shared" si="18"/>
        <v>0.1</v>
      </c>
      <c r="X73" s="2" t="str">
        <f t="shared" si="19"/>
        <v>Valid</v>
      </c>
      <c r="Y73" s="2" t="str">
        <f t="shared" si="20"/>
        <v>Clean</v>
      </c>
      <c r="Z73">
        <v>10947.53</v>
      </c>
      <c r="AA73">
        <v>6447.36</v>
      </c>
      <c r="AB73" s="2">
        <f t="shared" si="14"/>
        <v>4500.1680000000006</v>
      </c>
      <c r="AC73">
        <v>4500.17</v>
      </c>
      <c r="AD73" s="11">
        <f t="shared" si="21"/>
        <v>0.41106715396075644</v>
      </c>
      <c r="AE73" t="s">
        <v>33</v>
      </c>
      <c r="AF73" t="s">
        <v>34</v>
      </c>
    </row>
    <row r="74" spans="1:32">
      <c r="A74" t="s">
        <v>325</v>
      </c>
      <c r="B74" s="2" t="str">
        <f t="shared" si="11"/>
        <v>Unique</v>
      </c>
      <c r="C74" s="2" t="str">
        <f t="shared" si="15"/>
        <v>Feb</v>
      </c>
      <c r="D74" s="2">
        <f t="shared" si="16"/>
        <v>2024</v>
      </c>
      <c r="E74" s="4">
        <v>45333</v>
      </c>
      <c r="F74" s="4">
        <v>45329</v>
      </c>
      <c r="G74" s="6">
        <f t="shared" si="12"/>
        <v>-4</v>
      </c>
      <c r="H74" s="6" t="str">
        <f t="shared" si="13"/>
        <v>Invalid: Ship Date Before Order Date</v>
      </c>
      <c r="I74" t="s">
        <v>326</v>
      </c>
      <c r="J74" t="s">
        <v>24</v>
      </c>
      <c r="K74" t="s">
        <v>96</v>
      </c>
      <c r="L74" t="s">
        <v>55</v>
      </c>
      <c r="M74" t="s">
        <v>248</v>
      </c>
      <c r="N74" t="s">
        <v>249</v>
      </c>
      <c r="O74" t="s">
        <v>42</v>
      </c>
      <c r="P74" t="s">
        <v>43</v>
      </c>
      <c r="Q74" t="s">
        <v>327</v>
      </c>
      <c r="R74" t="s">
        <v>51</v>
      </c>
      <c r="S74">
        <v>7</v>
      </c>
      <c r="T74">
        <v>2287.4699999999998</v>
      </c>
      <c r="U74" s="2">
        <f t="shared" si="17"/>
        <v>13610.446499999998</v>
      </c>
      <c r="V74" s="13">
        <v>0.15</v>
      </c>
      <c r="W74" s="2">
        <f t="shared" si="18"/>
        <v>0.15</v>
      </c>
      <c r="X74" s="2" t="str">
        <f t="shared" si="19"/>
        <v>Valid</v>
      </c>
      <c r="Y74" s="2" t="str">
        <f t="shared" si="20"/>
        <v>Invalid</v>
      </c>
      <c r="Z74">
        <v>13610.45</v>
      </c>
      <c r="AA74">
        <v>10039.049999999999</v>
      </c>
      <c r="AB74" s="2">
        <f t="shared" si="14"/>
        <v>3571.3964999999989</v>
      </c>
      <c r="AC74">
        <v>3571.4</v>
      </c>
      <c r="AD74" s="11">
        <f t="shared" si="21"/>
        <v>0.26240131663537941</v>
      </c>
      <c r="AE74" t="s">
        <v>33</v>
      </c>
      <c r="AF74" t="s">
        <v>34</v>
      </c>
    </row>
    <row r="75" spans="1:32">
      <c r="A75" t="s">
        <v>328</v>
      </c>
      <c r="B75" s="2" t="str">
        <f t="shared" si="11"/>
        <v>Unique</v>
      </c>
      <c r="C75" s="2" t="str">
        <f t="shared" si="15"/>
        <v>Mar</v>
      </c>
      <c r="D75" s="2">
        <f t="shared" si="16"/>
        <v>2025</v>
      </c>
      <c r="E75" s="4">
        <v>45745</v>
      </c>
      <c r="F75" s="4">
        <v>45750</v>
      </c>
      <c r="G75" s="6">
        <f t="shared" si="12"/>
        <v>5</v>
      </c>
      <c r="H75" s="6" t="str">
        <f t="shared" si="13"/>
        <v>Valid</v>
      </c>
      <c r="I75" t="s">
        <v>329</v>
      </c>
      <c r="J75" t="s">
        <v>133</v>
      </c>
      <c r="K75" t="s">
        <v>91</v>
      </c>
      <c r="L75" t="s">
        <v>39</v>
      </c>
      <c r="M75" t="s">
        <v>100</v>
      </c>
      <c r="N75" t="s">
        <v>101</v>
      </c>
      <c r="O75" t="s">
        <v>42</v>
      </c>
      <c r="P75" t="s">
        <v>159</v>
      </c>
      <c r="Q75" t="s">
        <v>330</v>
      </c>
      <c r="R75" t="s">
        <v>51</v>
      </c>
      <c r="S75">
        <v>5</v>
      </c>
      <c r="T75">
        <v>1425.74</v>
      </c>
      <c r="U75" s="2">
        <f t="shared" si="17"/>
        <v>7128.7</v>
      </c>
      <c r="V75" s="13">
        <v>0</v>
      </c>
      <c r="W75" s="2">
        <f t="shared" si="18"/>
        <v>0</v>
      </c>
      <c r="X75" s="2" t="str">
        <f t="shared" si="19"/>
        <v>Valid</v>
      </c>
      <c r="Y75" s="2" t="str">
        <f t="shared" si="20"/>
        <v>Clean</v>
      </c>
      <c r="Z75">
        <v>7128.7</v>
      </c>
      <c r="AA75">
        <v>4382.1499999999996</v>
      </c>
      <c r="AB75" s="2">
        <f t="shared" si="14"/>
        <v>2746.55</v>
      </c>
      <c r="AC75">
        <v>2746.55</v>
      </c>
      <c r="AD75" s="11">
        <f t="shared" si="21"/>
        <v>0.38528062620113068</v>
      </c>
      <c r="AE75" t="s">
        <v>33</v>
      </c>
      <c r="AF75" t="s">
        <v>34</v>
      </c>
    </row>
    <row r="76" spans="1:32">
      <c r="A76" t="s">
        <v>331</v>
      </c>
      <c r="B76" s="2" t="str">
        <f t="shared" si="11"/>
        <v>Unique</v>
      </c>
      <c r="C76" s="2" t="str">
        <f t="shared" si="15"/>
        <v>Feb</v>
      </c>
      <c r="D76" s="2">
        <f t="shared" si="16"/>
        <v>2025</v>
      </c>
      <c r="E76" s="4">
        <v>45715</v>
      </c>
      <c r="F76" s="4">
        <v>45717</v>
      </c>
      <c r="G76" s="6">
        <f t="shared" si="12"/>
        <v>2</v>
      </c>
      <c r="H76" s="6" t="str">
        <f t="shared" si="13"/>
        <v>Valid</v>
      </c>
      <c r="I76" t="s">
        <v>332</v>
      </c>
      <c r="J76" t="s">
        <v>72</v>
      </c>
      <c r="K76" t="s">
        <v>38</v>
      </c>
      <c r="L76" t="s">
        <v>39</v>
      </c>
      <c r="M76" t="s">
        <v>100</v>
      </c>
      <c r="N76" t="s">
        <v>101</v>
      </c>
      <c r="O76" t="s">
        <v>42</v>
      </c>
      <c r="P76" t="s">
        <v>67</v>
      </c>
      <c r="Q76" t="s">
        <v>333</v>
      </c>
      <c r="R76" t="s">
        <v>60</v>
      </c>
      <c r="S76">
        <v>6</v>
      </c>
      <c r="T76">
        <v>551.64</v>
      </c>
      <c r="U76" s="2">
        <f t="shared" si="17"/>
        <v>3309.84</v>
      </c>
      <c r="V76" s="13">
        <v>0</v>
      </c>
      <c r="W76" s="2">
        <f t="shared" si="18"/>
        <v>0</v>
      </c>
      <c r="X76" s="2" t="str">
        <f t="shared" si="19"/>
        <v>Valid</v>
      </c>
      <c r="Y76" s="2" t="str">
        <f t="shared" si="20"/>
        <v>Clean</v>
      </c>
      <c r="Z76">
        <v>3309.84</v>
      </c>
      <c r="AA76">
        <v>2671.08</v>
      </c>
      <c r="AB76" s="2">
        <f t="shared" si="14"/>
        <v>638.76000000000022</v>
      </c>
      <c r="AC76">
        <v>638.76</v>
      </c>
      <c r="AD76" s="11">
        <f t="shared" si="21"/>
        <v>0.19298818069755636</v>
      </c>
      <c r="AE76" t="s">
        <v>33</v>
      </c>
      <c r="AF76" t="s">
        <v>34</v>
      </c>
    </row>
    <row r="77" spans="1:32">
      <c r="A77" t="s">
        <v>334</v>
      </c>
      <c r="B77" s="2" t="str">
        <f t="shared" si="11"/>
        <v>Unique</v>
      </c>
      <c r="C77" s="2" t="str">
        <f t="shared" si="15"/>
        <v>Aug</v>
      </c>
      <c r="D77" s="2">
        <f t="shared" si="16"/>
        <v>2025</v>
      </c>
      <c r="E77" s="4">
        <v>45891</v>
      </c>
      <c r="F77" s="4">
        <v>45896</v>
      </c>
      <c r="G77" s="6">
        <f t="shared" si="12"/>
        <v>5</v>
      </c>
      <c r="H77" s="6" t="str">
        <f t="shared" si="13"/>
        <v>Valid</v>
      </c>
      <c r="I77" t="s">
        <v>335</v>
      </c>
      <c r="J77" t="s">
        <v>115</v>
      </c>
      <c r="K77" t="s">
        <v>38</v>
      </c>
      <c r="L77" t="s">
        <v>39</v>
      </c>
      <c r="M77" t="s">
        <v>40</v>
      </c>
      <c r="N77" t="s">
        <v>41</v>
      </c>
      <c r="O77" t="s">
        <v>29</v>
      </c>
      <c r="P77" t="s">
        <v>92</v>
      </c>
      <c r="Q77" t="s">
        <v>336</v>
      </c>
      <c r="R77" t="s">
        <v>51</v>
      </c>
      <c r="S77">
        <v>3</v>
      </c>
      <c r="T77">
        <v>3294.82</v>
      </c>
      <c r="U77" s="2">
        <f t="shared" si="17"/>
        <v>7907.5680000000011</v>
      </c>
      <c r="V77" s="13">
        <v>0.2</v>
      </c>
      <c r="W77" s="2">
        <f t="shared" si="18"/>
        <v>0.2</v>
      </c>
      <c r="X77" s="2" t="str">
        <f t="shared" si="19"/>
        <v>Valid</v>
      </c>
      <c r="Y77" s="2" t="str">
        <f t="shared" si="20"/>
        <v>Clean</v>
      </c>
      <c r="Z77">
        <v>7907.57</v>
      </c>
      <c r="AA77">
        <v>5391.18</v>
      </c>
      <c r="AB77" s="2">
        <f t="shared" si="14"/>
        <v>2516.3880000000008</v>
      </c>
      <c r="AC77">
        <v>2516.39</v>
      </c>
      <c r="AD77" s="11">
        <f t="shared" si="21"/>
        <v>0.3182254472612952</v>
      </c>
      <c r="AE77" t="s">
        <v>33</v>
      </c>
      <c r="AF77" t="s">
        <v>34</v>
      </c>
    </row>
    <row r="78" spans="1:32">
      <c r="A78" t="s">
        <v>337</v>
      </c>
      <c r="B78" s="2" t="str">
        <f t="shared" si="11"/>
        <v>Unique</v>
      </c>
      <c r="C78" s="2" t="str">
        <f t="shared" si="15"/>
        <v>Nov</v>
      </c>
      <c r="D78" s="2">
        <f t="shared" si="16"/>
        <v>2024</v>
      </c>
      <c r="E78" s="4">
        <v>45599</v>
      </c>
      <c r="F78" s="4">
        <v>45607</v>
      </c>
      <c r="G78" s="6">
        <f t="shared" si="12"/>
        <v>8</v>
      </c>
      <c r="H78" s="6" t="str">
        <f t="shared" si="13"/>
        <v>Valid</v>
      </c>
      <c r="I78" t="s">
        <v>338</v>
      </c>
      <c r="J78" t="s">
        <v>63</v>
      </c>
      <c r="K78" t="s">
        <v>91</v>
      </c>
      <c r="L78" t="s">
        <v>39</v>
      </c>
      <c r="M78" t="s">
        <v>229</v>
      </c>
      <c r="N78" t="s">
        <v>230</v>
      </c>
      <c r="O78" t="s">
        <v>29</v>
      </c>
      <c r="P78" t="s">
        <v>92</v>
      </c>
      <c r="Q78" t="s">
        <v>339</v>
      </c>
      <c r="R78" t="s">
        <v>32</v>
      </c>
      <c r="S78">
        <v>3</v>
      </c>
      <c r="T78">
        <v>3406.27</v>
      </c>
      <c r="U78" s="2">
        <f t="shared" si="17"/>
        <v>10218.81</v>
      </c>
      <c r="V78" s="13">
        <v>0</v>
      </c>
      <c r="W78" s="2">
        <f t="shared" si="18"/>
        <v>0</v>
      </c>
      <c r="X78" s="2" t="str">
        <f t="shared" si="19"/>
        <v>Valid</v>
      </c>
      <c r="Y78" s="2" t="str">
        <f t="shared" si="20"/>
        <v>Clean</v>
      </c>
      <c r="Z78">
        <v>10218.81</v>
      </c>
      <c r="AA78">
        <v>7616.97</v>
      </c>
      <c r="AB78" s="2">
        <f t="shared" si="14"/>
        <v>2601.8399999999992</v>
      </c>
      <c r="AC78">
        <v>2601.84</v>
      </c>
      <c r="AD78" s="11">
        <f t="shared" si="21"/>
        <v>0.25461281695226745</v>
      </c>
      <c r="AE78" t="s">
        <v>33</v>
      </c>
      <c r="AF78" t="s">
        <v>34</v>
      </c>
    </row>
    <row r="79" spans="1:32">
      <c r="A79" t="s">
        <v>340</v>
      </c>
      <c r="B79" s="2" t="str">
        <f t="shared" si="11"/>
        <v>Unique</v>
      </c>
      <c r="C79" s="2" t="str">
        <f t="shared" si="15"/>
        <v>Jul</v>
      </c>
      <c r="D79" s="2">
        <f t="shared" si="16"/>
        <v>2025</v>
      </c>
      <c r="E79" s="4">
        <v>45846</v>
      </c>
      <c r="F79" s="4">
        <v>45850</v>
      </c>
      <c r="G79" s="6">
        <f t="shared" si="12"/>
        <v>4</v>
      </c>
      <c r="H79" s="6" t="str">
        <f t="shared" si="13"/>
        <v>Valid</v>
      </c>
      <c r="I79" t="s">
        <v>341</v>
      </c>
      <c r="J79" t="s">
        <v>142</v>
      </c>
      <c r="K79" t="s">
        <v>96</v>
      </c>
      <c r="L79" t="s">
        <v>26</v>
      </c>
      <c r="M79" t="s">
        <v>137</v>
      </c>
      <c r="N79" t="s">
        <v>138</v>
      </c>
      <c r="O79" t="s">
        <v>42</v>
      </c>
      <c r="P79" t="s">
        <v>58</v>
      </c>
      <c r="Q79" t="s">
        <v>342</v>
      </c>
      <c r="R79" t="s">
        <v>60</v>
      </c>
      <c r="S79">
        <v>1</v>
      </c>
      <c r="T79">
        <v>2582.1999999999998</v>
      </c>
      <c r="U79" s="2">
        <f t="shared" si="17"/>
        <v>2194.87</v>
      </c>
      <c r="V79" s="13">
        <v>0.15</v>
      </c>
      <c r="W79" s="2">
        <f t="shared" si="18"/>
        <v>0.15</v>
      </c>
      <c r="X79" s="2" t="str">
        <f t="shared" si="19"/>
        <v>Valid</v>
      </c>
      <c r="Y79" s="2" t="str">
        <f t="shared" si="20"/>
        <v>Clean</v>
      </c>
      <c r="Z79">
        <v>2194.87</v>
      </c>
      <c r="AA79">
        <v>1223.17</v>
      </c>
      <c r="AB79" s="2">
        <f t="shared" si="14"/>
        <v>971.69999999999982</v>
      </c>
      <c r="AC79">
        <v>971.7</v>
      </c>
      <c r="AD79" s="11">
        <f t="shared" si="21"/>
        <v>0.44271414707932594</v>
      </c>
      <c r="AE79" t="s">
        <v>103</v>
      </c>
      <c r="AF79" t="s">
        <v>69</v>
      </c>
    </row>
    <row r="80" spans="1:32">
      <c r="A80" t="s">
        <v>343</v>
      </c>
      <c r="B80" s="2" t="str">
        <f t="shared" si="11"/>
        <v>Unique</v>
      </c>
      <c r="C80" s="2" t="str">
        <f t="shared" si="15"/>
        <v>Jul</v>
      </c>
      <c r="D80" s="2">
        <f t="shared" si="16"/>
        <v>2025</v>
      </c>
      <c r="E80" s="4">
        <v>45854</v>
      </c>
      <c r="F80" s="4">
        <v>45859</v>
      </c>
      <c r="G80" s="6">
        <f t="shared" si="12"/>
        <v>5</v>
      </c>
      <c r="H80" s="6" t="str">
        <f t="shared" si="13"/>
        <v>Valid</v>
      </c>
      <c r="I80" t="s">
        <v>344</v>
      </c>
      <c r="J80" t="s">
        <v>133</v>
      </c>
      <c r="K80" t="s">
        <v>91</v>
      </c>
      <c r="L80" t="s">
        <v>39</v>
      </c>
      <c r="M80" t="s">
        <v>100</v>
      </c>
      <c r="N80" t="s">
        <v>101</v>
      </c>
      <c r="O80" t="s">
        <v>42</v>
      </c>
      <c r="P80" t="s">
        <v>43</v>
      </c>
      <c r="Q80" t="s">
        <v>345</v>
      </c>
      <c r="R80" t="s">
        <v>51</v>
      </c>
      <c r="S80">
        <v>5</v>
      </c>
      <c r="T80">
        <v>2129.5100000000002</v>
      </c>
      <c r="U80" s="2">
        <f t="shared" si="17"/>
        <v>9050.4175000000014</v>
      </c>
      <c r="V80" s="13">
        <v>0.15</v>
      </c>
      <c r="W80" s="2">
        <f t="shared" si="18"/>
        <v>0.15</v>
      </c>
      <c r="X80" s="2" t="str">
        <f t="shared" si="19"/>
        <v>Valid</v>
      </c>
      <c r="Y80" s="2" t="str">
        <f t="shared" si="20"/>
        <v>Clean</v>
      </c>
      <c r="Z80">
        <v>9050.42</v>
      </c>
      <c r="AA80">
        <v>6778.85</v>
      </c>
      <c r="AB80" s="2">
        <f t="shared" si="14"/>
        <v>2271.567500000001</v>
      </c>
      <c r="AC80">
        <v>2271.5700000000002</v>
      </c>
      <c r="AD80" s="11">
        <f t="shared" si="21"/>
        <v>0.25099056176398443</v>
      </c>
      <c r="AE80" t="s">
        <v>33</v>
      </c>
      <c r="AF80" t="s">
        <v>34</v>
      </c>
    </row>
    <row r="81" spans="1:32">
      <c r="A81" t="s">
        <v>346</v>
      </c>
      <c r="B81" s="2" t="str">
        <f t="shared" si="11"/>
        <v>Unique</v>
      </c>
      <c r="C81" s="2" t="str">
        <f t="shared" si="15"/>
        <v>Sep</v>
      </c>
      <c r="D81" s="2">
        <f t="shared" si="16"/>
        <v>2025</v>
      </c>
      <c r="E81" s="4">
        <v>45927</v>
      </c>
      <c r="F81" s="4">
        <v>45933</v>
      </c>
      <c r="G81" s="6">
        <f t="shared" si="12"/>
        <v>6</v>
      </c>
      <c r="H81" s="6" t="str">
        <f t="shared" si="13"/>
        <v>Valid</v>
      </c>
      <c r="I81" t="s">
        <v>347</v>
      </c>
      <c r="J81" t="s">
        <v>163</v>
      </c>
      <c r="K81" t="s">
        <v>96</v>
      </c>
      <c r="L81" t="s">
        <v>55</v>
      </c>
      <c r="M81" t="s">
        <v>248</v>
      </c>
      <c r="N81" t="s">
        <v>249</v>
      </c>
      <c r="O81" t="s">
        <v>42</v>
      </c>
      <c r="P81" t="s">
        <v>67</v>
      </c>
      <c r="Q81" t="s">
        <v>348</v>
      </c>
      <c r="R81" t="s">
        <v>45</v>
      </c>
      <c r="S81">
        <v>9</v>
      </c>
      <c r="T81">
        <v>4131.5200000000004</v>
      </c>
      <c r="U81" s="2">
        <f t="shared" si="17"/>
        <v>33465.312000000005</v>
      </c>
      <c r="V81" s="13">
        <v>0.1</v>
      </c>
      <c r="W81" s="2">
        <f t="shared" si="18"/>
        <v>0.1</v>
      </c>
      <c r="X81" s="2" t="str">
        <f t="shared" si="19"/>
        <v>Valid</v>
      </c>
      <c r="Y81" s="2" t="str">
        <f t="shared" si="20"/>
        <v>Clean</v>
      </c>
      <c r="Z81">
        <v>33465.31</v>
      </c>
      <c r="AA81">
        <v>24781.26</v>
      </c>
      <c r="AB81" s="2">
        <f t="shared" si="14"/>
        <v>8684.052000000007</v>
      </c>
      <c r="AC81">
        <v>8684.0499999999993</v>
      </c>
      <c r="AD81" s="11">
        <f t="shared" si="21"/>
        <v>0.25949408506898636</v>
      </c>
      <c r="AE81" t="s">
        <v>33</v>
      </c>
      <c r="AF81" t="s">
        <v>34</v>
      </c>
    </row>
    <row r="82" spans="1:32">
      <c r="A82" t="s">
        <v>349</v>
      </c>
      <c r="B82" s="2" t="str">
        <f t="shared" si="11"/>
        <v>Unique</v>
      </c>
      <c r="C82" s="2" t="str">
        <f t="shared" si="15"/>
        <v>Aug</v>
      </c>
      <c r="D82" s="2">
        <f t="shared" si="16"/>
        <v>2024</v>
      </c>
      <c r="E82" s="4">
        <v>45514</v>
      </c>
      <c r="F82" s="4">
        <v>45518</v>
      </c>
      <c r="G82" s="6">
        <f t="shared" si="12"/>
        <v>4</v>
      </c>
      <c r="H82" s="6" t="str">
        <f t="shared" si="13"/>
        <v>Valid</v>
      </c>
      <c r="I82" t="s">
        <v>350</v>
      </c>
      <c r="J82" t="s">
        <v>129</v>
      </c>
      <c r="K82" t="s">
        <v>38</v>
      </c>
      <c r="L82" t="s">
        <v>26</v>
      </c>
      <c r="M82" t="s">
        <v>351</v>
      </c>
      <c r="N82" t="s">
        <v>352</v>
      </c>
      <c r="O82" t="s">
        <v>29</v>
      </c>
      <c r="P82" t="s">
        <v>125</v>
      </c>
      <c r="Q82" t="s">
        <v>353</v>
      </c>
      <c r="R82" t="s">
        <v>32</v>
      </c>
      <c r="S82">
        <v>4</v>
      </c>
      <c r="T82">
        <v>1182.32</v>
      </c>
      <c r="U82" s="2">
        <f t="shared" si="17"/>
        <v>4256.3519999999999</v>
      </c>
      <c r="V82" s="13">
        <v>0.1</v>
      </c>
      <c r="W82" s="2">
        <f t="shared" si="18"/>
        <v>0.1</v>
      </c>
      <c r="X82" s="2" t="str">
        <f t="shared" si="19"/>
        <v>Valid</v>
      </c>
      <c r="Y82" s="2" t="str">
        <f t="shared" si="20"/>
        <v>Clean</v>
      </c>
      <c r="Z82">
        <v>4256.3500000000004</v>
      </c>
      <c r="AA82">
        <v>2495.33</v>
      </c>
      <c r="AB82" s="2">
        <f t="shared" si="14"/>
        <v>1761.0219999999999</v>
      </c>
      <c r="AC82">
        <v>1761.02</v>
      </c>
      <c r="AD82" s="11">
        <f t="shared" si="21"/>
        <v>0.41373947161300173</v>
      </c>
      <c r="AE82" t="s">
        <v>112</v>
      </c>
      <c r="AF82" t="s">
        <v>104</v>
      </c>
    </row>
    <row r="83" spans="1:32">
      <c r="A83" t="s">
        <v>354</v>
      </c>
      <c r="B83" s="2" t="str">
        <f t="shared" si="11"/>
        <v>Unique</v>
      </c>
      <c r="C83" s="2" t="str">
        <f t="shared" si="15"/>
        <v>Mar</v>
      </c>
      <c r="D83" s="2">
        <f t="shared" si="16"/>
        <v>2025</v>
      </c>
      <c r="E83" s="4">
        <v>45732</v>
      </c>
      <c r="F83" s="4">
        <v>45733</v>
      </c>
      <c r="G83" s="6">
        <f t="shared" si="12"/>
        <v>1</v>
      </c>
      <c r="H83" s="6" t="str">
        <f t="shared" si="13"/>
        <v>Valid</v>
      </c>
      <c r="I83" t="s">
        <v>355</v>
      </c>
      <c r="J83" t="s">
        <v>24</v>
      </c>
      <c r="K83" t="s">
        <v>96</v>
      </c>
      <c r="L83" t="s">
        <v>64</v>
      </c>
      <c r="M83" t="s">
        <v>191</v>
      </c>
      <c r="N83" t="s">
        <v>192</v>
      </c>
      <c r="O83" t="s">
        <v>29</v>
      </c>
      <c r="P83" t="s">
        <v>92</v>
      </c>
      <c r="Q83" t="s">
        <v>356</v>
      </c>
      <c r="R83" t="s">
        <v>45</v>
      </c>
      <c r="S83">
        <v>3</v>
      </c>
      <c r="T83">
        <v>1841.91</v>
      </c>
      <c r="U83" s="2">
        <f t="shared" si="17"/>
        <v>5525.7300000000005</v>
      </c>
      <c r="V83" s="13">
        <v>0</v>
      </c>
      <c r="W83" s="2">
        <f t="shared" si="18"/>
        <v>0</v>
      </c>
      <c r="X83" s="2" t="str">
        <f t="shared" si="19"/>
        <v>Valid</v>
      </c>
      <c r="Y83" s="2" t="str">
        <f t="shared" si="20"/>
        <v>Clean</v>
      </c>
      <c r="Z83">
        <v>5525.73</v>
      </c>
      <c r="AA83">
        <v>3093.42</v>
      </c>
      <c r="AB83" s="2">
        <f t="shared" si="14"/>
        <v>2432.3100000000004</v>
      </c>
      <c r="AC83">
        <v>2432.31</v>
      </c>
      <c r="AD83" s="11">
        <f t="shared" si="21"/>
        <v>0.44017894468242208</v>
      </c>
      <c r="AE83" t="s">
        <v>33</v>
      </c>
      <c r="AF83" t="s">
        <v>34</v>
      </c>
    </row>
    <row r="84" spans="1:32">
      <c r="A84" t="s">
        <v>357</v>
      </c>
      <c r="B84" s="2" t="str">
        <f t="shared" si="11"/>
        <v>Unique</v>
      </c>
      <c r="C84" s="2" t="str">
        <f t="shared" si="15"/>
        <v>Aug</v>
      </c>
      <c r="D84" s="2">
        <f t="shared" si="16"/>
        <v>2024</v>
      </c>
      <c r="E84" s="4">
        <v>45507</v>
      </c>
      <c r="F84" s="4">
        <v>45508</v>
      </c>
      <c r="G84" s="6">
        <f t="shared" si="12"/>
        <v>1</v>
      </c>
      <c r="H84" s="6" t="str">
        <f t="shared" si="13"/>
        <v>Valid</v>
      </c>
      <c r="I84" t="s">
        <v>358</v>
      </c>
      <c r="J84" t="s">
        <v>54</v>
      </c>
      <c r="K84" t="s">
        <v>25</v>
      </c>
      <c r="L84" t="s">
        <v>26</v>
      </c>
      <c r="M84" t="s">
        <v>137</v>
      </c>
      <c r="N84" t="s">
        <v>138</v>
      </c>
      <c r="O84" t="s">
        <v>75</v>
      </c>
      <c r="P84" t="s">
        <v>81</v>
      </c>
      <c r="Q84" t="s">
        <v>359</v>
      </c>
      <c r="R84" t="s">
        <v>32</v>
      </c>
      <c r="S84">
        <v>6</v>
      </c>
      <c r="T84">
        <v>1001.73</v>
      </c>
      <c r="U84" s="2">
        <f t="shared" si="17"/>
        <v>6010.38</v>
      </c>
      <c r="V84" s="13">
        <v>0</v>
      </c>
      <c r="W84" s="2">
        <f t="shared" si="18"/>
        <v>0</v>
      </c>
      <c r="X84" s="2" t="str">
        <f t="shared" si="19"/>
        <v>Valid</v>
      </c>
      <c r="Y84" s="2" t="str">
        <f t="shared" si="20"/>
        <v>Clean</v>
      </c>
      <c r="Z84">
        <v>6010.38</v>
      </c>
      <c r="AA84">
        <v>3762.85</v>
      </c>
      <c r="AB84" s="2">
        <f t="shared" si="14"/>
        <v>2247.5300000000002</v>
      </c>
      <c r="AC84">
        <v>2247.5300000000002</v>
      </c>
      <c r="AD84" s="11">
        <f t="shared" si="21"/>
        <v>0.37394141468592673</v>
      </c>
      <c r="AE84" t="s">
        <v>156</v>
      </c>
      <c r="AF84" t="s">
        <v>104</v>
      </c>
    </row>
    <row r="85" spans="1:32">
      <c r="A85" t="s">
        <v>360</v>
      </c>
      <c r="B85" s="2" t="str">
        <f t="shared" si="11"/>
        <v>Unique</v>
      </c>
      <c r="C85" s="2" t="str">
        <f t="shared" si="15"/>
        <v>Oct</v>
      </c>
      <c r="D85" s="2">
        <f t="shared" si="16"/>
        <v>2024</v>
      </c>
      <c r="E85" s="4">
        <v>45591</v>
      </c>
      <c r="F85" s="4">
        <v>45594</v>
      </c>
      <c r="G85" s="6">
        <f t="shared" si="12"/>
        <v>3</v>
      </c>
      <c r="H85" s="6" t="str">
        <f t="shared" si="13"/>
        <v>Valid</v>
      </c>
      <c r="I85" t="s">
        <v>361</v>
      </c>
      <c r="J85" t="s">
        <v>90</v>
      </c>
      <c r="K85" t="s">
        <v>96</v>
      </c>
      <c r="L85" t="s">
        <v>64</v>
      </c>
      <c r="M85" t="s">
        <v>65</v>
      </c>
      <c r="N85" t="s">
        <v>66</v>
      </c>
      <c r="O85" t="s">
        <v>42</v>
      </c>
      <c r="P85" t="s">
        <v>43</v>
      </c>
      <c r="Q85" t="s">
        <v>362</v>
      </c>
      <c r="R85" t="s">
        <v>32</v>
      </c>
      <c r="S85">
        <v>9</v>
      </c>
      <c r="T85">
        <v>131.74</v>
      </c>
      <c r="U85" s="2">
        <f t="shared" si="17"/>
        <v>948.52800000000013</v>
      </c>
      <c r="V85" s="13">
        <v>0.2</v>
      </c>
      <c r="W85" s="2">
        <f t="shared" si="18"/>
        <v>0.2</v>
      </c>
      <c r="X85" s="2" t="str">
        <f t="shared" si="19"/>
        <v>Valid</v>
      </c>
      <c r="Y85" s="2" t="str">
        <f t="shared" si="20"/>
        <v>Clean</v>
      </c>
      <c r="Z85">
        <v>948.53</v>
      </c>
      <c r="AA85">
        <v>674.62</v>
      </c>
      <c r="AB85" s="2">
        <f t="shared" si="14"/>
        <v>273.90800000000013</v>
      </c>
      <c r="AC85">
        <v>273.91000000000003</v>
      </c>
      <c r="AD85" s="11">
        <f t="shared" si="21"/>
        <v>0.28877315424920669</v>
      </c>
      <c r="AE85" t="s">
        <v>33</v>
      </c>
      <c r="AF85" t="s">
        <v>34</v>
      </c>
    </row>
    <row r="86" spans="1:32">
      <c r="A86" t="s">
        <v>363</v>
      </c>
      <c r="B86" s="2" t="str">
        <f t="shared" si="11"/>
        <v>Unique</v>
      </c>
      <c r="C86" s="2" t="str">
        <f t="shared" si="15"/>
        <v>Oct</v>
      </c>
      <c r="D86" s="2">
        <f t="shared" si="16"/>
        <v>2024</v>
      </c>
      <c r="E86" s="4">
        <v>45566</v>
      </c>
      <c r="F86" s="4">
        <v>45568</v>
      </c>
      <c r="G86" s="6">
        <f t="shared" si="12"/>
        <v>2</v>
      </c>
      <c r="H86" s="6" t="str">
        <f t="shared" si="13"/>
        <v>Valid</v>
      </c>
      <c r="I86" t="s">
        <v>364</v>
      </c>
      <c r="J86" t="s">
        <v>142</v>
      </c>
      <c r="K86" t="s">
        <v>91</v>
      </c>
      <c r="L86" t="s">
        <v>55</v>
      </c>
      <c r="M86" t="s">
        <v>248</v>
      </c>
      <c r="N86" t="s">
        <v>249</v>
      </c>
      <c r="O86" t="s">
        <v>75</v>
      </c>
      <c r="P86" t="s">
        <v>172</v>
      </c>
      <c r="Q86" t="s">
        <v>365</v>
      </c>
      <c r="R86" t="s">
        <v>32</v>
      </c>
      <c r="S86">
        <v>6</v>
      </c>
      <c r="T86">
        <v>570.28</v>
      </c>
      <c r="U86" s="2">
        <f t="shared" si="17"/>
        <v>2737.3440000000001</v>
      </c>
      <c r="V86" s="13">
        <v>0.2</v>
      </c>
      <c r="W86" s="2">
        <f t="shared" si="18"/>
        <v>0.2</v>
      </c>
      <c r="X86" s="2" t="str">
        <f t="shared" si="19"/>
        <v>Valid</v>
      </c>
      <c r="Y86" s="2" t="str">
        <f t="shared" si="20"/>
        <v>Clean</v>
      </c>
      <c r="Z86">
        <v>2737.34</v>
      </c>
      <c r="AA86">
        <v>2085.44</v>
      </c>
      <c r="AB86" s="2">
        <f t="shared" si="14"/>
        <v>651.904</v>
      </c>
      <c r="AC86">
        <v>651.9</v>
      </c>
      <c r="AD86" s="11">
        <f t="shared" si="21"/>
        <v>0.23815090562370766</v>
      </c>
      <c r="AE86" t="s">
        <v>33</v>
      </c>
      <c r="AF86" t="s">
        <v>34</v>
      </c>
    </row>
    <row r="87" spans="1:32">
      <c r="A87" t="s">
        <v>366</v>
      </c>
      <c r="B87" s="2" t="str">
        <f t="shared" si="11"/>
        <v>Unique</v>
      </c>
      <c r="C87" s="2" t="str">
        <f t="shared" si="15"/>
        <v>Jul</v>
      </c>
      <c r="D87" s="2">
        <f t="shared" si="16"/>
        <v>2024</v>
      </c>
      <c r="E87" s="4">
        <v>45503</v>
      </c>
      <c r="F87" s="4">
        <v>45509</v>
      </c>
      <c r="G87" s="6">
        <f t="shared" si="12"/>
        <v>6</v>
      </c>
      <c r="H87" s="6" t="str">
        <f t="shared" si="13"/>
        <v>Valid</v>
      </c>
      <c r="I87" t="s">
        <v>367</v>
      </c>
      <c r="J87" t="s">
        <v>265</v>
      </c>
      <c r="K87" t="s">
        <v>91</v>
      </c>
      <c r="L87" t="s">
        <v>26</v>
      </c>
      <c r="M87" t="s">
        <v>351</v>
      </c>
      <c r="N87" t="s">
        <v>352</v>
      </c>
      <c r="O87" t="s">
        <v>29</v>
      </c>
      <c r="P87" t="s">
        <v>154</v>
      </c>
      <c r="Q87" t="s">
        <v>368</v>
      </c>
      <c r="R87" t="s">
        <v>60</v>
      </c>
      <c r="S87">
        <v>1</v>
      </c>
      <c r="T87">
        <v>608.64</v>
      </c>
      <c r="U87" s="2">
        <f t="shared" si="17"/>
        <v>608.64</v>
      </c>
      <c r="V87" s="13">
        <v>0</v>
      </c>
      <c r="W87" s="2">
        <f t="shared" si="18"/>
        <v>0</v>
      </c>
      <c r="X87" s="2" t="str">
        <f t="shared" si="19"/>
        <v>Valid</v>
      </c>
      <c r="Y87" s="2" t="str">
        <f t="shared" si="20"/>
        <v>Clean</v>
      </c>
      <c r="Z87">
        <v>608.64</v>
      </c>
      <c r="AA87">
        <v>343.99</v>
      </c>
      <c r="AB87" s="2">
        <f t="shared" si="14"/>
        <v>264.64999999999998</v>
      </c>
      <c r="AC87">
        <v>264.64999999999998</v>
      </c>
      <c r="AD87" s="11">
        <f t="shared" si="21"/>
        <v>0.43482189800210302</v>
      </c>
      <c r="AE87" t="s">
        <v>33</v>
      </c>
      <c r="AF87" t="s">
        <v>69</v>
      </c>
    </row>
    <row r="88" spans="1:32">
      <c r="A88" t="s">
        <v>369</v>
      </c>
      <c r="B88" s="2" t="str">
        <f t="shared" si="11"/>
        <v>Unique</v>
      </c>
      <c r="C88" s="2" t="str">
        <f t="shared" si="15"/>
        <v>Jul</v>
      </c>
      <c r="D88" s="2">
        <f t="shared" si="16"/>
        <v>2024</v>
      </c>
      <c r="E88" s="4">
        <v>45474</v>
      </c>
      <c r="F88" s="4">
        <v>45474</v>
      </c>
      <c r="G88" s="6">
        <f t="shared" si="12"/>
        <v>0</v>
      </c>
      <c r="H88" s="6" t="str">
        <f t="shared" si="13"/>
        <v>Valid</v>
      </c>
      <c r="I88" t="s">
        <v>370</v>
      </c>
      <c r="J88" t="s">
        <v>63</v>
      </c>
      <c r="K88" t="s">
        <v>38</v>
      </c>
      <c r="L88" t="s">
        <v>26</v>
      </c>
      <c r="M88" t="s">
        <v>351</v>
      </c>
      <c r="N88" t="s">
        <v>352</v>
      </c>
      <c r="O88" t="s">
        <v>75</v>
      </c>
      <c r="P88" t="s">
        <v>81</v>
      </c>
      <c r="Q88" t="s">
        <v>371</v>
      </c>
      <c r="R88" t="s">
        <v>32</v>
      </c>
      <c r="S88">
        <v>3</v>
      </c>
      <c r="T88">
        <v>885.28</v>
      </c>
      <c r="U88" s="2">
        <f t="shared" si="17"/>
        <v>2390.2560000000003</v>
      </c>
      <c r="V88" s="13">
        <v>0.1</v>
      </c>
      <c r="W88" s="2">
        <f t="shared" si="18"/>
        <v>0.1</v>
      </c>
      <c r="X88" s="2" t="str">
        <f t="shared" si="19"/>
        <v>Valid</v>
      </c>
      <c r="Y88" s="2" t="str">
        <f t="shared" si="20"/>
        <v>Clean</v>
      </c>
      <c r="Z88">
        <v>2390.2600000000002</v>
      </c>
      <c r="AA88">
        <v>1495.94</v>
      </c>
      <c r="AB88" s="2">
        <f t="shared" si="14"/>
        <v>894.31600000000026</v>
      </c>
      <c r="AC88">
        <v>894.32</v>
      </c>
      <c r="AD88" s="11">
        <f t="shared" si="21"/>
        <v>0.37415176591667848</v>
      </c>
      <c r="AE88" t="s">
        <v>103</v>
      </c>
      <c r="AF88" t="s">
        <v>69</v>
      </c>
    </row>
    <row r="89" spans="1:32">
      <c r="A89" t="s">
        <v>372</v>
      </c>
      <c r="B89" s="2" t="str">
        <f t="shared" si="11"/>
        <v>Unique</v>
      </c>
      <c r="C89" s="2" t="str">
        <f t="shared" si="15"/>
        <v>Aug</v>
      </c>
      <c r="D89" s="2">
        <f t="shared" si="16"/>
        <v>2024</v>
      </c>
      <c r="E89" s="4">
        <v>45506</v>
      </c>
      <c r="F89" s="4">
        <v>45507</v>
      </c>
      <c r="G89" s="6">
        <f t="shared" si="12"/>
        <v>1</v>
      </c>
      <c r="H89" s="6" t="str">
        <f t="shared" si="13"/>
        <v>Valid</v>
      </c>
      <c r="I89" t="s">
        <v>373</v>
      </c>
      <c r="J89" t="s">
        <v>72</v>
      </c>
      <c r="K89" t="s">
        <v>25</v>
      </c>
      <c r="L89" t="s">
        <v>39</v>
      </c>
      <c r="M89" t="s">
        <v>167</v>
      </c>
      <c r="N89" t="s">
        <v>168</v>
      </c>
      <c r="O89" t="s">
        <v>29</v>
      </c>
      <c r="P89" t="s">
        <v>154</v>
      </c>
      <c r="Q89" t="s">
        <v>374</v>
      </c>
      <c r="R89" t="s">
        <v>60</v>
      </c>
      <c r="S89">
        <v>7</v>
      </c>
      <c r="T89">
        <v>3345.22</v>
      </c>
      <c r="U89" s="2">
        <f t="shared" si="17"/>
        <v>23416.539999999997</v>
      </c>
      <c r="V89" s="13">
        <v>0</v>
      </c>
      <c r="W89" s="2">
        <f t="shared" si="18"/>
        <v>0</v>
      </c>
      <c r="X89" s="2" t="str">
        <f t="shared" si="19"/>
        <v>Valid</v>
      </c>
      <c r="Y89" s="2" t="str">
        <f t="shared" si="20"/>
        <v>Clean</v>
      </c>
      <c r="Z89">
        <v>23416.54</v>
      </c>
      <c r="AA89">
        <v>15490.89</v>
      </c>
      <c r="AB89" s="2">
        <f t="shared" si="14"/>
        <v>7925.6499999999978</v>
      </c>
      <c r="AC89">
        <v>7925.65</v>
      </c>
      <c r="AD89" s="11">
        <f t="shared" si="21"/>
        <v>0.33846375254414185</v>
      </c>
      <c r="AE89" t="s">
        <v>33</v>
      </c>
      <c r="AF89" t="s">
        <v>34</v>
      </c>
    </row>
    <row r="90" spans="1:32">
      <c r="A90" t="s">
        <v>375</v>
      </c>
      <c r="B90" s="2" t="str">
        <f t="shared" si="11"/>
        <v>Unique</v>
      </c>
      <c r="C90" s="2" t="str">
        <f t="shared" si="15"/>
        <v>Mar</v>
      </c>
      <c r="D90" s="2">
        <f t="shared" si="16"/>
        <v>2024</v>
      </c>
      <c r="E90" s="4">
        <v>45375</v>
      </c>
      <c r="F90" s="4">
        <v>45378</v>
      </c>
      <c r="G90" s="6">
        <f t="shared" si="12"/>
        <v>3</v>
      </c>
      <c r="H90" s="6" t="str">
        <f t="shared" si="13"/>
        <v>Valid</v>
      </c>
      <c r="I90" t="s">
        <v>376</v>
      </c>
      <c r="J90" t="s">
        <v>142</v>
      </c>
      <c r="K90" t="s">
        <v>38</v>
      </c>
      <c r="L90" t="s">
        <v>64</v>
      </c>
      <c r="M90" t="s">
        <v>65</v>
      </c>
      <c r="N90" t="s">
        <v>66</v>
      </c>
      <c r="O90" t="s">
        <v>42</v>
      </c>
      <c r="P90" t="s">
        <v>159</v>
      </c>
      <c r="Q90" t="s">
        <v>377</v>
      </c>
      <c r="R90" t="s">
        <v>60</v>
      </c>
      <c r="S90">
        <v>2</v>
      </c>
      <c r="T90">
        <v>3284.75</v>
      </c>
      <c r="U90" s="2">
        <f t="shared" si="17"/>
        <v>6241.0249999999996</v>
      </c>
      <c r="V90" s="13">
        <v>0.05</v>
      </c>
      <c r="W90" s="2">
        <f t="shared" si="18"/>
        <v>0.05</v>
      </c>
      <c r="X90" s="2" t="str">
        <f t="shared" si="19"/>
        <v>Valid</v>
      </c>
      <c r="Y90" s="2" t="str">
        <f t="shared" si="20"/>
        <v>Clean</v>
      </c>
      <c r="Z90">
        <v>6241.02</v>
      </c>
      <c r="AA90">
        <v>5345.88</v>
      </c>
      <c r="AB90" s="2">
        <f t="shared" si="14"/>
        <v>895.14499999999953</v>
      </c>
      <c r="AC90">
        <v>895.14</v>
      </c>
      <c r="AD90" s="11">
        <f t="shared" si="21"/>
        <v>0.1434284780372439</v>
      </c>
      <c r="AE90" t="s">
        <v>33</v>
      </c>
      <c r="AF90" t="s">
        <v>34</v>
      </c>
    </row>
    <row r="91" spans="1:32">
      <c r="A91" t="s">
        <v>378</v>
      </c>
      <c r="B91" s="2" t="str">
        <f t="shared" si="11"/>
        <v>Unique</v>
      </c>
      <c r="C91" s="2" t="str">
        <f t="shared" si="15"/>
        <v>Sep</v>
      </c>
      <c r="D91" s="2">
        <f t="shared" si="16"/>
        <v>2024</v>
      </c>
      <c r="E91" s="4">
        <v>45540</v>
      </c>
      <c r="F91" s="4">
        <v>45540</v>
      </c>
      <c r="G91" s="6">
        <f t="shared" si="12"/>
        <v>0</v>
      </c>
      <c r="H91" s="6" t="str">
        <f t="shared" si="13"/>
        <v>Valid</v>
      </c>
      <c r="I91" t="s">
        <v>379</v>
      </c>
      <c r="J91" t="s">
        <v>265</v>
      </c>
      <c r="K91" t="s">
        <v>25</v>
      </c>
      <c r="L91" t="s">
        <v>55</v>
      </c>
      <c r="M91" t="s">
        <v>85</v>
      </c>
      <c r="N91" t="s">
        <v>86</v>
      </c>
      <c r="O91" t="s">
        <v>42</v>
      </c>
      <c r="P91" t="s">
        <v>159</v>
      </c>
      <c r="Q91" t="s">
        <v>380</v>
      </c>
      <c r="R91" t="s">
        <v>60</v>
      </c>
      <c r="S91">
        <v>7</v>
      </c>
      <c r="T91">
        <v>3761.09</v>
      </c>
      <c r="U91" s="2">
        <f t="shared" si="17"/>
        <v>21062.104000000003</v>
      </c>
      <c r="V91" s="13">
        <v>0.2</v>
      </c>
      <c r="W91" s="2">
        <f t="shared" si="18"/>
        <v>0.2</v>
      </c>
      <c r="X91" s="2" t="str">
        <f t="shared" si="19"/>
        <v>Valid</v>
      </c>
      <c r="Y91" s="2" t="str">
        <f t="shared" si="20"/>
        <v>Clean</v>
      </c>
      <c r="Z91">
        <v>21062.1</v>
      </c>
      <c r="AA91">
        <v>12057.13</v>
      </c>
      <c r="AB91" s="2">
        <f t="shared" si="14"/>
        <v>9004.9740000000038</v>
      </c>
      <c r="AC91">
        <v>9004.9699999999993</v>
      </c>
      <c r="AD91" s="11">
        <f t="shared" si="21"/>
        <v>0.42754378718171504</v>
      </c>
      <c r="AE91" t="s">
        <v>112</v>
      </c>
      <c r="AF91" t="s">
        <v>69</v>
      </c>
    </row>
    <row r="92" spans="1:32">
      <c r="A92" t="s">
        <v>381</v>
      </c>
      <c r="B92" s="2" t="str">
        <f t="shared" si="11"/>
        <v>Duplicate Order ID</v>
      </c>
      <c r="C92" s="2" t="str">
        <f t="shared" si="15"/>
        <v>Aug</v>
      </c>
      <c r="D92" s="2">
        <f t="shared" si="16"/>
        <v>2025</v>
      </c>
      <c r="E92" s="4">
        <v>45893</v>
      </c>
      <c r="F92" s="4">
        <v>45898</v>
      </c>
      <c r="G92" s="6">
        <f t="shared" si="12"/>
        <v>5</v>
      </c>
      <c r="H92" s="6" t="str">
        <f t="shared" si="13"/>
        <v>Valid</v>
      </c>
      <c r="I92" t="s">
        <v>382</v>
      </c>
      <c r="J92" t="s">
        <v>129</v>
      </c>
      <c r="K92" t="s">
        <v>38</v>
      </c>
      <c r="L92" t="s">
        <v>39</v>
      </c>
      <c r="M92" t="s">
        <v>146</v>
      </c>
      <c r="N92" t="s">
        <v>147</v>
      </c>
      <c r="O92" t="s">
        <v>75</v>
      </c>
      <c r="P92" t="s">
        <v>81</v>
      </c>
      <c r="Q92" t="s">
        <v>383</v>
      </c>
      <c r="R92" t="s">
        <v>51</v>
      </c>
      <c r="S92">
        <v>3</v>
      </c>
      <c r="T92">
        <v>3703.96</v>
      </c>
      <c r="U92" s="2">
        <f t="shared" si="17"/>
        <v>9445.098</v>
      </c>
      <c r="V92" s="13">
        <v>0.15</v>
      </c>
      <c r="W92" s="2">
        <f t="shared" si="18"/>
        <v>0.15</v>
      </c>
      <c r="X92" s="2" t="str">
        <f t="shared" si="19"/>
        <v>Valid</v>
      </c>
      <c r="Y92" s="2" t="str">
        <f t="shared" si="20"/>
        <v>Clean</v>
      </c>
      <c r="Z92">
        <v>9445.1</v>
      </c>
      <c r="AA92">
        <v>5586.28</v>
      </c>
      <c r="AB92" s="2">
        <f t="shared" si="14"/>
        <v>3858.8180000000002</v>
      </c>
      <c r="AC92">
        <v>3858.82</v>
      </c>
      <c r="AD92" s="11">
        <f t="shared" si="21"/>
        <v>0.40855258282072188</v>
      </c>
      <c r="AE92" t="s">
        <v>33</v>
      </c>
      <c r="AF92" t="s">
        <v>34</v>
      </c>
    </row>
    <row r="93" spans="1:32">
      <c r="A93" t="s">
        <v>384</v>
      </c>
      <c r="B93" s="2" t="str">
        <f t="shared" si="11"/>
        <v>Unique</v>
      </c>
      <c r="C93" s="2" t="str">
        <f t="shared" si="15"/>
        <v>Mar</v>
      </c>
      <c r="D93" s="2">
        <f t="shared" si="16"/>
        <v>2025</v>
      </c>
      <c r="E93" s="4">
        <v>45718</v>
      </c>
      <c r="F93" s="4">
        <v>45724</v>
      </c>
      <c r="G93" s="6">
        <f t="shared" si="12"/>
        <v>6</v>
      </c>
      <c r="H93" s="6" t="str">
        <f t="shared" si="13"/>
        <v>Valid</v>
      </c>
      <c r="I93" t="s">
        <v>385</v>
      </c>
      <c r="J93" t="s">
        <v>133</v>
      </c>
      <c r="K93" t="s">
        <v>91</v>
      </c>
      <c r="L93" t="s">
        <v>64</v>
      </c>
      <c r="M93" t="s">
        <v>73</v>
      </c>
      <c r="N93" t="s">
        <v>74</v>
      </c>
      <c r="O93" t="s">
        <v>75</v>
      </c>
      <c r="P93" t="s">
        <v>81</v>
      </c>
      <c r="Q93" t="s">
        <v>386</v>
      </c>
      <c r="R93" t="s">
        <v>32</v>
      </c>
      <c r="S93">
        <v>9</v>
      </c>
      <c r="T93">
        <v>269.68</v>
      </c>
      <c r="U93" s="2">
        <f t="shared" si="17"/>
        <v>2427.12</v>
      </c>
      <c r="V93" s="13">
        <v>0</v>
      </c>
      <c r="W93" s="2">
        <f t="shared" si="18"/>
        <v>0</v>
      </c>
      <c r="X93" s="2" t="str">
        <f t="shared" si="19"/>
        <v>Valid</v>
      </c>
      <c r="Y93" s="2" t="str">
        <f t="shared" si="20"/>
        <v>Clean</v>
      </c>
      <c r="Z93">
        <v>2427.12</v>
      </c>
      <c r="AA93">
        <v>1538.35</v>
      </c>
      <c r="AB93" s="2">
        <f t="shared" si="14"/>
        <v>888.77</v>
      </c>
      <c r="AC93">
        <v>804.53</v>
      </c>
      <c r="AD93" s="11">
        <f t="shared" si="21"/>
        <v>0.33147516398035531</v>
      </c>
      <c r="AE93" t="s">
        <v>33</v>
      </c>
      <c r="AF93" t="s">
        <v>34</v>
      </c>
    </row>
    <row r="94" spans="1:32">
      <c r="A94" t="s">
        <v>387</v>
      </c>
      <c r="B94" s="2" t="str">
        <f t="shared" si="11"/>
        <v>Unique</v>
      </c>
      <c r="C94" s="2" t="str">
        <f t="shared" si="15"/>
        <v>Jan</v>
      </c>
      <c r="D94" s="2">
        <f t="shared" si="16"/>
        <v>2025</v>
      </c>
      <c r="E94" s="4">
        <v>45680</v>
      </c>
      <c r="F94" s="4">
        <v>45683</v>
      </c>
      <c r="G94" s="6">
        <f t="shared" si="12"/>
        <v>3</v>
      </c>
      <c r="H94" s="6" t="str">
        <f t="shared" si="13"/>
        <v>Valid</v>
      </c>
      <c r="I94" t="s">
        <v>388</v>
      </c>
      <c r="J94" t="s">
        <v>129</v>
      </c>
      <c r="K94" t="s">
        <v>25</v>
      </c>
      <c r="L94" t="s">
        <v>64</v>
      </c>
      <c r="M94" t="s">
        <v>73</v>
      </c>
      <c r="N94" t="s">
        <v>74</v>
      </c>
      <c r="O94" t="s">
        <v>29</v>
      </c>
      <c r="P94" t="s">
        <v>30</v>
      </c>
      <c r="Q94" t="s">
        <v>389</v>
      </c>
      <c r="R94" t="s">
        <v>60</v>
      </c>
      <c r="S94">
        <v>9</v>
      </c>
      <c r="T94">
        <v>4458.26</v>
      </c>
      <c r="U94" s="2">
        <f t="shared" si="17"/>
        <v>36111.906000000003</v>
      </c>
      <c r="V94" s="13">
        <v>0.1</v>
      </c>
      <c r="W94" s="2">
        <f t="shared" si="18"/>
        <v>0.1</v>
      </c>
      <c r="X94" s="2" t="str">
        <f t="shared" si="19"/>
        <v>Valid</v>
      </c>
      <c r="Y94" s="2" t="str">
        <f t="shared" si="20"/>
        <v>Clean</v>
      </c>
      <c r="Z94">
        <v>36111.910000000003</v>
      </c>
      <c r="AA94">
        <v>29194.5</v>
      </c>
      <c r="AB94" s="2">
        <f t="shared" si="14"/>
        <v>6917.4060000000027</v>
      </c>
      <c r="AC94">
        <v>6917.41</v>
      </c>
      <c r="AD94" s="11">
        <f t="shared" si="21"/>
        <v>0.19155480837208552</v>
      </c>
      <c r="AE94" t="s">
        <v>33</v>
      </c>
      <c r="AF94" t="s">
        <v>34</v>
      </c>
    </row>
    <row r="95" spans="1:32">
      <c r="A95" t="s">
        <v>390</v>
      </c>
      <c r="B95" s="2" t="str">
        <f t="shared" si="11"/>
        <v>Unique</v>
      </c>
      <c r="C95" s="2" t="str">
        <f t="shared" si="15"/>
        <v>Jan</v>
      </c>
      <c r="D95" s="2">
        <f t="shared" si="16"/>
        <v>2024</v>
      </c>
      <c r="E95" s="4">
        <v>45298</v>
      </c>
      <c r="F95" s="4">
        <v>45304</v>
      </c>
      <c r="G95" s="6">
        <f t="shared" si="12"/>
        <v>6</v>
      </c>
      <c r="H95" s="6" t="str">
        <f t="shared" si="13"/>
        <v>Valid</v>
      </c>
      <c r="I95" t="s">
        <v>391</v>
      </c>
      <c r="J95" t="s">
        <v>142</v>
      </c>
      <c r="K95" t="s">
        <v>91</v>
      </c>
      <c r="L95" t="s">
        <v>26</v>
      </c>
      <c r="M95" t="s">
        <v>137</v>
      </c>
      <c r="N95" t="s">
        <v>138</v>
      </c>
      <c r="O95" t="s">
        <v>29</v>
      </c>
      <c r="P95" t="s">
        <v>154</v>
      </c>
      <c r="Q95" t="s">
        <v>392</v>
      </c>
      <c r="R95" t="s">
        <v>60</v>
      </c>
      <c r="S95">
        <v>7</v>
      </c>
      <c r="T95">
        <v>2788.97</v>
      </c>
      <c r="U95" s="2" t="str">
        <f t="shared" si="17"/>
        <v>Invalid</v>
      </c>
      <c r="V95" s="13">
        <v>-0.09</v>
      </c>
      <c r="W95" s="2" t="str">
        <f t="shared" si="18"/>
        <v>Invalid</v>
      </c>
      <c r="X95" s="2" t="str">
        <f t="shared" si="19"/>
        <v>Invalid</v>
      </c>
      <c r="Y95" s="2" t="str">
        <f t="shared" si="20"/>
        <v>Invalid</v>
      </c>
      <c r="Z95">
        <v>19522.79</v>
      </c>
      <c r="AA95">
        <v>12455.78</v>
      </c>
      <c r="AB95" s="2" t="str">
        <f t="shared" si="14"/>
        <v>Invalid</v>
      </c>
      <c r="AC95">
        <v>7067.01</v>
      </c>
      <c r="AD95" s="11">
        <f t="shared" si="21"/>
        <v>0.36198770769956545</v>
      </c>
      <c r="AE95" t="s">
        <v>33</v>
      </c>
      <c r="AF95" t="s">
        <v>34</v>
      </c>
    </row>
    <row r="96" spans="1:32">
      <c r="A96" t="s">
        <v>393</v>
      </c>
      <c r="B96" s="2" t="str">
        <f t="shared" si="11"/>
        <v>Unique</v>
      </c>
      <c r="C96" s="2" t="str">
        <f t="shared" si="15"/>
        <v>Sep</v>
      </c>
      <c r="D96" s="2">
        <f t="shared" si="16"/>
        <v>2024</v>
      </c>
      <c r="E96" s="4">
        <v>45541</v>
      </c>
      <c r="F96" s="4">
        <v>45544</v>
      </c>
      <c r="G96" s="6">
        <f t="shared" si="12"/>
        <v>3</v>
      </c>
      <c r="H96" s="6" t="str">
        <f t="shared" si="13"/>
        <v>Valid</v>
      </c>
      <c r="I96" t="s">
        <v>394</v>
      </c>
      <c r="J96" t="s">
        <v>163</v>
      </c>
      <c r="K96" t="s">
        <v>25</v>
      </c>
      <c r="L96" t="s">
        <v>26</v>
      </c>
      <c r="M96" t="s">
        <v>237</v>
      </c>
      <c r="N96" t="s">
        <v>238</v>
      </c>
      <c r="O96" t="s">
        <v>75</v>
      </c>
      <c r="P96" t="s">
        <v>172</v>
      </c>
      <c r="Q96" t="s">
        <v>395</v>
      </c>
      <c r="R96" t="s">
        <v>32</v>
      </c>
      <c r="S96">
        <v>7</v>
      </c>
      <c r="T96">
        <v>3781.53</v>
      </c>
      <c r="U96" s="2">
        <f t="shared" si="17"/>
        <v>26470.710000000003</v>
      </c>
      <c r="V96" s="13">
        <v>0</v>
      </c>
      <c r="W96" s="2">
        <f t="shared" si="18"/>
        <v>0</v>
      </c>
      <c r="X96" s="2" t="str">
        <f t="shared" si="19"/>
        <v>Valid</v>
      </c>
      <c r="Y96" s="2" t="str">
        <f t="shared" si="20"/>
        <v>Clean</v>
      </c>
      <c r="Z96">
        <v>26470.71</v>
      </c>
      <c r="AA96">
        <v>21367.599999999999</v>
      </c>
      <c r="AB96" s="2">
        <f t="shared" si="14"/>
        <v>5103.1100000000042</v>
      </c>
      <c r="AC96">
        <v>5103.1099999999997</v>
      </c>
      <c r="AD96" s="11">
        <f t="shared" si="21"/>
        <v>0.19278326875251928</v>
      </c>
      <c r="AE96" t="s">
        <v>112</v>
      </c>
      <c r="AF96" t="s">
        <v>69</v>
      </c>
    </row>
    <row r="97" spans="1:32">
      <c r="A97" t="s">
        <v>396</v>
      </c>
      <c r="B97" s="2" t="str">
        <f t="shared" si="11"/>
        <v>Unique</v>
      </c>
      <c r="C97" s="2" t="str">
        <f t="shared" si="15"/>
        <v>Sep</v>
      </c>
      <c r="D97" s="2">
        <f t="shared" si="16"/>
        <v>2025</v>
      </c>
      <c r="E97" s="4">
        <v>45905</v>
      </c>
      <c r="F97" s="4">
        <v>45910</v>
      </c>
      <c r="G97" s="6">
        <f t="shared" si="12"/>
        <v>5</v>
      </c>
      <c r="H97" s="6" t="str">
        <f t="shared" si="13"/>
        <v>Valid</v>
      </c>
      <c r="I97" t="s">
        <v>397</v>
      </c>
      <c r="J97" t="s">
        <v>133</v>
      </c>
      <c r="K97" t="s">
        <v>91</v>
      </c>
      <c r="L97" t="s">
        <v>64</v>
      </c>
      <c r="M97" t="s">
        <v>191</v>
      </c>
      <c r="N97" t="s">
        <v>192</v>
      </c>
      <c r="O97" t="s">
        <v>42</v>
      </c>
      <c r="P97" t="s">
        <v>159</v>
      </c>
      <c r="Q97" t="s">
        <v>398</v>
      </c>
      <c r="R97" t="s">
        <v>45</v>
      </c>
      <c r="S97">
        <v>6</v>
      </c>
      <c r="T97">
        <v>1754.13</v>
      </c>
      <c r="U97" s="2">
        <f t="shared" si="17"/>
        <v>10524.78</v>
      </c>
      <c r="V97" s="13">
        <v>0</v>
      </c>
      <c r="W97" s="2">
        <f t="shared" si="18"/>
        <v>0</v>
      </c>
      <c r="X97" s="2" t="str">
        <f t="shared" si="19"/>
        <v>Valid</v>
      </c>
      <c r="Y97" s="2" t="str">
        <f t="shared" si="20"/>
        <v>Clean</v>
      </c>
      <c r="Z97">
        <v>10524.78</v>
      </c>
      <c r="AA97">
        <v>8841.0499999999993</v>
      </c>
      <c r="AB97" s="2">
        <f t="shared" si="14"/>
        <v>1683.7300000000014</v>
      </c>
      <c r="AC97">
        <v>1683.73</v>
      </c>
      <c r="AD97" s="11">
        <f t="shared" si="21"/>
        <v>0.1599776907450797</v>
      </c>
      <c r="AE97" t="s">
        <v>33</v>
      </c>
      <c r="AF97" t="s">
        <v>34</v>
      </c>
    </row>
    <row r="98" spans="1:32">
      <c r="A98" t="s">
        <v>399</v>
      </c>
      <c r="B98" s="2" t="str">
        <f t="shared" si="11"/>
        <v>Unique</v>
      </c>
      <c r="C98" s="2" t="str">
        <f t="shared" si="15"/>
        <v>Jun</v>
      </c>
      <c r="D98" s="2">
        <f t="shared" si="16"/>
        <v>2024</v>
      </c>
      <c r="E98" s="4">
        <v>45448</v>
      </c>
      <c r="F98" s="4">
        <v>45450</v>
      </c>
      <c r="G98" s="6">
        <f t="shared" si="12"/>
        <v>2</v>
      </c>
      <c r="H98" s="6" t="str">
        <f t="shared" si="13"/>
        <v>Valid</v>
      </c>
      <c r="I98" t="s">
        <v>400</v>
      </c>
      <c r="J98" t="s">
        <v>119</v>
      </c>
      <c r="K98" t="s">
        <v>96</v>
      </c>
      <c r="L98" t="s">
        <v>39</v>
      </c>
      <c r="M98" t="s">
        <v>40</v>
      </c>
      <c r="N98" t="s">
        <v>41</v>
      </c>
      <c r="O98" t="s">
        <v>75</v>
      </c>
      <c r="P98" t="s">
        <v>81</v>
      </c>
      <c r="Q98" t="s">
        <v>401</v>
      </c>
      <c r="R98" t="s">
        <v>32</v>
      </c>
      <c r="S98">
        <v>2</v>
      </c>
      <c r="T98">
        <v>2259.2399999999998</v>
      </c>
      <c r="U98" s="2">
        <f t="shared" si="17"/>
        <v>3840.7079999999996</v>
      </c>
      <c r="V98" s="13">
        <v>0.15</v>
      </c>
      <c r="W98" s="2">
        <f t="shared" si="18"/>
        <v>0.15</v>
      </c>
      <c r="X98" s="2" t="str">
        <f t="shared" si="19"/>
        <v>Valid</v>
      </c>
      <c r="Y98" s="2" t="str">
        <f t="shared" si="20"/>
        <v>Clean</v>
      </c>
      <c r="Z98">
        <v>3840.71</v>
      </c>
      <c r="AA98">
        <v>2516.29</v>
      </c>
      <c r="AB98" s="2">
        <f t="shared" si="14"/>
        <v>1324.4179999999997</v>
      </c>
      <c r="AC98">
        <v>1324.42</v>
      </c>
      <c r="AD98" s="11">
        <f t="shared" si="21"/>
        <v>0.34483728268991931</v>
      </c>
      <c r="AE98" t="s">
        <v>33</v>
      </c>
      <c r="AF98" t="s">
        <v>34</v>
      </c>
    </row>
    <row r="99" spans="1:32">
      <c r="A99" t="s">
        <v>402</v>
      </c>
      <c r="B99" s="2" t="str">
        <f t="shared" si="11"/>
        <v>Unique</v>
      </c>
      <c r="C99" s="2" t="str">
        <f t="shared" si="15"/>
        <v>Aug</v>
      </c>
      <c r="D99" s="2">
        <f t="shared" si="16"/>
        <v>2025</v>
      </c>
      <c r="E99" s="4">
        <v>45877</v>
      </c>
      <c r="F99" s="4">
        <v>45880</v>
      </c>
      <c r="G99" s="6">
        <f t="shared" si="12"/>
        <v>3</v>
      </c>
      <c r="H99" s="6" t="str">
        <f t="shared" si="13"/>
        <v>Valid</v>
      </c>
      <c r="I99" t="s">
        <v>403</v>
      </c>
      <c r="J99" t="s">
        <v>163</v>
      </c>
      <c r="K99" t="s">
        <v>38</v>
      </c>
      <c r="L99" t="s">
        <v>64</v>
      </c>
      <c r="M99" t="s">
        <v>181</v>
      </c>
      <c r="N99" t="s">
        <v>182</v>
      </c>
      <c r="O99" t="s">
        <v>29</v>
      </c>
      <c r="P99" t="s">
        <v>125</v>
      </c>
      <c r="Q99" t="s">
        <v>404</v>
      </c>
      <c r="R99" t="s">
        <v>45</v>
      </c>
      <c r="S99">
        <v>5</v>
      </c>
      <c r="T99">
        <v>3602.36</v>
      </c>
      <c r="U99" s="2">
        <f t="shared" si="17"/>
        <v>14409.44</v>
      </c>
      <c r="V99" s="13">
        <v>0.2</v>
      </c>
      <c r="W99" s="2">
        <f t="shared" si="18"/>
        <v>0.2</v>
      </c>
      <c r="X99" s="2" t="str">
        <f t="shared" si="19"/>
        <v>Valid</v>
      </c>
      <c r="Y99" s="2" t="str">
        <f t="shared" si="20"/>
        <v>Clean</v>
      </c>
      <c r="Z99">
        <v>14409.44</v>
      </c>
      <c r="AA99">
        <v>8809.9699999999993</v>
      </c>
      <c r="AB99" s="2">
        <f t="shared" si="14"/>
        <v>5599.4700000000012</v>
      </c>
      <c r="AC99">
        <v>5599.47</v>
      </c>
      <c r="AD99" s="11">
        <f t="shared" si="21"/>
        <v>0.3885973361907194</v>
      </c>
      <c r="AE99" t="s">
        <v>112</v>
      </c>
      <c r="AF99" t="s">
        <v>104</v>
      </c>
    </row>
    <row r="100" spans="1:32">
      <c r="A100" t="s">
        <v>405</v>
      </c>
      <c r="B100" s="2" t="str">
        <f t="shared" si="11"/>
        <v>Unique</v>
      </c>
      <c r="C100" s="2" t="str">
        <f t="shared" si="15"/>
        <v>Jan</v>
      </c>
      <c r="D100" s="2">
        <f t="shared" si="16"/>
        <v>2024</v>
      </c>
      <c r="E100" s="4">
        <v>45317</v>
      </c>
      <c r="F100" s="4">
        <v>45323</v>
      </c>
      <c r="G100" s="6">
        <f t="shared" si="12"/>
        <v>6</v>
      </c>
      <c r="H100" s="6" t="str">
        <f t="shared" si="13"/>
        <v>Valid</v>
      </c>
      <c r="I100" t="s">
        <v>406</v>
      </c>
      <c r="J100" t="s">
        <v>142</v>
      </c>
      <c r="K100" t="s">
        <v>96</v>
      </c>
      <c r="L100" t="s">
        <v>55</v>
      </c>
      <c r="M100" t="s">
        <v>186</v>
      </c>
      <c r="N100" t="s">
        <v>187</v>
      </c>
      <c r="O100" t="s">
        <v>75</v>
      </c>
      <c r="P100" t="s">
        <v>81</v>
      </c>
      <c r="Q100" t="s">
        <v>407</v>
      </c>
      <c r="R100" s="2" t="s">
        <v>2793</v>
      </c>
      <c r="S100">
        <v>8</v>
      </c>
      <c r="T100">
        <v>2108.9299999999998</v>
      </c>
      <c r="U100" s="2">
        <f t="shared" si="17"/>
        <v>15184.295999999998</v>
      </c>
      <c r="V100" s="13">
        <v>0.1</v>
      </c>
      <c r="W100" s="2">
        <f t="shared" si="18"/>
        <v>0.1</v>
      </c>
      <c r="X100" s="2" t="str">
        <f t="shared" si="19"/>
        <v>Valid</v>
      </c>
      <c r="Y100" s="2" t="str">
        <f t="shared" si="20"/>
        <v>Clean</v>
      </c>
      <c r="Z100">
        <v>15184.3</v>
      </c>
      <c r="AA100">
        <v>11270.74</v>
      </c>
      <c r="AB100" s="2">
        <f t="shared" si="14"/>
        <v>3913.5559999999987</v>
      </c>
      <c r="AC100">
        <v>3913.56</v>
      </c>
      <c r="AD100" s="11">
        <f t="shared" si="21"/>
        <v>0.25773726809928676</v>
      </c>
      <c r="AE100" t="s">
        <v>33</v>
      </c>
      <c r="AF100" t="s">
        <v>34</v>
      </c>
    </row>
    <row r="101" spans="1:32">
      <c r="A101" t="s">
        <v>408</v>
      </c>
      <c r="B101" s="2" t="str">
        <f t="shared" si="11"/>
        <v>Unique</v>
      </c>
      <c r="C101" s="2" t="str">
        <f t="shared" si="15"/>
        <v>Jan</v>
      </c>
      <c r="D101" s="2">
        <f t="shared" si="16"/>
        <v>2025</v>
      </c>
      <c r="E101" s="4">
        <v>45668</v>
      </c>
      <c r="F101" s="4">
        <v>45668</v>
      </c>
      <c r="G101" s="6">
        <f t="shared" si="12"/>
        <v>0</v>
      </c>
      <c r="H101" s="6" t="str">
        <f t="shared" si="13"/>
        <v>Valid</v>
      </c>
      <c r="I101" t="s">
        <v>409</v>
      </c>
      <c r="J101" t="s">
        <v>90</v>
      </c>
      <c r="K101" t="s">
        <v>38</v>
      </c>
      <c r="L101" t="s">
        <v>64</v>
      </c>
      <c r="M101" t="s">
        <v>27</v>
      </c>
      <c r="N101" t="s">
        <v>110</v>
      </c>
      <c r="O101" t="s">
        <v>75</v>
      </c>
      <c r="P101" t="s">
        <v>76</v>
      </c>
      <c r="Q101" t="s">
        <v>410</v>
      </c>
      <c r="R101" t="s">
        <v>45</v>
      </c>
      <c r="S101">
        <v>3</v>
      </c>
      <c r="T101">
        <v>2165.29</v>
      </c>
      <c r="U101" s="2">
        <f t="shared" si="17"/>
        <v>6495.87</v>
      </c>
      <c r="V101" s="13">
        <v>0</v>
      </c>
      <c r="W101" s="2">
        <f t="shared" si="18"/>
        <v>0</v>
      </c>
      <c r="X101" s="2" t="str">
        <f t="shared" si="19"/>
        <v>Valid</v>
      </c>
      <c r="Y101" s="2" t="str">
        <f t="shared" si="20"/>
        <v>Clean</v>
      </c>
      <c r="Z101">
        <v>6495.87</v>
      </c>
      <c r="AA101">
        <v>4700.8900000000003</v>
      </c>
      <c r="AB101" s="2">
        <f t="shared" si="14"/>
        <v>1794.9799999999996</v>
      </c>
      <c r="AC101">
        <v>1794.98</v>
      </c>
      <c r="AD101" s="11">
        <f t="shared" si="21"/>
        <v>0.27632634273777029</v>
      </c>
      <c r="AE101" t="s">
        <v>33</v>
      </c>
      <c r="AF101" t="s">
        <v>34</v>
      </c>
    </row>
    <row r="102" spans="1:32">
      <c r="A102" t="s">
        <v>411</v>
      </c>
      <c r="B102" s="2" t="str">
        <f t="shared" si="11"/>
        <v>Unique</v>
      </c>
      <c r="C102" s="2" t="str">
        <f t="shared" si="15"/>
        <v>Sep</v>
      </c>
      <c r="D102" s="2">
        <f t="shared" si="16"/>
        <v>2025</v>
      </c>
      <c r="E102" s="4">
        <v>45912</v>
      </c>
      <c r="F102" s="4">
        <v>45918</v>
      </c>
      <c r="G102" s="6">
        <f t="shared" si="12"/>
        <v>6</v>
      </c>
      <c r="H102" s="6" t="str">
        <f t="shared" si="13"/>
        <v>Valid</v>
      </c>
      <c r="I102" t="s">
        <v>412</v>
      </c>
      <c r="J102" t="s">
        <v>129</v>
      </c>
      <c r="K102" t="s">
        <v>96</v>
      </c>
      <c r="L102" t="s">
        <v>55</v>
      </c>
      <c r="M102" t="s">
        <v>186</v>
      </c>
      <c r="N102" t="s">
        <v>187</v>
      </c>
      <c r="O102" t="s">
        <v>29</v>
      </c>
      <c r="P102" t="s">
        <v>125</v>
      </c>
      <c r="Q102" t="s">
        <v>413</v>
      </c>
      <c r="R102" t="s">
        <v>60</v>
      </c>
      <c r="S102">
        <v>6</v>
      </c>
      <c r="T102">
        <v>1673.8</v>
      </c>
      <c r="U102" s="2">
        <f t="shared" si="17"/>
        <v>9540.659999999998</v>
      </c>
      <c r="V102" s="13">
        <v>0.05</v>
      </c>
      <c r="W102" s="2">
        <f t="shared" si="18"/>
        <v>0.05</v>
      </c>
      <c r="X102" s="2" t="str">
        <f t="shared" si="19"/>
        <v>Valid</v>
      </c>
      <c r="Y102" s="2" t="str">
        <f t="shared" si="20"/>
        <v>Clean</v>
      </c>
      <c r="Z102">
        <v>9540.66</v>
      </c>
      <c r="AA102">
        <v>5561.49</v>
      </c>
      <c r="AB102" s="2">
        <f t="shared" si="14"/>
        <v>3979.1699999999983</v>
      </c>
      <c r="AC102">
        <v>3979.17</v>
      </c>
      <c r="AD102" s="11">
        <f t="shared" si="21"/>
        <v>0.41707491934520252</v>
      </c>
      <c r="AE102" t="s">
        <v>33</v>
      </c>
      <c r="AF102" t="s">
        <v>34</v>
      </c>
    </row>
    <row r="103" spans="1:32">
      <c r="A103" t="s">
        <v>414</v>
      </c>
      <c r="B103" s="2" t="str">
        <f t="shared" si="11"/>
        <v>Unique</v>
      </c>
      <c r="C103" s="2" t="str">
        <f t="shared" si="15"/>
        <v>Jun</v>
      </c>
      <c r="D103" s="2">
        <f t="shared" si="16"/>
        <v>2024</v>
      </c>
      <c r="E103" s="4">
        <v>45465</v>
      </c>
      <c r="F103" s="4">
        <v>45469</v>
      </c>
      <c r="G103" s="6">
        <f t="shared" si="12"/>
        <v>4</v>
      </c>
      <c r="H103" s="6" t="str">
        <f t="shared" si="13"/>
        <v>Valid</v>
      </c>
      <c r="I103" t="s">
        <v>415</v>
      </c>
      <c r="J103" t="s">
        <v>142</v>
      </c>
      <c r="K103" t="s">
        <v>96</v>
      </c>
      <c r="L103" t="s">
        <v>39</v>
      </c>
      <c r="M103" t="s">
        <v>146</v>
      </c>
      <c r="N103" t="s">
        <v>147</v>
      </c>
      <c r="O103" t="s">
        <v>42</v>
      </c>
      <c r="P103" t="s">
        <v>58</v>
      </c>
      <c r="Q103" t="s">
        <v>416</v>
      </c>
      <c r="R103" t="s">
        <v>51</v>
      </c>
      <c r="S103">
        <v>5</v>
      </c>
      <c r="T103">
        <v>4396.5200000000004</v>
      </c>
      <c r="U103" s="2">
        <f t="shared" si="17"/>
        <v>16486.95</v>
      </c>
      <c r="V103" s="13">
        <v>0.25</v>
      </c>
      <c r="W103" s="2">
        <f t="shared" si="18"/>
        <v>0.25</v>
      </c>
      <c r="X103" s="2" t="str">
        <f t="shared" si="19"/>
        <v>Valid</v>
      </c>
      <c r="Y103" s="2" t="str">
        <f t="shared" si="20"/>
        <v>Clean</v>
      </c>
      <c r="Z103">
        <v>16486.95</v>
      </c>
      <c r="AA103">
        <v>12054.14</v>
      </c>
      <c r="AB103" s="2">
        <f t="shared" si="14"/>
        <v>4432.8100000000013</v>
      </c>
      <c r="AC103">
        <v>4432.8100000000004</v>
      </c>
      <c r="AD103" s="11">
        <f t="shared" si="21"/>
        <v>0.2688678015036135</v>
      </c>
      <c r="AE103" t="s">
        <v>33</v>
      </c>
      <c r="AF103" t="s">
        <v>34</v>
      </c>
    </row>
    <row r="104" spans="1:32">
      <c r="A104" t="s">
        <v>417</v>
      </c>
      <c r="B104" s="2" t="str">
        <f t="shared" si="11"/>
        <v>Unique</v>
      </c>
      <c r="C104" s="2" t="str">
        <f t="shared" si="15"/>
        <v>Jul</v>
      </c>
      <c r="D104" s="2">
        <f t="shared" si="16"/>
        <v>2025</v>
      </c>
      <c r="E104" s="4">
        <v>45850</v>
      </c>
      <c r="F104" s="4">
        <v>45854</v>
      </c>
      <c r="G104" s="6">
        <f t="shared" si="12"/>
        <v>4</v>
      </c>
      <c r="H104" s="6" t="str">
        <f t="shared" si="13"/>
        <v>Valid</v>
      </c>
      <c r="I104" t="s">
        <v>418</v>
      </c>
      <c r="J104" t="s">
        <v>72</v>
      </c>
      <c r="K104" t="s">
        <v>25</v>
      </c>
      <c r="L104" t="s">
        <v>55</v>
      </c>
      <c r="M104" t="s">
        <v>176</v>
      </c>
      <c r="N104" t="s">
        <v>177</v>
      </c>
      <c r="O104" t="s">
        <v>42</v>
      </c>
      <c r="P104" t="s">
        <v>67</v>
      </c>
      <c r="Q104" t="s">
        <v>419</v>
      </c>
      <c r="R104" t="s">
        <v>51</v>
      </c>
      <c r="S104">
        <v>4</v>
      </c>
      <c r="T104">
        <v>2865.71</v>
      </c>
      <c r="U104" s="2">
        <f t="shared" si="17"/>
        <v>11462.84</v>
      </c>
      <c r="V104" s="13">
        <v>0</v>
      </c>
      <c r="W104" s="2">
        <f t="shared" si="18"/>
        <v>0</v>
      </c>
      <c r="X104" s="2" t="str">
        <f t="shared" si="19"/>
        <v>Valid</v>
      </c>
      <c r="Y104" s="2" t="str">
        <f t="shared" si="20"/>
        <v>Clean</v>
      </c>
      <c r="Z104">
        <v>11462.84</v>
      </c>
      <c r="AA104">
        <v>8979.7800000000007</v>
      </c>
      <c r="AB104" s="2">
        <f t="shared" si="14"/>
        <v>2483.0599999999995</v>
      </c>
      <c r="AC104">
        <v>2483.06</v>
      </c>
      <c r="AD104" s="11">
        <f t="shared" si="21"/>
        <v>0.2166182202665308</v>
      </c>
      <c r="AE104" t="s">
        <v>103</v>
      </c>
      <c r="AF104" t="s">
        <v>69</v>
      </c>
    </row>
    <row r="105" spans="1:32">
      <c r="A105" t="s">
        <v>420</v>
      </c>
      <c r="B105" s="2" t="str">
        <f t="shared" si="11"/>
        <v>Unique</v>
      </c>
      <c r="C105" s="2" t="str">
        <f t="shared" si="15"/>
        <v>May</v>
      </c>
      <c r="D105" s="2">
        <f t="shared" si="16"/>
        <v>2025</v>
      </c>
      <c r="E105" s="4">
        <v>45779</v>
      </c>
      <c r="F105" s="4">
        <v>45787</v>
      </c>
      <c r="G105" s="6">
        <f t="shared" si="12"/>
        <v>8</v>
      </c>
      <c r="H105" s="6" t="str">
        <f t="shared" si="13"/>
        <v>Valid</v>
      </c>
      <c r="I105" t="s">
        <v>421</v>
      </c>
      <c r="J105" t="s">
        <v>265</v>
      </c>
      <c r="K105" t="s">
        <v>91</v>
      </c>
      <c r="L105" t="s">
        <v>64</v>
      </c>
      <c r="M105" t="s">
        <v>65</v>
      </c>
      <c r="N105" t="s">
        <v>66</v>
      </c>
      <c r="O105" t="s">
        <v>42</v>
      </c>
      <c r="P105" t="s">
        <v>43</v>
      </c>
      <c r="Q105" t="s">
        <v>422</v>
      </c>
      <c r="R105" t="s">
        <v>51</v>
      </c>
      <c r="S105">
        <v>4</v>
      </c>
      <c r="T105">
        <v>2440.34</v>
      </c>
      <c r="U105" s="2">
        <f t="shared" si="17"/>
        <v>7809.0880000000006</v>
      </c>
      <c r="V105" s="13">
        <v>0.2</v>
      </c>
      <c r="W105" s="2">
        <f t="shared" si="18"/>
        <v>0.2</v>
      </c>
      <c r="X105" s="2" t="str">
        <f t="shared" si="19"/>
        <v>Valid</v>
      </c>
      <c r="Y105" s="2" t="str">
        <f t="shared" si="20"/>
        <v>Clean</v>
      </c>
      <c r="Z105">
        <v>7809.09</v>
      </c>
      <c r="AA105">
        <v>6657.75</v>
      </c>
      <c r="AB105" s="2">
        <f t="shared" si="14"/>
        <v>1151.3380000000006</v>
      </c>
      <c r="AC105">
        <v>1151.3399999999999</v>
      </c>
      <c r="AD105" s="11">
        <f t="shared" si="21"/>
        <v>0.147435872809764</v>
      </c>
      <c r="AE105" t="s">
        <v>33</v>
      </c>
      <c r="AF105" t="s">
        <v>34</v>
      </c>
    </row>
    <row r="106" spans="1:32">
      <c r="A106" t="s">
        <v>423</v>
      </c>
      <c r="B106" s="2" t="str">
        <f t="shared" si="11"/>
        <v>Unique</v>
      </c>
      <c r="C106" s="2" t="str">
        <f t="shared" si="15"/>
        <v>Feb</v>
      </c>
      <c r="D106" s="2">
        <f t="shared" si="16"/>
        <v>2025</v>
      </c>
      <c r="E106" s="4">
        <v>45689</v>
      </c>
      <c r="F106" s="4">
        <v>45696</v>
      </c>
      <c r="G106" s="6">
        <f t="shared" si="12"/>
        <v>7</v>
      </c>
      <c r="H106" s="6" t="str">
        <f t="shared" si="13"/>
        <v>Valid</v>
      </c>
      <c r="I106" t="s">
        <v>424</v>
      </c>
      <c r="J106" t="s">
        <v>63</v>
      </c>
      <c r="K106" t="s">
        <v>25</v>
      </c>
      <c r="L106" t="s">
        <v>55</v>
      </c>
      <c r="M106" t="s">
        <v>176</v>
      </c>
      <c r="N106" t="s">
        <v>177</v>
      </c>
      <c r="O106" t="s">
        <v>29</v>
      </c>
      <c r="P106" t="s">
        <v>92</v>
      </c>
      <c r="Q106" t="s">
        <v>425</v>
      </c>
      <c r="R106" t="s">
        <v>45</v>
      </c>
      <c r="S106">
        <v>5</v>
      </c>
      <c r="T106">
        <v>2112.54</v>
      </c>
      <c r="U106" s="2">
        <f t="shared" si="17"/>
        <v>7922.0250000000005</v>
      </c>
      <c r="V106" s="13">
        <v>0.25</v>
      </c>
      <c r="W106" s="2">
        <f t="shared" si="18"/>
        <v>0.25</v>
      </c>
      <c r="X106" s="2" t="str">
        <f t="shared" si="19"/>
        <v>Valid</v>
      </c>
      <c r="Y106" s="2" t="str">
        <f t="shared" si="20"/>
        <v>Clean</v>
      </c>
      <c r="Z106">
        <v>8260.4599999999991</v>
      </c>
      <c r="AA106">
        <v>5619.95</v>
      </c>
      <c r="AB106" s="2">
        <f t="shared" si="14"/>
        <v>2302.0750000000007</v>
      </c>
      <c r="AC106">
        <v>2302.08</v>
      </c>
      <c r="AD106" s="11">
        <f t="shared" si="21"/>
        <v>0.27868665909646678</v>
      </c>
      <c r="AE106" t="s">
        <v>33</v>
      </c>
      <c r="AF106" t="s">
        <v>69</v>
      </c>
    </row>
    <row r="107" spans="1:32">
      <c r="A107" t="s">
        <v>426</v>
      </c>
      <c r="B107" s="2" t="str">
        <f t="shared" si="11"/>
        <v>Unique</v>
      </c>
      <c r="C107" s="2" t="str">
        <f t="shared" si="15"/>
        <v>Jun</v>
      </c>
      <c r="D107" s="2">
        <f t="shared" si="16"/>
        <v>2024</v>
      </c>
      <c r="E107" s="4">
        <v>45467</v>
      </c>
      <c r="F107" s="4">
        <v>45472</v>
      </c>
      <c r="G107" s="6">
        <f t="shared" si="12"/>
        <v>5</v>
      </c>
      <c r="H107" s="6" t="str">
        <f t="shared" si="13"/>
        <v>Valid</v>
      </c>
      <c r="I107" t="s">
        <v>427</v>
      </c>
      <c r="J107" t="s">
        <v>37</v>
      </c>
      <c r="K107" t="s">
        <v>96</v>
      </c>
      <c r="L107" t="s">
        <v>39</v>
      </c>
      <c r="M107" t="s">
        <v>100</v>
      </c>
      <c r="N107" t="s">
        <v>101</v>
      </c>
      <c r="O107" t="s">
        <v>42</v>
      </c>
      <c r="P107" t="s">
        <v>43</v>
      </c>
      <c r="Q107" t="s">
        <v>428</v>
      </c>
      <c r="R107" t="s">
        <v>32</v>
      </c>
      <c r="S107">
        <v>2</v>
      </c>
      <c r="T107">
        <v>685</v>
      </c>
      <c r="U107" s="2">
        <f t="shared" si="17"/>
        <v>1233</v>
      </c>
      <c r="V107" s="13">
        <v>0.1</v>
      </c>
      <c r="W107" s="2">
        <f t="shared" si="18"/>
        <v>0.1</v>
      </c>
      <c r="X107" s="2" t="str">
        <f t="shared" si="19"/>
        <v>Valid</v>
      </c>
      <c r="Y107" s="2" t="str">
        <f t="shared" si="20"/>
        <v>Clean</v>
      </c>
      <c r="Z107">
        <v>1233</v>
      </c>
      <c r="AA107">
        <v>1006.9</v>
      </c>
      <c r="AB107" s="2">
        <f t="shared" si="14"/>
        <v>226.10000000000002</v>
      </c>
      <c r="AC107">
        <v>226.1</v>
      </c>
      <c r="AD107" s="11">
        <f t="shared" si="21"/>
        <v>0.18337388483373884</v>
      </c>
      <c r="AE107" t="s">
        <v>33</v>
      </c>
      <c r="AF107" t="s">
        <v>34</v>
      </c>
    </row>
    <row r="108" spans="1:32">
      <c r="A108" t="s">
        <v>429</v>
      </c>
      <c r="B108" s="2" t="str">
        <f t="shared" si="11"/>
        <v>Unique</v>
      </c>
      <c r="C108" s="2" t="str">
        <f t="shared" si="15"/>
        <v>Feb</v>
      </c>
      <c r="D108" s="2">
        <f t="shared" si="16"/>
        <v>2024</v>
      </c>
      <c r="E108" s="4">
        <v>45342</v>
      </c>
      <c r="F108" s="4">
        <v>45350</v>
      </c>
      <c r="G108" s="6">
        <f t="shared" si="12"/>
        <v>8</v>
      </c>
      <c r="H108" s="6" t="str">
        <f t="shared" si="13"/>
        <v>Valid</v>
      </c>
      <c r="I108" t="s">
        <v>430</v>
      </c>
      <c r="J108" t="s">
        <v>54</v>
      </c>
      <c r="K108" t="s">
        <v>96</v>
      </c>
      <c r="L108" t="s">
        <v>39</v>
      </c>
      <c r="M108" t="s">
        <v>100</v>
      </c>
      <c r="N108" t="s">
        <v>101</v>
      </c>
      <c r="O108" t="s">
        <v>29</v>
      </c>
      <c r="P108" t="s">
        <v>30</v>
      </c>
      <c r="Q108" t="s">
        <v>431</v>
      </c>
      <c r="R108" t="s">
        <v>60</v>
      </c>
      <c r="S108">
        <v>2</v>
      </c>
      <c r="T108">
        <v>4004.04</v>
      </c>
      <c r="U108" s="2">
        <f t="shared" si="17"/>
        <v>8008.08</v>
      </c>
      <c r="V108" s="13">
        <v>0</v>
      </c>
      <c r="W108" s="2">
        <f t="shared" si="18"/>
        <v>0</v>
      </c>
      <c r="X108" s="2" t="str">
        <f t="shared" si="19"/>
        <v>Valid</v>
      </c>
      <c r="Y108" s="2" t="str">
        <f t="shared" si="20"/>
        <v>Clean</v>
      </c>
      <c r="Z108">
        <v>7207.27</v>
      </c>
      <c r="AA108">
        <v>5709.39</v>
      </c>
      <c r="AB108" s="2">
        <f t="shared" si="14"/>
        <v>2298.6899999999996</v>
      </c>
      <c r="AC108">
        <v>1497.88</v>
      </c>
      <c r="AD108" s="11">
        <f t="shared" si="21"/>
        <v>0.2078290392894952</v>
      </c>
      <c r="AE108" t="s">
        <v>33</v>
      </c>
      <c r="AF108" t="s">
        <v>69</v>
      </c>
    </row>
    <row r="109" spans="1:32">
      <c r="A109" t="s">
        <v>432</v>
      </c>
      <c r="B109" s="2" t="str">
        <f t="shared" si="11"/>
        <v>Unique</v>
      </c>
      <c r="C109" s="2" t="str">
        <f t="shared" si="15"/>
        <v>Oct</v>
      </c>
      <c r="D109" s="2">
        <f t="shared" si="16"/>
        <v>2024</v>
      </c>
      <c r="E109" s="4">
        <v>45594</v>
      </c>
      <c r="F109" s="4">
        <v>45600</v>
      </c>
      <c r="G109" s="6">
        <f t="shared" si="12"/>
        <v>6</v>
      </c>
      <c r="H109" s="6" t="str">
        <f t="shared" si="13"/>
        <v>Valid</v>
      </c>
      <c r="I109" t="s">
        <v>433</v>
      </c>
      <c r="J109" t="s">
        <v>142</v>
      </c>
      <c r="K109" t="s">
        <v>96</v>
      </c>
      <c r="L109" t="s">
        <v>39</v>
      </c>
      <c r="M109" t="s">
        <v>100</v>
      </c>
      <c r="N109" t="s">
        <v>101</v>
      </c>
      <c r="O109" t="s">
        <v>42</v>
      </c>
      <c r="P109" t="s">
        <v>58</v>
      </c>
      <c r="Q109" t="s">
        <v>434</v>
      </c>
      <c r="R109" t="s">
        <v>51</v>
      </c>
      <c r="S109">
        <v>3</v>
      </c>
      <c r="T109">
        <v>4302.8900000000003</v>
      </c>
      <c r="U109" s="2">
        <f t="shared" si="17"/>
        <v>12263.236500000001</v>
      </c>
      <c r="V109" s="13">
        <v>0.05</v>
      </c>
      <c r="W109" s="2">
        <f t="shared" si="18"/>
        <v>0.05</v>
      </c>
      <c r="X109" s="2" t="str">
        <f t="shared" si="19"/>
        <v>Valid</v>
      </c>
      <c r="Y109" s="2" t="str">
        <f t="shared" si="20"/>
        <v>Clean</v>
      </c>
      <c r="Z109">
        <v>12263.24</v>
      </c>
      <c r="AA109">
        <v>8925.57</v>
      </c>
      <c r="AB109" s="2">
        <f t="shared" si="14"/>
        <v>3337.6665000000012</v>
      </c>
      <c r="AC109">
        <v>3337.67</v>
      </c>
      <c r="AD109" s="11">
        <f t="shared" si="21"/>
        <v>0.2721686927761342</v>
      </c>
      <c r="AE109" t="s">
        <v>33</v>
      </c>
      <c r="AF109" t="s">
        <v>34</v>
      </c>
    </row>
    <row r="110" spans="1:32">
      <c r="A110" t="s">
        <v>435</v>
      </c>
      <c r="B110" s="2" t="str">
        <f t="shared" si="11"/>
        <v>Unique</v>
      </c>
      <c r="C110" s="2" t="str">
        <f t="shared" si="15"/>
        <v>Aug</v>
      </c>
      <c r="D110" s="2">
        <f t="shared" si="16"/>
        <v>2024</v>
      </c>
      <c r="E110" s="4">
        <v>45519</v>
      </c>
      <c r="F110" s="4">
        <v>45527</v>
      </c>
      <c r="G110" s="6">
        <f t="shared" si="12"/>
        <v>8</v>
      </c>
      <c r="H110" s="6" t="str">
        <f t="shared" si="13"/>
        <v>Valid</v>
      </c>
      <c r="I110" t="s">
        <v>436</v>
      </c>
      <c r="J110" t="s">
        <v>90</v>
      </c>
      <c r="K110" t="s">
        <v>38</v>
      </c>
      <c r="L110" t="s">
        <v>39</v>
      </c>
      <c r="M110" t="s">
        <v>40</v>
      </c>
      <c r="N110" t="s">
        <v>41</v>
      </c>
      <c r="O110" t="s">
        <v>42</v>
      </c>
      <c r="P110" t="s">
        <v>159</v>
      </c>
      <c r="Q110" t="s">
        <v>437</v>
      </c>
      <c r="R110" t="s">
        <v>45</v>
      </c>
      <c r="S110">
        <v>2</v>
      </c>
      <c r="T110">
        <v>537.54</v>
      </c>
      <c r="U110" s="2">
        <f t="shared" si="17"/>
        <v>806.31</v>
      </c>
      <c r="V110" s="13">
        <v>0.25</v>
      </c>
      <c r="W110" s="2">
        <f t="shared" si="18"/>
        <v>0.25</v>
      </c>
      <c r="X110" s="2" t="str">
        <f t="shared" si="19"/>
        <v>Valid</v>
      </c>
      <c r="Y110" s="2" t="str">
        <f t="shared" si="20"/>
        <v>Clean</v>
      </c>
      <c r="Z110">
        <v>806.31</v>
      </c>
      <c r="AA110">
        <v>498.5</v>
      </c>
      <c r="AB110" s="2">
        <f t="shared" si="14"/>
        <v>307.80999999999995</v>
      </c>
      <c r="AC110">
        <v>307.81</v>
      </c>
      <c r="AD110" s="11">
        <f t="shared" si="21"/>
        <v>0.38175143555208296</v>
      </c>
      <c r="AE110" t="s">
        <v>33</v>
      </c>
      <c r="AF110" t="s">
        <v>34</v>
      </c>
    </row>
    <row r="111" spans="1:32">
      <c r="A111" t="s">
        <v>438</v>
      </c>
      <c r="B111" s="2" t="str">
        <f t="shared" si="11"/>
        <v>Unique</v>
      </c>
      <c r="C111" s="2" t="str">
        <f t="shared" si="15"/>
        <v>Aug</v>
      </c>
      <c r="D111" s="2">
        <f t="shared" si="16"/>
        <v>2025</v>
      </c>
      <c r="E111" s="4">
        <v>45892</v>
      </c>
      <c r="F111" s="4">
        <v>45896</v>
      </c>
      <c r="G111" s="6">
        <f t="shared" si="12"/>
        <v>4</v>
      </c>
      <c r="H111" s="6" t="str">
        <f t="shared" si="13"/>
        <v>Valid</v>
      </c>
      <c r="I111" t="s">
        <v>439</v>
      </c>
      <c r="J111" t="s">
        <v>133</v>
      </c>
      <c r="K111" t="s">
        <v>25</v>
      </c>
      <c r="L111" t="s">
        <v>26</v>
      </c>
      <c r="M111" t="s">
        <v>351</v>
      </c>
      <c r="N111" t="s">
        <v>352</v>
      </c>
      <c r="O111" t="s">
        <v>29</v>
      </c>
      <c r="P111" t="s">
        <v>154</v>
      </c>
      <c r="Q111" t="s">
        <v>440</v>
      </c>
      <c r="R111" t="s">
        <v>32</v>
      </c>
      <c r="S111">
        <v>1</v>
      </c>
      <c r="T111">
        <v>2788.62</v>
      </c>
      <c r="U111" s="2">
        <f t="shared" si="17"/>
        <v>2091.4650000000001</v>
      </c>
      <c r="V111" s="13">
        <v>0.25</v>
      </c>
      <c r="W111" s="2">
        <f t="shared" si="18"/>
        <v>0.25</v>
      </c>
      <c r="X111" s="2" t="str">
        <f t="shared" si="19"/>
        <v>Valid</v>
      </c>
      <c r="Y111" s="2" t="str">
        <f t="shared" si="20"/>
        <v>Clean</v>
      </c>
      <c r="Z111">
        <v>2091.4699999999998</v>
      </c>
      <c r="AA111">
        <v>1317.22</v>
      </c>
      <c r="AB111" s="2">
        <f t="shared" si="14"/>
        <v>774.24500000000012</v>
      </c>
      <c r="AC111">
        <v>774.25</v>
      </c>
      <c r="AD111" s="11">
        <f t="shared" si="21"/>
        <v>0.37019416965101104</v>
      </c>
      <c r="AE111" t="s">
        <v>33</v>
      </c>
      <c r="AF111" t="s">
        <v>34</v>
      </c>
    </row>
    <row r="112" spans="1:32">
      <c r="A112" t="s">
        <v>441</v>
      </c>
      <c r="B112" s="2" t="str">
        <f t="shared" si="11"/>
        <v>Unique</v>
      </c>
      <c r="C112" s="2" t="str">
        <f t="shared" si="15"/>
        <v>Oct</v>
      </c>
      <c r="D112" s="2">
        <f t="shared" si="16"/>
        <v>2024</v>
      </c>
      <c r="E112" s="4">
        <v>45583</v>
      </c>
      <c r="F112" s="4">
        <v>45589</v>
      </c>
      <c r="G112" s="6">
        <f t="shared" si="12"/>
        <v>6</v>
      </c>
      <c r="H112" s="6" t="str">
        <f t="shared" si="13"/>
        <v>Valid</v>
      </c>
      <c r="I112" t="s">
        <v>442</v>
      </c>
      <c r="J112" t="s">
        <v>72</v>
      </c>
      <c r="K112" t="s">
        <v>91</v>
      </c>
      <c r="L112" t="s">
        <v>55</v>
      </c>
      <c r="M112" t="s">
        <v>186</v>
      </c>
      <c r="N112" t="s">
        <v>187</v>
      </c>
      <c r="O112" t="s">
        <v>29</v>
      </c>
      <c r="P112" t="s">
        <v>92</v>
      </c>
      <c r="Q112" t="s">
        <v>443</v>
      </c>
      <c r="R112" t="s">
        <v>51</v>
      </c>
      <c r="S112">
        <v>2</v>
      </c>
      <c r="T112">
        <v>2250.4699999999998</v>
      </c>
      <c r="U112" s="2">
        <f t="shared" si="17"/>
        <v>4500.9399999999996</v>
      </c>
      <c r="V112" s="13">
        <v>0</v>
      </c>
      <c r="W112" s="2">
        <f t="shared" si="18"/>
        <v>0</v>
      </c>
      <c r="X112" s="2" t="str">
        <f t="shared" si="19"/>
        <v>Valid</v>
      </c>
      <c r="Y112" s="2" t="str">
        <f t="shared" si="20"/>
        <v>Clean</v>
      </c>
      <c r="Z112">
        <v>4500.9399999999996</v>
      </c>
      <c r="AA112">
        <v>2607.73</v>
      </c>
      <c r="AB112" s="2">
        <f t="shared" si="14"/>
        <v>1893.2099999999996</v>
      </c>
      <c r="AC112">
        <v>1893.21</v>
      </c>
      <c r="AD112" s="11">
        <f t="shared" si="21"/>
        <v>0.42062546934640321</v>
      </c>
      <c r="AE112" t="s">
        <v>103</v>
      </c>
      <c r="AF112" t="s">
        <v>69</v>
      </c>
    </row>
    <row r="113" spans="1:32">
      <c r="A113" t="s">
        <v>444</v>
      </c>
      <c r="B113" s="2" t="str">
        <f t="shared" si="11"/>
        <v>Unique</v>
      </c>
      <c r="C113" s="2" t="str">
        <f t="shared" si="15"/>
        <v>Jun</v>
      </c>
      <c r="D113" s="2">
        <f t="shared" si="16"/>
        <v>2025</v>
      </c>
      <c r="E113" s="4">
        <v>45835</v>
      </c>
      <c r="F113" s="4">
        <v>45838</v>
      </c>
      <c r="G113" s="6">
        <f t="shared" si="12"/>
        <v>3</v>
      </c>
      <c r="H113" s="6" t="str">
        <f t="shared" si="13"/>
        <v>Valid</v>
      </c>
      <c r="I113" t="s">
        <v>445</v>
      </c>
      <c r="J113" t="s">
        <v>80</v>
      </c>
      <c r="K113" t="s">
        <v>91</v>
      </c>
      <c r="L113" t="s">
        <v>39</v>
      </c>
      <c r="M113" t="s">
        <v>146</v>
      </c>
      <c r="N113" t="s">
        <v>147</v>
      </c>
      <c r="O113" t="s">
        <v>75</v>
      </c>
      <c r="P113" t="s">
        <v>76</v>
      </c>
      <c r="Q113" t="s">
        <v>446</v>
      </c>
      <c r="R113" t="s">
        <v>51</v>
      </c>
      <c r="S113">
        <v>1</v>
      </c>
      <c r="T113">
        <v>1708.44</v>
      </c>
      <c r="U113" s="2">
        <f t="shared" si="17"/>
        <v>1623.018</v>
      </c>
      <c r="V113" s="13">
        <v>0.05</v>
      </c>
      <c r="W113" s="2">
        <f t="shared" si="18"/>
        <v>0.05</v>
      </c>
      <c r="X113" s="2" t="str">
        <f t="shared" si="19"/>
        <v>Valid</v>
      </c>
      <c r="Y113" s="2" t="str">
        <f t="shared" si="20"/>
        <v>Clean</v>
      </c>
      <c r="Z113">
        <v>1623.02</v>
      </c>
      <c r="AA113">
        <v>1077.46</v>
      </c>
      <c r="AB113" s="2">
        <f t="shared" si="14"/>
        <v>545.55799999999999</v>
      </c>
      <c r="AC113">
        <v>545.55999999999995</v>
      </c>
      <c r="AD113" s="11">
        <f t="shared" si="21"/>
        <v>0.33613880297223692</v>
      </c>
      <c r="AE113" t="s">
        <v>112</v>
      </c>
      <c r="AF113" t="s">
        <v>69</v>
      </c>
    </row>
    <row r="114" spans="1:32">
      <c r="A114" t="s">
        <v>447</v>
      </c>
      <c r="B114" s="2" t="str">
        <f t="shared" si="11"/>
        <v>Unique</v>
      </c>
      <c r="C114" s="2" t="str">
        <f t="shared" si="15"/>
        <v>Jan</v>
      </c>
      <c r="D114" s="2">
        <f t="shared" si="16"/>
        <v>2024</v>
      </c>
      <c r="E114" s="4">
        <v>45301</v>
      </c>
      <c r="F114" s="4">
        <v>45305</v>
      </c>
      <c r="G114" s="6">
        <f t="shared" si="12"/>
        <v>4</v>
      </c>
      <c r="H114" s="6" t="str">
        <f t="shared" si="13"/>
        <v>Valid</v>
      </c>
      <c r="I114" t="s">
        <v>448</v>
      </c>
      <c r="J114" t="s">
        <v>133</v>
      </c>
      <c r="K114" t="s">
        <v>25</v>
      </c>
      <c r="L114" t="s">
        <v>2793</v>
      </c>
      <c r="M114" t="s">
        <v>181</v>
      </c>
      <c r="N114" t="s">
        <v>182</v>
      </c>
      <c r="O114" t="s">
        <v>75</v>
      </c>
      <c r="P114" t="s">
        <v>76</v>
      </c>
      <c r="Q114" t="s">
        <v>449</v>
      </c>
      <c r="R114" t="s">
        <v>60</v>
      </c>
      <c r="S114">
        <v>3</v>
      </c>
      <c r="T114">
        <v>3829.48</v>
      </c>
      <c r="U114" s="2">
        <f t="shared" si="17"/>
        <v>10914.018</v>
      </c>
      <c r="V114" s="13">
        <v>0.05</v>
      </c>
      <c r="W114" s="2">
        <f t="shared" si="18"/>
        <v>0.05</v>
      </c>
      <c r="X114" s="2" t="str">
        <f t="shared" si="19"/>
        <v>Valid</v>
      </c>
      <c r="Y114" s="2" t="str">
        <f t="shared" si="20"/>
        <v>Clean</v>
      </c>
      <c r="Z114">
        <v>10914.02</v>
      </c>
      <c r="AA114">
        <v>6548.74</v>
      </c>
      <c r="AB114" s="2">
        <f t="shared" si="14"/>
        <v>4365.2780000000002</v>
      </c>
      <c r="AC114">
        <v>4365.28</v>
      </c>
      <c r="AD114" s="11">
        <f t="shared" si="21"/>
        <v>0.39996994691232007</v>
      </c>
      <c r="AE114" t="s">
        <v>33</v>
      </c>
      <c r="AF114" t="s">
        <v>34</v>
      </c>
    </row>
    <row r="115" spans="1:32">
      <c r="A115" t="s">
        <v>450</v>
      </c>
      <c r="B115" s="2" t="str">
        <f t="shared" si="11"/>
        <v>Unique</v>
      </c>
      <c r="C115" s="2" t="str">
        <f t="shared" si="15"/>
        <v>Feb</v>
      </c>
      <c r="D115" s="2">
        <f t="shared" si="16"/>
        <v>2024</v>
      </c>
      <c r="E115" s="4">
        <v>45334</v>
      </c>
      <c r="F115" s="4">
        <v>45334</v>
      </c>
      <c r="G115" s="6">
        <f t="shared" si="12"/>
        <v>0</v>
      </c>
      <c r="H115" s="6" t="str">
        <f t="shared" si="13"/>
        <v>Valid</v>
      </c>
      <c r="I115" t="s">
        <v>361</v>
      </c>
      <c r="J115" t="s">
        <v>48</v>
      </c>
      <c r="K115" t="s">
        <v>96</v>
      </c>
      <c r="L115" t="s">
        <v>55</v>
      </c>
      <c r="M115" t="s">
        <v>248</v>
      </c>
      <c r="O115" t="s">
        <v>42</v>
      </c>
      <c r="P115" t="s">
        <v>43</v>
      </c>
      <c r="Q115" t="s">
        <v>451</v>
      </c>
      <c r="R115" t="s">
        <v>60</v>
      </c>
      <c r="S115">
        <v>3</v>
      </c>
      <c r="T115">
        <v>1089.1500000000001</v>
      </c>
      <c r="U115" s="2">
        <f t="shared" si="17"/>
        <v>2450.5875000000001</v>
      </c>
      <c r="V115" s="13">
        <v>0.25</v>
      </c>
      <c r="W115" s="2">
        <f t="shared" si="18"/>
        <v>0.25</v>
      </c>
      <c r="X115" s="2" t="str">
        <f t="shared" si="19"/>
        <v>Valid</v>
      </c>
      <c r="Y115" s="2" t="str">
        <f t="shared" si="20"/>
        <v>Clean</v>
      </c>
      <c r="Z115">
        <v>2450.59</v>
      </c>
      <c r="AA115">
        <v>1639.89</v>
      </c>
      <c r="AB115" s="2">
        <f t="shared" si="14"/>
        <v>810.69749999999999</v>
      </c>
      <c r="AC115">
        <v>810.7</v>
      </c>
      <c r="AD115" s="11">
        <f t="shared" si="21"/>
        <v>0.33081829273766727</v>
      </c>
      <c r="AE115" t="s">
        <v>33</v>
      </c>
      <c r="AF115" t="s">
        <v>34</v>
      </c>
    </row>
    <row r="116" spans="1:32">
      <c r="A116" t="s">
        <v>452</v>
      </c>
      <c r="B116" s="2" t="str">
        <f t="shared" si="11"/>
        <v>Unique</v>
      </c>
      <c r="C116" s="2" t="str">
        <f t="shared" si="15"/>
        <v>Sep</v>
      </c>
      <c r="D116" s="2">
        <f t="shared" si="16"/>
        <v>2024</v>
      </c>
      <c r="E116" s="4">
        <v>45560</v>
      </c>
      <c r="F116" s="4">
        <v>45565</v>
      </c>
      <c r="G116" s="6">
        <f t="shared" si="12"/>
        <v>5</v>
      </c>
      <c r="H116" s="6" t="str">
        <f t="shared" si="13"/>
        <v>Valid</v>
      </c>
      <c r="I116" t="s">
        <v>453</v>
      </c>
      <c r="J116" t="s">
        <v>80</v>
      </c>
      <c r="K116" t="s">
        <v>38</v>
      </c>
      <c r="L116" t="s">
        <v>26</v>
      </c>
      <c r="M116" t="s">
        <v>27</v>
      </c>
      <c r="O116" t="s">
        <v>75</v>
      </c>
      <c r="P116" t="s">
        <v>76</v>
      </c>
      <c r="Q116" t="s">
        <v>454</v>
      </c>
      <c r="R116" t="s">
        <v>32</v>
      </c>
      <c r="S116">
        <v>1</v>
      </c>
      <c r="T116">
        <v>4388.3999999999996</v>
      </c>
      <c r="U116" s="2">
        <f t="shared" si="17"/>
        <v>3949.56</v>
      </c>
      <c r="V116" s="13">
        <v>0.1</v>
      </c>
      <c r="W116" s="2">
        <f t="shared" si="18"/>
        <v>0.1</v>
      </c>
      <c r="X116" s="2" t="str">
        <f t="shared" si="19"/>
        <v>Valid</v>
      </c>
      <c r="Y116" s="2" t="str">
        <f t="shared" si="20"/>
        <v>Clean</v>
      </c>
      <c r="Z116">
        <v>3949.56</v>
      </c>
      <c r="AA116">
        <v>3186.73</v>
      </c>
      <c r="AB116" s="2">
        <f t="shared" si="14"/>
        <v>762.82999999999993</v>
      </c>
      <c r="AC116">
        <v>762.83</v>
      </c>
      <c r="AD116" s="11">
        <f t="shared" si="21"/>
        <v>0.19314303365438176</v>
      </c>
      <c r="AE116" t="s">
        <v>112</v>
      </c>
      <c r="AF116" t="s">
        <v>69</v>
      </c>
    </row>
    <row r="117" spans="1:32">
      <c r="A117" t="s">
        <v>455</v>
      </c>
      <c r="B117" s="2" t="str">
        <f t="shared" si="11"/>
        <v>Unique</v>
      </c>
      <c r="C117" s="2" t="str">
        <f t="shared" si="15"/>
        <v>Dec</v>
      </c>
      <c r="D117" s="2">
        <f t="shared" si="16"/>
        <v>2024</v>
      </c>
      <c r="E117" s="4">
        <v>45653</v>
      </c>
      <c r="F117" s="4">
        <v>45658</v>
      </c>
      <c r="G117" s="6">
        <f t="shared" si="12"/>
        <v>5</v>
      </c>
      <c r="H117" s="6" t="str">
        <f t="shared" si="13"/>
        <v>Valid</v>
      </c>
      <c r="I117" t="s">
        <v>456</v>
      </c>
      <c r="J117" t="s">
        <v>265</v>
      </c>
      <c r="K117" t="s">
        <v>91</v>
      </c>
      <c r="L117" t="s">
        <v>55</v>
      </c>
      <c r="M117" t="s">
        <v>248</v>
      </c>
      <c r="O117" t="s">
        <v>29</v>
      </c>
      <c r="P117" t="s">
        <v>154</v>
      </c>
      <c r="Q117" t="s">
        <v>457</v>
      </c>
      <c r="R117" t="s">
        <v>45</v>
      </c>
      <c r="S117">
        <v>2</v>
      </c>
      <c r="T117">
        <v>446.34</v>
      </c>
      <c r="U117" s="2">
        <f t="shared" si="17"/>
        <v>758.77799999999991</v>
      </c>
      <c r="V117" s="13">
        <v>0.15</v>
      </c>
      <c r="W117" s="2">
        <f t="shared" si="18"/>
        <v>0.15</v>
      </c>
      <c r="X117" s="2" t="str">
        <f t="shared" si="19"/>
        <v>Valid</v>
      </c>
      <c r="Y117" s="2" t="str">
        <f t="shared" si="20"/>
        <v>Clean</v>
      </c>
      <c r="Z117">
        <v>758.78</v>
      </c>
      <c r="AA117">
        <v>490.74</v>
      </c>
      <c r="AB117" s="2">
        <f t="shared" si="14"/>
        <v>268.0379999999999</v>
      </c>
      <c r="AC117">
        <v>268.04000000000002</v>
      </c>
      <c r="AD117" s="11">
        <f t="shared" si="21"/>
        <v>0.35325127177838112</v>
      </c>
      <c r="AE117" t="s">
        <v>33</v>
      </c>
      <c r="AF117" t="s">
        <v>69</v>
      </c>
    </row>
    <row r="118" spans="1:32">
      <c r="A118" t="s">
        <v>458</v>
      </c>
      <c r="B118" s="2" t="str">
        <f t="shared" si="11"/>
        <v>Unique</v>
      </c>
      <c r="C118" s="2" t="str">
        <f t="shared" si="15"/>
        <v>Feb</v>
      </c>
      <c r="D118" s="2">
        <f t="shared" si="16"/>
        <v>2025</v>
      </c>
      <c r="E118" s="4">
        <v>45703</v>
      </c>
      <c r="F118" s="4">
        <v>45707</v>
      </c>
      <c r="G118" s="6">
        <f t="shared" si="12"/>
        <v>4</v>
      </c>
      <c r="H118" s="6" t="str">
        <f t="shared" si="13"/>
        <v>Valid</v>
      </c>
      <c r="I118" t="s">
        <v>459</v>
      </c>
      <c r="J118" t="s">
        <v>63</v>
      </c>
      <c r="K118" t="s">
        <v>38</v>
      </c>
      <c r="L118" s="2" t="s">
        <v>2793</v>
      </c>
      <c r="M118" t="s">
        <v>73</v>
      </c>
      <c r="O118" t="s">
        <v>29</v>
      </c>
      <c r="P118" t="s">
        <v>154</v>
      </c>
      <c r="Q118" t="s">
        <v>460</v>
      </c>
      <c r="R118" t="s">
        <v>51</v>
      </c>
      <c r="S118">
        <v>9</v>
      </c>
      <c r="T118">
        <v>531.99</v>
      </c>
      <c r="U118" s="2">
        <f t="shared" si="17"/>
        <v>3590.9324999999999</v>
      </c>
      <c r="V118" s="13">
        <v>0.25</v>
      </c>
      <c r="W118" s="2">
        <f t="shared" si="18"/>
        <v>0.25</v>
      </c>
      <c r="X118" s="2" t="str">
        <f t="shared" si="19"/>
        <v>Valid</v>
      </c>
      <c r="Y118" s="2" t="str">
        <f t="shared" si="20"/>
        <v>Clean</v>
      </c>
      <c r="Z118">
        <v>3590.93</v>
      </c>
      <c r="AA118">
        <v>3061.39</v>
      </c>
      <c r="AB118" s="2">
        <f t="shared" si="14"/>
        <v>529.54250000000002</v>
      </c>
      <c r="AC118">
        <v>529.54</v>
      </c>
      <c r="AD118" s="11">
        <f t="shared" si="21"/>
        <v>0.14746597678038836</v>
      </c>
      <c r="AE118" t="s">
        <v>156</v>
      </c>
      <c r="AF118" t="s">
        <v>69</v>
      </c>
    </row>
    <row r="119" spans="1:32">
      <c r="A119" t="s">
        <v>461</v>
      </c>
      <c r="B119" s="2" t="str">
        <f t="shared" si="11"/>
        <v>Unique</v>
      </c>
      <c r="C119" s="2" t="str">
        <f t="shared" si="15"/>
        <v>Feb</v>
      </c>
      <c r="D119" s="2">
        <f t="shared" si="16"/>
        <v>2024</v>
      </c>
      <c r="E119" s="4">
        <v>45337</v>
      </c>
      <c r="F119" s="4">
        <v>45339</v>
      </c>
      <c r="G119" s="6">
        <f t="shared" si="12"/>
        <v>2</v>
      </c>
      <c r="H119" s="6" t="str">
        <f t="shared" si="13"/>
        <v>Valid</v>
      </c>
      <c r="I119" t="s">
        <v>462</v>
      </c>
      <c r="J119" t="s">
        <v>37</v>
      </c>
      <c r="K119" t="s">
        <v>96</v>
      </c>
      <c r="L119" t="s">
        <v>55</v>
      </c>
      <c r="M119" t="s">
        <v>248</v>
      </c>
      <c r="O119" t="s">
        <v>75</v>
      </c>
      <c r="P119" t="s">
        <v>275</v>
      </c>
      <c r="Q119" t="s">
        <v>463</v>
      </c>
      <c r="R119" t="s">
        <v>60</v>
      </c>
      <c r="S119">
        <v>9</v>
      </c>
      <c r="T119">
        <v>3324.55</v>
      </c>
      <c r="U119" s="2" t="str">
        <f t="shared" si="17"/>
        <v>Invalid</v>
      </c>
      <c r="V119" s="13" t="s">
        <v>464</v>
      </c>
      <c r="W119" s="2" t="str">
        <f t="shared" si="18"/>
        <v>Invalid</v>
      </c>
      <c r="X119" s="2" t="str">
        <f t="shared" si="19"/>
        <v>Invalid</v>
      </c>
      <c r="Y119" s="2" t="str">
        <f t="shared" si="20"/>
        <v>Invalid</v>
      </c>
      <c r="Z119">
        <v>25432.81</v>
      </c>
      <c r="AA119">
        <v>20370.16</v>
      </c>
      <c r="AB119" s="2" t="str">
        <f t="shared" si="14"/>
        <v>Invalid</v>
      </c>
      <c r="AC119">
        <v>5062.6499999999996</v>
      </c>
      <c r="AD119" s="11">
        <f t="shared" si="21"/>
        <v>0.19905979716751707</v>
      </c>
      <c r="AE119" t="s">
        <v>33</v>
      </c>
      <c r="AF119" t="s">
        <v>34</v>
      </c>
    </row>
    <row r="120" spans="1:32">
      <c r="A120" t="s">
        <v>465</v>
      </c>
      <c r="B120" s="2" t="str">
        <f t="shared" si="11"/>
        <v>Unique</v>
      </c>
      <c r="C120" s="2" t="str">
        <f t="shared" si="15"/>
        <v>Jun</v>
      </c>
      <c r="D120" s="2">
        <f t="shared" si="16"/>
        <v>2024</v>
      </c>
      <c r="E120" s="4">
        <v>45453</v>
      </c>
      <c r="F120" s="4">
        <v>45461</v>
      </c>
      <c r="G120" s="6">
        <f t="shared" si="12"/>
        <v>8</v>
      </c>
      <c r="H120" s="6" t="str">
        <f t="shared" si="13"/>
        <v>Valid</v>
      </c>
      <c r="I120" t="s">
        <v>466</v>
      </c>
      <c r="J120" t="s">
        <v>72</v>
      </c>
      <c r="K120" t="s">
        <v>96</v>
      </c>
      <c r="L120" t="s">
        <v>55</v>
      </c>
      <c r="M120" t="s">
        <v>85</v>
      </c>
      <c r="O120" t="s">
        <v>75</v>
      </c>
      <c r="P120" t="s">
        <v>81</v>
      </c>
      <c r="Q120" t="s">
        <v>467</v>
      </c>
      <c r="R120" t="s">
        <v>45</v>
      </c>
      <c r="S120">
        <v>5</v>
      </c>
      <c r="T120">
        <v>1580.27</v>
      </c>
      <c r="U120" s="2">
        <f t="shared" si="17"/>
        <v>6321.0800000000008</v>
      </c>
      <c r="V120" s="13">
        <v>0.2</v>
      </c>
      <c r="W120" s="2">
        <f t="shared" si="18"/>
        <v>0.2</v>
      </c>
      <c r="X120" s="2" t="str">
        <f t="shared" si="19"/>
        <v>Valid</v>
      </c>
      <c r="Y120" s="2" t="str">
        <f t="shared" si="20"/>
        <v>Clean</v>
      </c>
      <c r="Z120">
        <v>6321.08</v>
      </c>
      <c r="AA120">
        <v>4407.22</v>
      </c>
      <c r="AB120" s="2">
        <f t="shared" si="14"/>
        <v>1913.8600000000006</v>
      </c>
      <c r="AC120">
        <v>1913.86</v>
      </c>
      <c r="AD120" s="11">
        <f t="shared" si="21"/>
        <v>0.30277420947053352</v>
      </c>
      <c r="AE120" t="s">
        <v>33</v>
      </c>
      <c r="AF120" t="s">
        <v>34</v>
      </c>
    </row>
    <row r="121" spans="1:32">
      <c r="A121" t="s">
        <v>468</v>
      </c>
      <c r="B121" s="2" t="str">
        <f t="shared" si="11"/>
        <v>Unique</v>
      </c>
      <c r="C121" s="2" t="str">
        <f t="shared" si="15"/>
        <v>Jun</v>
      </c>
      <c r="D121" s="2">
        <f t="shared" si="16"/>
        <v>2024</v>
      </c>
      <c r="E121" s="4">
        <v>45455</v>
      </c>
      <c r="F121" s="4">
        <v>45462</v>
      </c>
      <c r="G121" s="6">
        <f t="shared" si="12"/>
        <v>7</v>
      </c>
      <c r="H121" s="6" t="str">
        <f t="shared" si="13"/>
        <v>Valid</v>
      </c>
      <c r="I121" t="s">
        <v>469</v>
      </c>
      <c r="J121" t="s">
        <v>90</v>
      </c>
      <c r="K121" t="s">
        <v>38</v>
      </c>
      <c r="L121" t="s">
        <v>55</v>
      </c>
      <c r="M121" t="s">
        <v>186</v>
      </c>
      <c r="O121" t="s">
        <v>42</v>
      </c>
      <c r="P121" t="s">
        <v>67</v>
      </c>
      <c r="Q121" t="s">
        <v>470</v>
      </c>
      <c r="R121" t="s">
        <v>60</v>
      </c>
      <c r="S121">
        <v>8</v>
      </c>
      <c r="T121">
        <v>314.05</v>
      </c>
      <c r="U121" s="2">
        <f t="shared" si="17"/>
        <v>1884.3000000000002</v>
      </c>
      <c r="V121" s="13">
        <v>0.25</v>
      </c>
      <c r="W121" s="2">
        <f t="shared" si="18"/>
        <v>0.25</v>
      </c>
      <c r="X121" s="2" t="str">
        <f t="shared" si="19"/>
        <v>Valid</v>
      </c>
      <c r="Y121" s="2" t="str">
        <f t="shared" si="20"/>
        <v>Clean</v>
      </c>
      <c r="Z121">
        <v>1884.3</v>
      </c>
      <c r="AA121">
        <v>1517.69</v>
      </c>
      <c r="AB121" s="2">
        <f t="shared" si="14"/>
        <v>366.61000000000013</v>
      </c>
      <c r="AC121">
        <v>366.61</v>
      </c>
      <c r="AD121" s="11">
        <f t="shared" si="21"/>
        <v>0.19456031417502523</v>
      </c>
      <c r="AE121" t="s">
        <v>103</v>
      </c>
      <c r="AF121" t="s">
        <v>104</v>
      </c>
    </row>
    <row r="122" spans="1:32">
      <c r="A122" t="s">
        <v>471</v>
      </c>
      <c r="B122" s="2" t="str">
        <f t="shared" si="11"/>
        <v>Unique</v>
      </c>
      <c r="C122" s="2" t="str">
        <f t="shared" si="15"/>
        <v>Aug</v>
      </c>
      <c r="D122" s="2">
        <f t="shared" si="16"/>
        <v>2024</v>
      </c>
      <c r="E122" s="4">
        <v>45514</v>
      </c>
      <c r="F122" s="4">
        <v>45522</v>
      </c>
      <c r="G122" s="6">
        <f t="shared" si="12"/>
        <v>8</v>
      </c>
      <c r="H122" s="6" t="str">
        <f t="shared" si="13"/>
        <v>Valid</v>
      </c>
      <c r="I122" t="s">
        <v>472</v>
      </c>
      <c r="J122" t="s">
        <v>133</v>
      </c>
      <c r="K122" t="s">
        <v>38</v>
      </c>
      <c r="L122" t="s">
        <v>39</v>
      </c>
      <c r="M122" t="s">
        <v>146</v>
      </c>
      <c r="O122" t="s">
        <v>75</v>
      </c>
      <c r="P122" t="s">
        <v>172</v>
      </c>
      <c r="Q122" t="s">
        <v>473</v>
      </c>
      <c r="R122" t="s">
        <v>60</v>
      </c>
      <c r="S122">
        <v>1</v>
      </c>
      <c r="T122">
        <v>1823.67</v>
      </c>
      <c r="U122" s="2">
        <f t="shared" si="17"/>
        <v>1458.9360000000001</v>
      </c>
      <c r="V122" s="13">
        <v>0.2</v>
      </c>
      <c r="W122" s="2">
        <f t="shared" si="18"/>
        <v>0.2</v>
      </c>
      <c r="X122" s="2" t="str">
        <f t="shared" si="19"/>
        <v>Valid</v>
      </c>
      <c r="Y122" s="2" t="str">
        <f t="shared" si="20"/>
        <v>Clean</v>
      </c>
      <c r="Z122">
        <v>1458.94</v>
      </c>
      <c r="AA122">
        <v>893.2</v>
      </c>
      <c r="AB122" s="2">
        <f t="shared" si="14"/>
        <v>565.7360000000001</v>
      </c>
      <c r="AC122">
        <v>565.74</v>
      </c>
      <c r="AD122" s="11">
        <f t="shared" si="21"/>
        <v>0.38777468573073598</v>
      </c>
      <c r="AE122" t="s">
        <v>33</v>
      </c>
      <c r="AF122" t="s">
        <v>104</v>
      </c>
    </row>
    <row r="123" spans="1:32">
      <c r="A123" t="s">
        <v>474</v>
      </c>
      <c r="B123" s="2" t="str">
        <f t="shared" si="11"/>
        <v>Unique</v>
      </c>
      <c r="C123" s="2" t="str">
        <f t="shared" si="15"/>
        <v>Aug</v>
      </c>
      <c r="D123" s="2">
        <f t="shared" si="16"/>
        <v>2025</v>
      </c>
      <c r="E123" s="4">
        <v>45891</v>
      </c>
      <c r="F123" s="4">
        <v>45895</v>
      </c>
      <c r="G123" s="6">
        <f t="shared" si="12"/>
        <v>4</v>
      </c>
      <c r="H123" s="6" t="str">
        <f t="shared" si="13"/>
        <v>Valid</v>
      </c>
      <c r="I123" t="s">
        <v>475</v>
      </c>
      <c r="J123" t="s">
        <v>265</v>
      </c>
      <c r="K123" t="s">
        <v>38</v>
      </c>
      <c r="L123" t="s">
        <v>55</v>
      </c>
      <c r="M123" t="s">
        <v>85</v>
      </c>
      <c r="O123" t="s">
        <v>75</v>
      </c>
      <c r="P123" t="s">
        <v>275</v>
      </c>
      <c r="Q123" t="s">
        <v>476</v>
      </c>
      <c r="R123" t="s">
        <v>32</v>
      </c>
      <c r="S123">
        <v>5</v>
      </c>
      <c r="T123">
        <v>3482.92</v>
      </c>
      <c r="U123" s="2">
        <f t="shared" si="17"/>
        <v>17414.599999999999</v>
      </c>
      <c r="V123" s="13">
        <v>0</v>
      </c>
      <c r="W123" s="2">
        <f t="shared" si="18"/>
        <v>0</v>
      </c>
      <c r="X123" s="2" t="str">
        <f t="shared" si="19"/>
        <v>Valid</v>
      </c>
      <c r="Y123" s="2" t="str">
        <f t="shared" si="20"/>
        <v>Clean</v>
      </c>
      <c r="Z123">
        <v>17414.599999999999</v>
      </c>
      <c r="AA123">
        <v>11760.91</v>
      </c>
      <c r="AB123" s="2">
        <f t="shared" si="14"/>
        <v>5653.6899999999987</v>
      </c>
      <c r="AC123">
        <v>5653.69</v>
      </c>
      <c r="AD123" s="11">
        <f t="shared" si="21"/>
        <v>0.32465230323981026</v>
      </c>
      <c r="AE123" t="s">
        <v>103</v>
      </c>
      <c r="AF123" t="s">
        <v>69</v>
      </c>
    </row>
    <row r="124" spans="1:32">
      <c r="A124" t="s">
        <v>477</v>
      </c>
      <c r="B124" s="2" t="str">
        <f t="shared" si="11"/>
        <v>Unique</v>
      </c>
      <c r="C124" s="2" t="str">
        <f t="shared" si="15"/>
        <v>Nov</v>
      </c>
      <c r="D124" s="2">
        <f t="shared" si="16"/>
        <v>2024</v>
      </c>
      <c r="E124" s="4">
        <v>45626</v>
      </c>
      <c r="F124" s="4">
        <v>45630</v>
      </c>
      <c r="G124" s="6">
        <f t="shared" si="12"/>
        <v>4</v>
      </c>
      <c r="H124" s="6" t="str">
        <f t="shared" si="13"/>
        <v>Valid</v>
      </c>
      <c r="I124" t="s">
        <v>478</v>
      </c>
      <c r="J124" t="s">
        <v>63</v>
      </c>
      <c r="K124" t="s">
        <v>38</v>
      </c>
      <c r="L124" t="s">
        <v>39</v>
      </c>
      <c r="M124" t="s">
        <v>167</v>
      </c>
      <c r="O124" t="s">
        <v>42</v>
      </c>
      <c r="P124" t="s">
        <v>67</v>
      </c>
      <c r="Q124" t="s">
        <v>479</v>
      </c>
      <c r="R124" t="s">
        <v>32</v>
      </c>
      <c r="S124">
        <v>3</v>
      </c>
      <c r="T124">
        <v>170.35</v>
      </c>
      <c r="U124" s="2">
        <f t="shared" si="17"/>
        <v>511.04999999999995</v>
      </c>
      <c r="V124" s="13">
        <v>0</v>
      </c>
      <c r="W124" s="2">
        <f t="shared" si="18"/>
        <v>0</v>
      </c>
      <c r="X124" s="2" t="str">
        <f t="shared" si="19"/>
        <v>Valid</v>
      </c>
      <c r="Y124" s="2" t="str">
        <f t="shared" si="20"/>
        <v>Clean</v>
      </c>
      <c r="Z124">
        <v>511.05</v>
      </c>
      <c r="AA124">
        <v>367.18</v>
      </c>
      <c r="AB124" s="2">
        <f t="shared" si="14"/>
        <v>143.86999999999995</v>
      </c>
      <c r="AC124">
        <v>143.87</v>
      </c>
      <c r="AD124" s="11">
        <f t="shared" si="21"/>
        <v>0.28151844242246354</v>
      </c>
      <c r="AE124" t="s">
        <v>33</v>
      </c>
      <c r="AF124" t="s">
        <v>34</v>
      </c>
    </row>
    <row r="125" spans="1:32">
      <c r="A125" t="s">
        <v>480</v>
      </c>
      <c r="B125" s="2" t="str">
        <f t="shared" si="11"/>
        <v>Duplicate Order ID</v>
      </c>
      <c r="C125" s="2" t="str">
        <f t="shared" si="15"/>
        <v>May</v>
      </c>
      <c r="D125" s="2">
        <f t="shared" si="16"/>
        <v>2024</v>
      </c>
      <c r="E125" s="4">
        <v>45436</v>
      </c>
      <c r="F125" s="4">
        <v>45437</v>
      </c>
      <c r="G125" s="6">
        <f t="shared" si="12"/>
        <v>1</v>
      </c>
      <c r="H125" s="6" t="str">
        <f t="shared" si="13"/>
        <v>Valid</v>
      </c>
      <c r="I125" t="s">
        <v>481</v>
      </c>
      <c r="J125" t="s">
        <v>133</v>
      </c>
      <c r="K125" t="s">
        <v>38</v>
      </c>
      <c r="L125" t="s">
        <v>26</v>
      </c>
      <c r="M125" t="s">
        <v>123</v>
      </c>
      <c r="O125" t="s">
        <v>75</v>
      </c>
      <c r="P125" t="s">
        <v>81</v>
      </c>
      <c r="Q125" t="s">
        <v>482</v>
      </c>
      <c r="R125" t="s">
        <v>45</v>
      </c>
      <c r="S125">
        <v>1</v>
      </c>
      <c r="T125">
        <v>634.13</v>
      </c>
      <c r="U125" s="2">
        <f t="shared" si="17"/>
        <v>634.13</v>
      </c>
      <c r="V125" s="13">
        <v>0</v>
      </c>
      <c r="W125" s="2">
        <f t="shared" si="18"/>
        <v>0</v>
      </c>
      <c r="X125" s="2" t="str">
        <f t="shared" si="19"/>
        <v>Valid</v>
      </c>
      <c r="Y125" s="2" t="str">
        <f t="shared" si="20"/>
        <v>Clean</v>
      </c>
      <c r="Z125">
        <v>634.13</v>
      </c>
      <c r="AA125">
        <v>453.35</v>
      </c>
      <c r="AB125" s="2">
        <f t="shared" si="14"/>
        <v>180.77999999999997</v>
      </c>
      <c r="AC125">
        <v>180.78</v>
      </c>
      <c r="AD125" s="11">
        <f t="shared" si="21"/>
        <v>0.28508350022865975</v>
      </c>
      <c r="AE125" t="s">
        <v>103</v>
      </c>
      <c r="AF125" t="s">
        <v>69</v>
      </c>
    </row>
    <row r="126" spans="1:32">
      <c r="A126" t="s">
        <v>483</v>
      </c>
      <c r="B126" s="2" t="str">
        <f t="shared" si="11"/>
        <v>Unique</v>
      </c>
      <c r="C126" s="2" t="str">
        <f t="shared" si="15"/>
        <v>Jul</v>
      </c>
      <c r="D126" s="2">
        <f t="shared" si="16"/>
        <v>2024</v>
      </c>
      <c r="E126" s="4">
        <v>45494</v>
      </c>
      <c r="F126" s="4">
        <v>45497</v>
      </c>
      <c r="G126" s="6">
        <f t="shared" si="12"/>
        <v>3</v>
      </c>
      <c r="H126" s="6" t="str">
        <f t="shared" si="13"/>
        <v>Valid</v>
      </c>
      <c r="I126" t="s">
        <v>484</v>
      </c>
      <c r="J126" t="s">
        <v>48</v>
      </c>
      <c r="K126" t="s">
        <v>91</v>
      </c>
      <c r="L126" t="s">
        <v>55</v>
      </c>
      <c r="M126" t="s">
        <v>176</v>
      </c>
      <c r="O126" t="s">
        <v>75</v>
      </c>
      <c r="P126" t="s">
        <v>81</v>
      </c>
      <c r="Q126" t="s">
        <v>485</v>
      </c>
      <c r="R126" t="s">
        <v>60</v>
      </c>
      <c r="S126">
        <v>9</v>
      </c>
      <c r="T126">
        <v>465.06</v>
      </c>
      <c r="U126" s="2" t="str">
        <f t="shared" si="17"/>
        <v>Invalid</v>
      </c>
      <c r="V126" s="13">
        <v>-0.15</v>
      </c>
      <c r="W126" s="2" t="str">
        <f t="shared" si="18"/>
        <v>Invalid</v>
      </c>
      <c r="X126" s="2" t="str">
        <f t="shared" si="19"/>
        <v>Invalid</v>
      </c>
      <c r="Y126" s="2" t="str">
        <f t="shared" si="20"/>
        <v>Invalid</v>
      </c>
      <c r="Z126">
        <v>4185.54</v>
      </c>
      <c r="AA126">
        <v>3443.74</v>
      </c>
      <c r="AB126" s="2" t="str">
        <f t="shared" si="14"/>
        <v>Invalid</v>
      </c>
      <c r="AC126">
        <v>741.8</v>
      </c>
      <c r="AD126" s="11">
        <f t="shared" si="21"/>
        <v>0.17722922251370193</v>
      </c>
      <c r="AE126" t="s">
        <v>33</v>
      </c>
      <c r="AF126" t="s">
        <v>34</v>
      </c>
    </row>
    <row r="127" spans="1:32">
      <c r="A127" t="s">
        <v>486</v>
      </c>
      <c r="B127" s="2" t="str">
        <f t="shared" si="11"/>
        <v>Unique</v>
      </c>
      <c r="C127" s="2" t="str">
        <f t="shared" si="15"/>
        <v>Jul</v>
      </c>
      <c r="D127" s="2">
        <f t="shared" si="16"/>
        <v>2025</v>
      </c>
      <c r="E127" s="4">
        <v>45855</v>
      </c>
      <c r="F127" s="4">
        <v>45856</v>
      </c>
      <c r="G127" s="6">
        <f t="shared" si="12"/>
        <v>1</v>
      </c>
      <c r="H127" s="6" t="str">
        <f t="shared" si="13"/>
        <v>Valid</v>
      </c>
      <c r="I127" t="s">
        <v>487</v>
      </c>
      <c r="J127" t="s">
        <v>80</v>
      </c>
      <c r="K127" t="s">
        <v>38</v>
      </c>
      <c r="L127" t="s">
        <v>64</v>
      </c>
      <c r="M127" t="s">
        <v>27</v>
      </c>
      <c r="O127" t="s">
        <v>42</v>
      </c>
      <c r="P127" t="s">
        <v>43</v>
      </c>
      <c r="Q127" t="s">
        <v>488</v>
      </c>
      <c r="R127" t="s">
        <v>45</v>
      </c>
      <c r="S127">
        <v>6</v>
      </c>
      <c r="T127">
        <v>3235.27</v>
      </c>
      <c r="U127" s="2">
        <f t="shared" si="17"/>
        <v>14558.715</v>
      </c>
      <c r="V127" s="13">
        <v>0.25</v>
      </c>
      <c r="W127" s="2">
        <f t="shared" si="18"/>
        <v>0.25</v>
      </c>
      <c r="X127" s="2" t="str">
        <f t="shared" si="19"/>
        <v>Valid</v>
      </c>
      <c r="Y127" s="2" t="str">
        <f t="shared" si="20"/>
        <v>Clean</v>
      </c>
      <c r="Z127">
        <v>14558.72</v>
      </c>
      <c r="AA127">
        <v>9591.48</v>
      </c>
      <c r="AB127" s="2">
        <f t="shared" si="14"/>
        <v>4967.2350000000006</v>
      </c>
      <c r="AC127">
        <v>4967.24</v>
      </c>
      <c r="AD127" s="11">
        <f t="shared" si="21"/>
        <v>0.34118658783189731</v>
      </c>
      <c r="AE127" t="s">
        <v>103</v>
      </c>
      <c r="AF127" t="s">
        <v>104</v>
      </c>
    </row>
    <row r="128" spans="1:32">
      <c r="A128" t="s">
        <v>489</v>
      </c>
      <c r="B128" s="2" t="str">
        <f t="shared" si="11"/>
        <v>Unique</v>
      </c>
      <c r="C128" s="2" t="str">
        <f t="shared" si="15"/>
        <v>Sep</v>
      </c>
      <c r="D128" s="2">
        <f t="shared" si="16"/>
        <v>2025</v>
      </c>
      <c r="E128" s="4">
        <v>45924</v>
      </c>
      <c r="F128" s="4">
        <v>45926</v>
      </c>
      <c r="G128" s="6">
        <f t="shared" si="12"/>
        <v>2</v>
      </c>
      <c r="H128" s="6" t="str">
        <f t="shared" si="13"/>
        <v>Valid</v>
      </c>
      <c r="I128" t="s">
        <v>490</v>
      </c>
      <c r="J128" t="s">
        <v>115</v>
      </c>
      <c r="K128" t="s">
        <v>91</v>
      </c>
      <c r="L128" t="s">
        <v>26</v>
      </c>
      <c r="M128" t="s">
        <v>351</v>
      </c>
      <c r="O128" t="s">
        <v>75</v>
      </c>
      <c r="P128" t="s">
        <v>81</v>
      </c>
      <c r="Q128" t="s">
        <v>491</v>
      </c>
      <c r="R128" t="s">
        <v>60</v>
      </c>
      <c r="S128">
        <v>3</v>
      </c>
      <c r="T128">
        <v>1593.86</v>
      </c>
      <c r="U128" s="2">
        <f t="shared" si="17"/>
        <v>4303.4220000000005</v>
      </c>
      <c r="V128" s="13">
        <v>0.1</v>
      </c>
      <c r="W128" s="2">
        <f t="shared" si="18"/>
        <v>0.1</v>
      </c>
      <c r="X128" s="2" t="str">
        <f t="shared" si="19"/>
        <v>Valid</v>
      </c>
      <c r="Y128" s="2" t="str">
        <f t="shared" si="20"/>
        <v>Clean</v>
      </c>
      <c r="Z128">
        <v>4303.42</v>
      </c>
      <c r="AA128">
        <v>2568.5700000000002</v>
      </c>
      <c r="AB128" s="2">
        <f t="shared" si="14"/>
        <v>1734.8520000000003</v>
      </c>
      <c r="AC128">
        <v>1734.85</v>
      </c>
      <c r="AD128" s="11">
        <f t="shared" si="21"/>
        <v>0.40313285712293939</v>
      </c>
      <c r="AE128" t="s">
        <v>33</v>
      </c>
      <c r="AF128" t="s">
        <v>34</v>
      </c>
    </row>
    <row r="129" spans="1:32">
      <c r="A129" t="s">
        <v>492</v>
      </c>
      <c r="B129" s="2" t="str">
        <f t="shared" si="11"/>
        <v>Unique</v>
      </c>
      <c r="C129" s="2" t="str">
        <f t="shared" si="15"/>
        <v>Jan</v>
      </c>
      <c r="D129" s="2">
        <f t="shared" si="16"/>
        <v>2025</v>
      </c>
      <c r="E129" s="4">
        <v>45687</v>
      </c>
      <c r="F129" s="4">
        <v>45683</v>
      </c>
      <c r="G129" s="6">
        <f t="shared" si="12"/>
        <v>-4</v>
      </c>
      <c r="H129" s="6" t="str">
        <f t="shared" si="13"/>
        <v>Invalid: Ship Date Before Order Date</v>
      </c>
      <c r="I129" t="s">
        <v>493</v>
      </c>
      <c r="J129" t="s">
        <v>115</v>
      </c>
      <c r="K129" t="s">
        <v>91</v>
      </c>
      <c r="L129" t="s">
        <v>64</v>
      </c>
      <c r="M129" t="s">
        <v>73</v>
      </c>
      <c r="O129" t="s">
        <v>29</v>
      </c>
      <c r="P129" t="s">
        <v>125</v>
      </c>
      <c r="Q129" t="s">
        <v>494</v>
      </c>
      <c r="R129" t="s">
        <v>32</v>
      </c>
      <c r="S129">
        <v>2</v>
      </c>
      <c r="T129">
        <v>3039.3</v>
      </c>
      <c r="U129" s="2">
        <f t="shared" si="17"/>
        <v>5774.67</v>
      </c>
      <c r="V129" s="13">
        <v>0.05</v>
      </c>
      <c r="W129" s="2">
        <f t="shared" si="18"/>
        <v>0.05</v>
      </c>
      <c r="X129" s="2" t="str">
        <f t="shared" si="19"/>
        <v>Valid</v>
      </c>
      <c r="Y129" s="2" t="str">
        <f t="shared" si="20"/>
        <v>Invalid</v>
      </c>
      <c r="Z129">
        <v>5774.67</v>
      </c>
      <c r="AA129">
        <v>3518.36</v>
      </c>
      <c r="AB129" s="2">
        <f t="shared" si="14"/>
        <v>2256.31</v>
      </c>
      <c r="AC129">
        <v>2256.31</v>
      </c>
      <c r="AD129" s="11">
        <f t="shared" si="21"/>
        <v>0.39072535746631409</v>
      </c>
      <c r="AE129" t="s">
        <v>33</v>
      </c>
      <c r="AF129" t="s">
        <v>34</v>
      </c>
    </row>
    <row r="130" spans="1:32">
      <c r="A130" t="s">
        <v>495</v>
      </c>
      <c r="B130" s="2" t="str">
        <f t="shared" ref="B130:B193" si="22">IF(COUNTIF($A:$A,A130)&gt;1,"Duplicate Order ID","Unique")</f>
        <v>Unique</v>
      </c>
      <c r="C130" s="2" t="str">
        <f t="shared" si="15"/>
        <v>Dec</v>
      </c>
      <c r="D130" s="2">
        <f t="shared" si="16"/>
        <v>2024</v>
      </c>
      <c r="E130" s="4">
        <v>45639</v>
      </c>
      <c r="F130" s="4">
        <v>45642</v>
      </c>
      <c r="G130" s="6">
        <f t="shared" ref="G130:G193" si="23">F130-E130</f>
        <v>3</v>
      </c>
      <c r="H130" s="6" t="str">
        <f t="shared" ref="H130:H193" si="24">IF(G130&lt;0,"Invalid: Ship Date Before Order Date","Valid")</f>
        <v>Valid</v>
      </c>
      <c r="I130" t="s">
        <v>496</v>
      </c>
      <c r="J130" t="s">
        <v>80</v>
      </c>
      <c r="K130" t="s">
        <v>38</v>
      </c>
      <c r="L130" t="s">
        <v>39</v>
      </c>
      <c r="M130" t="s">
        <v>40</v>
      </c>
      <c r="O130" t="s">
        <v>42</v>
      </c>
      <c r="P130" t="s">
        <v>58</v>
      </c>
      <c r="Q130" t="s">
        <v>497</v>
      </c>
      <c r="R130" t="s">
        <v>60</v>
      </c>
      <c r="S130">
        <v>5</v>
      </c>
      <c r="T130">
        <v>923.45</v>
      </c>
      <c r="U130" s="2">
        <f t="shared" si="17"/>
        <v>4386.3874999999998</v>
      </c>
      <c r="V130" s="13">
        <v>0.05</v>
      </c>
      <c r="W130" s="2">
        <f t="shared" si="18"/>
        <v>0.05</v>
      </c>
      <c r="X130" s="2" t="str">
        <f t="shared" si="19"/>
        <v>Valid</v>
      </c>
      <c r="Y130" s="2" t="str">
        <f t="shared" si="20"/>
        <v>Clean</v>
      </c>
      <c r="Z130">
        <v>4386.3900000000003</v>
      </c>
      <c r="AA130">
        <v>3366.88</v>
      </c>
      <c r="AB130" s="2">
        <f t="shared" ref="AB130:AB193" si="25">IF(ISNUMBER(U130),U130-AA130,"Invalid")</f>
        <v>1019.5074999999997</v>
      </c>
      <c r="AC130">
        <v>1019.51</v>
      </c>
      <c r="AD130" s="11">
        <f t="shared" si="21"/>
        <v>0.23242575329599052</v>
      </c>
      <c r="AE130" t="s">
        <v>33</v>
      </c>
      <c r="AF130" t="s">
        <v>104</v>
      </c>
    </row>
    <row r="131" spans="1:32">
      <c r="A131" t="s">
        <v>498</v>
      </c>
      <c r="B131" s="2" t="str">
        <f t="shared" si="22"/>
        <v>Unique</v>
      </c>
      <c r="C131" s="2" t="str">
        <f t="shared" ref="C131:C194" si="26">TEXT(E131,"mmm")</f>
        <v>Jul</v>
      </c>
      <c r="D131" s="2">
        <f t="shared" ref="D131:D194" si="27">YEAR(E131)</f>
        <v>2024</v>
      </c>
      <c r="E131" s="4">
        <v>45492</v>
      </c>
      <c r="F131" s="4">
        <v>45498</v>
      </c>
      <c r="G131" s="6">
        <f t="shared" si="23"/>
        <v>6</v>
      </c>
      <c r="H131" s="6" t="str">
        <f t="shared" si="24"/>
        <v>Valid</v>
      </c>
      <c r="I131" t="s">
        <v>499</v>
      </c>
      <c r="J131" t="s">
        <v>48</v>
      </c>
      <c r="K131" t="s">
        <v>38</v>
      </c>
      <c r="L131" t="s">
        <v>64</v>
      </c>
      <c r="M131" t="s">
        <v>191</v>
      </c>
      <c r="O131" t="s">
        <v>29</v>
      </c>
      <c r="P131" t="s">
        <v>154</v>
      </c>
      <c r="Q131" t="s">
        <v>500</v>
      </c>
      <c r="R131" t="s">
        <v>60</v>
      </c>
      <c r="S131">
        <v>7</v>
      </c>
      <c r="T131">
        <v>2741.29</v>
      </c>
      <c r="U131" s="2">
        <f t="shared" ref="U131:U194" si="28">IF(ISNUMBER(W131),S131*T131*(1-W131),"Invalid")</f>
        <v>18229.5785</v>
      </c>
      <c r="V131" s="13">
        <v>0.05</v>
      </c>
      <c r="W131" s="2">
        <f t="shared" ref="W131:W194" si="29">IF(OR(V131&lt;0,V131&gt;1),"Invalid",V131)</f>
        <v>0.05</v>
      </c>
      <c r="X131" s="2" t="str">
        <f t="shared" ref="X131:X194" si="30">IF(OR(V131&lt;0,V131&gt;1),"Invalid","Valid")</f>
        <v>Valid</v>
      </c>
      <c r="Y131" s="2" t="str">
        <f t="shared" ref="Y131:Y194" si="31">IF(AND(H131="Valid",X131="Valid"),"Clean","Invalid")</f>
        <v>Clean</v>
      </c>
      <c r="Z131">
        <v>18229.580000000002</v>
      </c>
      <c r="AA131">
        <v>15139.15</v>
      </c>
      <c r="AB131" s="2">
        <f t="shared" si="25"/>
        <v>3090.4285</v>
      </c>
      <c r="AC131">
        <v>3090.43</v>
      </c>
      <c r="AD131" s="11">
        <f t="shared" ref="AD131:AD194" si="32">AC131/Z131</f>
        <v>0.16952831606652483</v>
      </c>
      <c r="AE131" t="s">
        <v>33</v>
      </c>
      <c r="AF131" t="s">
        <v>34</v>
      </c>
    </row>
    <row r="132" spans="1:32">
      <c r="A132" t="s">
        <v>501</v>
      </c>
      <c r="B132" s="2" t="str">
        <f t="shared" si="22"/>
        <v>Unique</v>
      </c>
      <c r="C132" s="2" t="str">
        <f t="shared" si="26"/>
        <v>Jan</v>
      </c>
      <c r="D132" s="2">
        <f t="shared" si="27"/>
        <v>2024</v>
      </c>
      <c r="E132" s="4">
        <v>45318</v>
      </c>
      <c r="F132" s="4">
        <v>45324</v>
      </c>
      <c r="G132" s="6">
        <f t="shared" si="23"/>
        <v>6</v>
      </c>
      <c r="H132" s="6" t="str">
        <f t="shared" si="24"/>
        <v>Valid</v>
      </c>
      <c r="I132" t="s">
        <v>502</v>
      </c>
      <c r="J132" t="s">
        <v>54</v>
      </c>
      <c r="K132" t="s">
        <v>25</v>
      </c>
      <c r="L132" t="s">
        <v>64</v>
      </c>
      <c r="M132" t="s">
        <v>181</v>
      </c>
      <c r="O132" t="s">
        <v>29</v>
      </c>
      <c r="P132" t="s">
        <v>92</v>
      </c>
      <c r="Q132" t="s">
        <v>503</v>
      </c>
      <c r="R132" t="s">
        <v>45</v>
      </c>
      <c r="S132">
        <v>5</v>
      </c>
      <c r="T132">
        <v>218.42</v>
      </c>
      <c r="U132" s="2">
        <f t="shared" si="28"/>
        <v>873.68</v>
      </c>
      <c r="V132" s="13">
        <v>0.2</v>
      </c>
      <c r="W132" s="2">
        <f t="shared" si="29"/>
        <v>0.2</v>
      </c>
      <c r="X132" s="2" t="str">
        <f t="shared" si="30"/>
        <v>Valid</v>
      </c>
      <c r="Y132" s="2" t="str">
        <f t="shared" si="31"/>
        <v>Clean</v>
      </c>
      <c r="Z132">
        <v>873.68</v>
      </c>
      <c r="AA132">
        <v>661.72</v>
      </c>
      <c r="AB132" s="2">
        <f t="shared" si="25"/>
        <v>211.95999999999992</v>
      </c>
      <c r="AC132">
        <v>211.96</v>
      </c>
      <c r="AD132" s="11">
        <f t="shared" si="32"/>
        <v>0.24260598846259501</v>
      </c>
      <c r="AE132" t="s">
        <v>112</v>
      </c>
      <c r="AF132" t="s">
        <v>69</v>
      </c>
    </row>
    <row r="133" spans="1:32">
      <c r="A133" t="s">
        <v>504</v>
      </c>
      <c r="B133" s="2" t="str">
        <f t="shared" si="22"/>
        <v>Unique</v>
      </c>
      <c r="C133" s="2" t="str">
        <f t="shared" si="26"/>
        <v>Sep</v>
      </c>
      <c r="D133" s="2">
        <f t="shared" si="27"/>
        <v>2025</v>
      </c>
      <c r="E133" s="4">
        <v>45929</v>
      </c>
      <c r="F133" s="4">
        <v>45934</v>
      </c>
      <c r="G133" s="6">
        <f t="shared" si="23"/>
        <v>5</v>
      </c>
      <c r="H133" s="6" t="str">
        <f t="shared" si="24"/>
        <v>Valid</v>
      </c>
      <c r="I133" t="s">
        <v>505</v>
      </c>
      <c r="J133" t="s">
        <v>63</v>
      </c>
      <c r="K133" t="s">
        <v>96</v>
      </c>
      <c r="L133" t="s">
        <v>39</v>
      </c>
      <c r="M133" t="s">
        <v>229</v>
      </c>
      <c r="O133" t="s">
        <v>29</v>
      </c>
      <c r="P133" t="s">
        <v>30</v>
      </c>
      <c r="Q133" t="s">
        <v>506</v>
      </c>
      <c r="R133" t="s">
        <v>45</v>
      </c>
      <c r="S133">
        <v>9</v>
      </c>
      <c r="T133">
        <v>373.91</v>
      </c>
      <c r="U133" s="2">
        <f t="shared" si="28"/>
        <v>2692.152</v>
      </c>
      <c r="V133" s="13">
        <v>0.2</v>
      </c>
      <c r="W133" s="2">
        <f t="shared" si="29"/>
        <v>0.2</v>
      </c>
      <c r="X133" s="2" t="str">
        <f t="shared" si="30"/>
        <v>Valid</v>
      </c>
      <c r="Y133" s="2" t="str">
        <f t="shared" si="31"/>
        <v>Clean</v>
      </c>
      <c r="Z133">
        <v>2692.15</v>
      </c>
      <c r="AA133">
        <v>2044.49</v>
      </c>
      <c r="AB133" s="2">
        <f t="shared" si="25"/>
        <v>647.66200000000003</v>
      </c>
      <c r="AC133">
        <v>647.66</v>
      </c>
      <c r="AD133" s="11">
        <f t="shared" si="32"/>
        <v>0.24057351930613077</v>
      </c>
      <c r="AE133" t="s">
        <v>33</v>
      </c>
      <c r="AF133" t="s">
        <v>34</v>
      </c>
    </row>
    <row r="134" spans="1:32">
      <c r="A134" t="s">
        <v>507</v>
      </c>
      <c r="B134" s="2" t="str">
        <f t="shared" si="22"/>
        <v>Unique</v>
      </c>
      <c r="C134" s="2" t="str">
        <f t="shared" si="26"/>
        <v>Nov</v>
      </c>
      <c r="D134" s="2">
        <f t="shared" si="27"/>
        <v>2024</v>
      </c>
      <c r="E134" s="4">
        <v>45600</v>
      </c>
      <c r="F134" s="4">
        <v>45600</v>
      </c>
      <c r="G134" s="6">
        <f t="shared" si="23"/>
        <v>0</v>
      </c>
      <c r="H134" s="6" t="str">
        <f t="shared" si="24"/>
        <v>Valid</v>
      </c>
      <c r="I134" t="s">
        <v>508</v>
      </c>
      <c r="J134" t="s">
        <v>265</v>
      </c>
      <c r="K134" t="s">
        <v>91</v>
      </c>
      <c r="L134" t="s">
        <v>39</v>
      </c>
      <c r="M134" t="s">
        <v>167</v>
      </c>
      <c r="O134" t="s">
        <v>75</v>
      </c>
      <c r="P134" t="s">
        <v>275</v>
      </c>
      <c r="Q134" t="s">
        <v>509</v>
      </c>
      <c r="R134" t="s">
        <v>51</v>
      </c>
      <c r="S134">
        <v>2</v>
      </c>
      <c r="T134">
        <v>533.08000000000004</v>
      </c>
      <c r="U134" s="2">
        <f t="shared" si="28"/>
        <v>1066.1600000000001</v>
      </c>
      <c r="V134" s="13">
        <v>0</v>
      </c>
      <c r="W134" s="2">
        <f t="shared" si="29"/>
        <v>0</v>
      </c>
      <c r="X134" s="2" t="str">
        <f t="shared" si="30"/>
        <v>Valid</v>
      </c>
      <c r="Y134" s="2" t="str">
        <f t="shared" si="31"/>
        <v>Clean</v>
      </c>
      <c r="Z134">
        <v>1066.1600000000001</v>
      </c>
      <c r="AA134">
        <v>656.3</v>
      </c>
      <c r="AB134" s="2">
        <f t="shared" si="25"/>
        <v>409.86000000000013</v>
      </c>
      <c r="AC134">
        <v>409.86</v>
      </c>
      <c r="AD134" s="11">
        <f t="shared" si="32"/>
        <v>0.38442635251744578</v>
      </c>
      <c r="AE134" t="s">
        <v>156</v>
      </c>
      <c r="AF134" t="s">
        <v>69</v>
      </c>
    </row>
    <row r="135" spans="1:32">
      <c r="A135" t="s">
        <v>510</v>
      </c>
      <c r="B135" s="2" t="str">
        <f t="shared" si="22"/>
        <v>Unique</v>
      </c>
      <c r="C135" s="2" t="str">
        <f t="shared" si="26"/>
        <v>Dec</v>
      </c>
      <c r="D135" s="2">
        <f t="shared" si="27"/>
        <v>2024</v>
      </c>
      <c r="E135" s="4">
        <v>45639</v>
      </c>
      <c r="F135" s="4">
        <v>45644</v>
      </c>
      <c r="G135" s="6">
        <f t="shared" si="23"/>
        <v>5</v>
      </c>
      <c r="H135" s="6" t="str">
        <f t="shared" si="24"/>
        <v>Valid</v>
      </c>
      <c r="I135" t="s">
        <v>511</v>
      </c>
      <c r="J135" t="s">
        <v>24</v>
      </c>
      <c r="K135" t="s">
        <v>25</v>
      </c>
      <c r="L135" t="s">
        <v>64</v>
      </c>
      <c r="M135" t="s">
        <v>191</v>
      </c>
      <c r="O135" t="s">
        <v>75</v>
      </c>
      <c r="P135" t="s">
        <v>172</v>
      </c>
      <c r="Q135" t="s">
        <v>512</v>
      </c>
      <c r="R135" t="s">
        <v>32</v>
      </c>
      <c r="S135">
        <v>8</v>
      </c>
      <c r="T135">
        <v>3372.15</v>
      </c>
      <c r="U135" s="2">
        <f t="shared" si="28"/>
        <v>22930.62</v>
      </c>
      <c r="V135" s="13">
        <v>0.15</v>
      </c>
      <c r="W135" s="2">
        <f t="shared" si="29"/>
        <v>0.15</v>
      </c>
      <c r="X135" s="2" t="str">
        <f t="shared" si="30"/>
        <v>Valid</v>
      </c>
      <c r="Y135" s="2" t="str">
        <f t="shared" si="31"/>
        <v>Clean</v>
      </c>
      <c r="Z135">
        <v>22930.62</v>
      </c>
      <c r="AA135">
        <v>16875.55</v>
      </c>
      <c r="AB135" s="2">
        <f t="shared" si="25"/>
        <v>6055.07</v>
      </c>
      <c r="AC135">
        <v>6055.07</v>
      </c>
      <c r="AD135" s="11">
        <f t="shared" si="32"/>
        <v>0.26406045715292475</v>
      </c>
      <c r="AE135" t="s">
        <v>33</v>
      </c>
      <c r="AF135" t="s">
        <v>34</v>
      </c>
    </row>
    <row r="136" spans="1:32">
      <c r="A136" t="s">
        <v>513</v>
      </c>
      <c r="B136" s="2" t="str">
        <f t="shared" si="22"/>
        <v>Unique</v>
      </c>
      <c r="C136" s="2" t="str">
        <f t="shared" si="26"/>
        <v>Jul</v>
      </c>
      <c r="D136" s="2">
        <f t="shared" si="27"/>
        <v>2025</v>
      </c>
      <c r="E136" s="4">
        <v>45852</v>
      </c>
      <c r="F136" s="4">
        <v>45852</v>
      </c>
      <c r="G136" s="6">
        <f t="shared" si="23"/>
        <v>0</v>
      </c>
      <c r="H136" s="6" t="str">
        <f t="shared" si="24"/>
        <v>Valid</v>
      </c>
      <c r="I136" t="s">
        <v>514</v>
      </c>
      <c r="J136" t="s">
        <v>72</v>
      </c>
      <c r="K136" t="s">
        <v>96</v>
      </c>
      <c r="L136" t="s">
        <v>39</v>
      </c>
      <c r="M136" t="s">
        <v>100</v>
      </c>
      <c r="O136" t="s">
        <v>42</v>
      </c>
      <c r="P136" t="s">
        <v>159</v>
      </c>
      <c r="Q136" t="s">
        <v>515</v>
      </c>
      <c r="R136" s="2" t="s">
        <v>2793</v>
      </c>
      <c r="S136">
        <v>5</v>
      </c>
      <c r="T136">
        <v>383.1</v>
      </c>
      <c r="U136" s="2">
        <f t="shared" si="28"/>
        <v>1436.625</v>
      </c>
      <c r="V136" s="13">
        <v>0.25</v>
      </c>
      <c r="W136" s="2">
        <f t="shared" si="29"/>
        <v>0.25</v>
      </c>
      <c r="X136" s="2" t="str">
        <f t="shared" si="30"/>
        <v>Valid</v>
      </c>
      <c r="Y136" s="2" t="str">
        <f t="shared" si="31"/>
        <v>Clean</v>
      </c>
      <c r="Z136">
        <v>1436.62</v>
      </c>
      <c r="AA136">
        <v>912.52</v>
      </c>
      <c r="AB136" s="2">
        <f t="shared" si="25"/>
        <v>524.10500000000002</v>
      </c>
      <c r="AC136">
        <v>524.1</v>
      </c>
      <c r="AD136" s="11">
        <f t="shared" si="32"/>
        <v>0.36481463435007172</v>
      </c>
      <c r="AE136" t="s">
        <v>112</v>
      </c>
      <c r="AF136" t="s">
        <v>69</v>
      </c>
    </row>
    <row r="137" spans="1:32">
      <c r="A137" t="s">
        <v>516</v>
      </c>
      <c r="B137" s="2" t="str">
        <f t="shared" si="22"/>
        <v>Unique</v>
      </c>
      <c r="C137" s="2" t="str">
        <f t="shared" si="26"/>
        <v>Aug</v>
      </c>
      <c r="D137" s="2">
        <f t="shared" si="27"/>
        <v>2025</v>
      </c>
      <c r="E137" s="4">
        <v>45893</v>
      </c>
      <c r="F137" s="4">
        <v>45893</v>
      </c>
      <c r="G137" s="6">
        <f t="shared" si="23"/>
        <v>0</v>
      </c>
      <c r="H137" s="6" t="str">
        <f t="shared" si="24"/>
        <v>Valid</v>
      </c>
      <c r="I137" t="s">
        <v>517</v>
      </c>
      <c r="J137" t="s">
        <v>163</v>
      </c>
      <c r="K137" t="s">
        <v>38</v>
      </c>
      <c r="L137" t="s">
        <v>55</v>
      </c>
      <c r="M137" t="s">
        <v>186</v>
      </c>
      <c r="O137" t="s">
        <v>42</v>
      </c>
      <c r="P137" t="s">
        <v>159</v>
      </c>
      <c r="Q137" t="s">
        <v>518</v>
      </c>
      <c r="R137" t="s">
        <v>60</v>
      </c>
      <c r="S137">
        <v>1</v>
      </c>
      <c r="T137">
        <v>3424.78</v>
      </c>
      <c r="U137" s="2">
        <f t="shared" si="28"/>
        <v>3424.78</v>
      </c>
      <c r="V137" s="13">
        <v>0</v>
      </c>
      <c r="W137" s="2">
        <f t="shared" si="29"/>
        <v>0</v>
      </c>
      <c r="X137" s="2" t="str">
        <f t="shared" si="30"/>
        <v>Valid</v>
      </c>
      <c r="Y137" s="2" t="str">
        <f t="shared" si="31"/>
        <v>Clean</v>
      </c>
      <c r="Z137">
        <v>3424.78</v>
      </c>
      <c r="AA137">
        <v>1951.45</v>
      </c>
      <c r="AB137" s="2">
        <f t="shared" si="25"/>
        <v>1473.3300000000002</v>
      </c>
      <c r="AC137">
        <v>1473.33</v>
      </c>
      <c r="AD137" s="11">
        <f t="shared" si="32"/>
        <v>0.43019697615613262</v>
      </c>
      <c r="AE137" t="s">
        <v>33</v>
      </c>
      <c r="AF137" t="s">
        <v>34</v>
      </c>
    </row>
    <row r="138" spans="1:32">
      <c r="A138" t="s">
        <v>519</v>
      </c>
      <c r="B138" s="2" t="str">
        <f t="shared" si="22"/>
        <v>Unique</v>
      </c>
      <c r="C138" s="2" t="str">
        <f t="shared" si="26"/>
        <v>Feb</v>
      </c>
      <c r="D138" s="2">
        <f t="shared" si="27"/>
        <v>2025</v>
      </c>
      <c r="E138" s="4">
        <v>45697</v>
      </c>
      <c r="F138" s="4">
        <v>45703</v>
      </c>
      <c r="G138" s="6">
        <f t="shared" si="23"/>
        <v>6</v>
      </c>
      <c r="H138" s="6" t="str">
        <f t="shared" si="24"/>
        <v>Valid</v>
      </c>
      <c r="I138" t="s">
        <v>520</v>
      </c>
      <c r="J138" t="s">
        <v>37</v>
      </c>
      <c r="K138" t="s">
        <v>96</v>
      </c>
      <c r="L138" t="s">
        <v>39</v>
      </c>
      <c r="M138" t="s">
        <v>229</v>
      </c>
      <c r="O138" t="s">
        <v>29</v>
      </c>
      <c r="P138" t="s">
        <v>154</v>
      </c>
      <c r="Q138" t="s">
        <v>521</v>
      </c>
      <c r="R138" t="s">
        <v>60</v>
      </c>
      <c r="S138">
        <v>9</v>
      </c>
      <c r="T138">
        <v>4330.33</v>
      </c>
      <c r="U138" s="2">
        <f t="shared" si="28"/>
        <v>31178.376000000004</v>
      </c>
      <c r="V138" s="13">
        <v>0.2</v>
      </c>
      <c r="W138" s="2">
        <f t="shared" si="29"/>
        <v>0.2</v>
      </c>
      <c r="X138" s="2" t="str">
        <f t="shared" si="30"/>
        <v>Valid</v>
      </c>
      <c r="Y138" s="2" t="str">
        <f t="shared" si="31"/>
        <v>Clean</v>
      </c>
      <c r="Z138">
        <v>31178.38</v>
      </c>
      <c r="AA138">
        <v>21421.09</v>
      </c>
      <c r="AB138" s="2">
        <f t="shared" si="25"/>
        <v>9757.2860000000037</v>
      </c>
      <c r="AC138">
        <v>9757.2900000000009</v>
      </c>
      <c r="AD138" s="11">
        <f t="shared" si="32"/>
        <v>0.31295051250257394</v>
      </c>
      <c r="AE138" t="s">
        <v>33</v>
      </c>
      <c r="AF138" t="s">
        <v>34</v>
      </c>
    </row>
    <row r="139" spans="1:32">
      <c r="A139" t="s">
        <v>522</v>
      </c>
      <c r="B139" s="2" t="str">
        <f t="shared" si="22"/>
        <v>Unique</v>
      </c>
      <c r="C139" s="2" t="str">
        <f t="shared" si="26"/>
        <v>Jan</v>
      </c>
      <c r="D139" s="2">
        <f t="shared" si="27"/>
        <v>2025</v>
      </c>
      <c r="E139" s="4">
        <v>45666</v>
      </c>
      <c r="F139" s="4">
        <v>45666</v>
      </c>
      <c r="G139" s="6">
        <f t="shared" si="23"/>
        <v>0</v>
      </c>
      <c r="H139" s="6" t="str">
        <f t="shared" si="24"/>
        <v>Valid</v>
      </c>
      <c r="I139" t="s">
        <v>523</v>
      </c>
      <c r="J139" t="s">
        <v>133</v>
      </c>
      <c r="K139" t="s">
        <v>38</v>
      </c>
      <c r="L139" t="s">
        <v>26</v>
      </c>
      <c r="M139" t="s">
        <v>27</v>
      </c>
      <c r="O139" t="s">
        <v>42</v>
      </c>
      <c r="P139" t="s">
        <v>67</v>
      </c>
      <c r="Q139" t="s">
        <v>524</v>
      </c>
      <c r="R139" t="s">
        <v>45</v>
      </c>
      <c r="S139">
        <v>8</v>
      </c>
      <c r="T139">
        <v>2667.07</v>
      </c>
      <c r="U139" s="2">
        <f t="shared" si="28"/>
        <v>19202.904000000002</v>
      </c>
      <c r="V139" s="13">
        <v>0.1</v>
      </c>
      <c r="W139" s="2">
        <f t="shared" si="29"/>
        <v>0.1</v>
      </c>
      <c r="X139" s="2" t="str">
        <f t="shared" si="30"/>
        <v>Valid</v>
      </c>
      <c r="Y139" s="2" t="str">
        <f t="shared" si="31"/>
        <v>Clean</v>
      </c>
      <c r="Z139">
        <v>19202.900000000001</v>
      </c>
      <c r="AA139">
        <v>15526.62</v>
      </c>
      <c r="AB139" s="2">
        <f t="shared" si="25"/>
        <v>3676.2840000000015</v>
      </c>
      <c r="AC139">
        <v>3676.28</v>
      </c>
      <c r="AD139" s="11">
        <f t="shared" si="32"/>
        <v>0.1914440006457358</v>
      </c>
      <c r="AE139" t="s">
        <v>33</v>
      </c>
      <c r="AF139" t="s">
        <v>34</v>
      </c>
    </row>
    <row r="140" spans="1:32">
      <c r="A140" t="s">
        <v>525</v>
      </c>
      <c r="B140" s="2" t="str">
        <f t="shared" si="22"/>
        <v>Unique</v>
      </c>
      <c r="C140" s="2" t="str">
        <f t="shared" si="26"/>
        <v>Jan</v>
      </c>
      <c r="D140" s="2">
        <f t="shared" si="27"/>
        <v>2024</v>
      </c>
      <c r="E140" s="4">
        <v>45311</v>
      </c>
      <c r="F140" s="4">
        <v>45317</v>
      </c>
      <c r="G140" s="6">
        <f t="shared" si="23"/>
        <v>6</v>
      </c>
      <c r="H140" s="6" t="str">
        <f t="shared" si="24"/>
        <v>Valid</v>
      </c>
      <c r="I140" t="s">
        <v>526</v>
      </c>
      <c r="J140" t="s">
        <v>163</v>
      </c>
      <c r="K140" t="s">
        <v>96</v>
      </c>
      <c r="L140" t="s">
        <v>39</v>
      </c>
      <c r="M140" t="s">
        <v>229</v>
      </c>
      <c r="O140" t="s">
        <v>75</v>
      </c>
      <c r="P140" t="s">
        <v>275</v>
      </c>
      <c r="Q140" t="s">
        <v>527</v>
      </c>
      <c r="R140" t="s">
        <v>60</v>
      </c>
      <c r="S140">
        <v>8</v>
      </c>
      <c r="T140">
        <v>4003.05</v>
      </c>
      <c r="U140" s="2">
        <f t="shared" si="28"/>
        <v>24018.300000000003</v>
      </c>
      <c r="V140" s="13">
        <v>0.25</v>
      </c>
      <c r="W140" s="2">
        <f t="shared" si="29"/>
        <v>0.25</v>
      </c>
      <c r="X140" s="2" t="str">
        <f t="shared" si="30"/>
        <v>Valid</v>
      </c>
      <c r="Y140" s="2" t="str">
        <f t="shared" si="31"/>
        <v>Clean</v>
      </c>
      <c r="Z140">
        <v>24018.3</v>
      </c>
      <c r="AA140">
        <v>14070.78</v>
      </c>
      <c r="AB140" s="2">
        <f t="shared" si="25"/>
        <v>9947.5200000000023</v>
      </c>
      <c r="AC140">
        <v>9947.52</v>
      </c>
      <c r="AD140" s="11">
        <f t="shared" si="32"/>
        <v>0.41416419979765434</v>
      </c>
      <c r="AE140" t="s">
        <v>33</v>
      </c>
      <c r="AF140" t="s">
        <v>34</v>
      </c>
    </row>
    <row r="141" spans="1:32">
      <c r="A141" t="s">
        <v>528</v>
      </c>
      <c r="B141" s="2" t="str">
        <f t="shared" si="22"/>
        <v>Unique</v>
      </c>
      <c r="C141" s="2" t="str">
        <f t="shared" si="26"/>
        <v>Mar</v>
      </c>
      <c r="D141" s="2">
        <f t="shared" si="27"/>
        <v>2025</v>
      </c>
      <c r="E141" s="4">
        <v>45718</v>
      </c>
      <c r="F141" s="4">
        <v>45723</v>
      </c>
      <c r="G141" s="6">
        <f t="shared" si="23"/>
        <v>5</v>
      </c>
      <c r="H141" s="6" t="str">
        <f t="shared" si="24"/>
        <v>Valid</v>
      </c>
      <c r="I141" t="s">
        <v>529</v>
      </c>
      <c r="J141" t="s">
        <v>80</v>
      </c>
      <c r="K141" t="s">
        <v>96</v>
      </c>
      <c r="L141" t="s">
        <v>55</v>
      </c>
      <c r="M141" t="s">
        <v>176</v>
      </c>
      <c r="O141" t="s">
        <v>29</v>
      </c>
      <c r="P141" t="s">
        <v>92</v>
      </c>
      <c r="Q141" t="s">
        <v>530</v>
      </c>
      <c r="R141" t="s">
        <v>60</v>
      </c>
      <c r="S141">
        <v>8</v>
      </c>
      <c r="T141">
        <v>1287.6300000000001</v>
      </c>
      <c r="U141" s="2">
        <f t="shared" si="28"/>
        <v>10301.040000000001</v>
      </c>
      <c r="V141" s="13">
        <v>0</v>
      </c>
      <c r="W141" s="2">
        <f t="shared" si="29"/>
        <v>0</v>
      </c>
      <c r="X141" s="2" t="str">
        <f t="shared" si="30"/>
        <v>Valid</v>
      </c>
      <c r="Y141" s="2" t="str">
        <f t="shared" si="31"/>
        <v>Clean</v>
      </c>
      <c r="Z141">
        <v>10301.040000000001</v>
      </c>
      <c r="AA141">
        <v>6564.06</v>
      </c>
      <c r="AB141" s="2">
        <f t="shared" si="25"/>
        <v>3736.9800000000005</v>
      </c>
      <c r="AC141">
        <v>3736.98</v>
      </c>
      <c r="AD141" s="11">
        <f t="shared" si="32"/>
        <v>0.36277696232613404</v>
      </c>
      <c r="AE141" t="s">
        <v>33</v>
      </c>
      <c r="AF141" t="s">
        <v>34</v>
      </c>
    </row>
    <row r="142" spans="1:32">
      <c r="A142" t="s">
        <v>531</v>
      </c>
      <c r="B142" s="2" t="str">
        <f t="shared" si="22"/>
        <v>Unique</v>
      </c>
      <c r="C142" s="2" t="str">
        <f t="shared" si="26"/>
        <v>May</v>
      </c>
      <c r="D142" s="2">
        <f t="shared" si="27"/>
        <v>2024</v>
      </c>
      <c r="E142" s="4">
        <v>45443</v>
      </c>
      <c r="F142" s="4">
        <v>45444</v>
      </c>
      <c r="G142" s="6">
        <f t="shared" si="23"/>
        <v>1</v>
      </c>
      <c r="H142" s="6" t="str">
        <f t="shared" si="24"/>
        <v>Valid</v>
      </c>
      <c r="I142" t="s">
        <v>532</v>
      </c>
      <c r="J142" t="s">
        <v>37</v>
      </c>
      <c r="K142" t="s">
        <v>91</v>
      </c>
      <c r="L142" t="s">
        <v>55</v>
      </c>
      <c r="M142" t="s">
        <v>176</v>
      </c>
      <c r="O142" t="s">
        <v>42</v>
      </c>
      <c r="P142" t="s">
        <v>159</v>
      </c>
      <c r="Q142" t="s">
        <v>533</v>
      </c>
      <c r="R142" t="s">
        <v>45</v>
      </c>
      <c r="S142">
        <v>3</v>
      </c>
      <c r="T142">
        <v>2914.55</v>
      </c>
      <c r="U142" s="2">
        <f t="shared" si="28"/>
        <v>8743.6500000000015</v>
      </c>
      <c r="V142" s="13">
        <v>0</v>
      </c>
      <c r="W142" s="2">
        <f t="shared" si="29"/>
        <v>0</v>
      </c>
      <c r="X142" s="2" t="str">
        <f t="shared" si="30"/>
        <v>Valid</v>
      </c>
      <c r="Y142" s="2" t="str">
        <f t="shared" si="31"/>
        <v>Clean</v>
      </c>
      <c r="Z142">
        <v>8743.65</v>
      </c>
      <c r="AA142">
        <v>6603.76</v>
      </c>
      <c r="AB142" s="2">
        <f t="shared" si="25"/>
        <v>2139.8900000000012</v>
      </c>
      <c r="AC142">
        <v>2139.89</v>
      </c>
      <c r="AD142" s="11">
        <f t="shared" si="32"/>
        <v>0.24473646589239048</v>
      </c>
      <c r="AE142" t="s">
        <v>33</v>
      </c>
      <c r="AF142" t="s">
        <v>34</v>
      </c>
    </row>
    <row r="143" spans="1:32">
      <c r="A143" t="s">
        <v>534</v>
      </c>
      <c r="B143" s="2" t="str">
        <f t="shared" si="22"/>
        <v>Unique</v>
      </c>
      <c r="C143" s="2" t="str">
        <f t="shared" si="26"/>
        <v>Mar</v>
      </c>
      <c r="D143" s="2">
        <f t="shared" si="27"/>
        <v>2024</v>
      </c>
      <c r="E143" s="4">
        <v>45374</v>
      </c>
      <c r="F143" s="4">
        <v>45380</v>
      </c>
      <c r="G143" s="6">
        <f t="shared" si="23"/>
        <v>6</v>
      </c>
      <c r="H143" s="6" t="str">
        <f t="shared" si="24"/>
        <v>Valid</v>
      </c>
      <c r="I143" t="s">
        <v>535</v>
      </c>
      <c r="J143" t="s">
        <v>115</v>
      </c>
      <c r="K143" t="s">
        <v>91</v>
      </c>
      <c r="L143" t="s">
        <v>26</v>
      </c>
      <c r="M143" t="s">
        <v>351</v>
      </c>
      <c r="O143" t="s">
        <v>42</v>
      </c>
      <c r="P143" t="s">
        <v>159</v>
      </c>
      <c r="Q143" t="s">
        <v>536</v>
      </c>
      <c r="R143" t="s">
        <v>45</v>
      </c>
      <c r="S143">
        <v>7</v>
      </c>
      <c r="T143">
        <v>634.29</v>
      </c>
      <c r="U143" s="2">
        <f t="shared" si="28"/>
        <v>3996.027</v>
      </c>
      <c r="V143" s="13">
        <v>0.1</v>
      </c>
      <c r="W143" s="2">
        <f t="shared" si="29"/>
        <v>0.1</v>
      </c>
      <c r="X143" s="2" t="str">
        <f t="shared" si="30"/>
        <v>Valid</v>
      </c>
      <c r="Y143" s="2" t="str">
        <f t="shared" si="31"/>
        <v>Clean</v>
      </c>
      <c r="Z143">
        <v>3996.03</v>
      </c>
      <c r="AA143">
        <v>2859.51</v>
      </c>
      <c r="AB143" s="2">
        <f t="shared" si="25"/>
        <v>1136.5169999999998</v>
      </c>
      <c r="AC143">
        <v>1136.52</v>
      </c>
      <c r="AD143" s="11">
        <f t="shared" si="32"/>
        <v>0.28441227918709316</v>
      </c>
      <c r="AE143" t="s">
        <v>33</v>
      </c>
      <c r="AF143" t="s">
        <v>104</v>
      </c>
    </row>
    <row r="144" spans="1:32">
      <c r="A144" t="s">
        <v>537</v>
      </c>
      <c r="B144" s="2" t="str">
        <f t="shared" si="22"/>
        <v>Duplicate Order ID</v>
      </c>
      <c r="C144" s="2" t="str">
        <f t="shared" si="26"/>
        <v>Mar</v>
      </c>
      <c r="D144" s="2">
        <f t="shared" si="27"/>
        <v>2024</v>
      </c>
      <c r="E144" s="4">
        <v>45381</v>
      </c>
      <c r="F144" s="4">
        <v>45377</v>
      </c>
      <c r="G144" s="6">
        <f t="shared" si="23"/>
        <v>-4</v>
      </c>
      <c r="H144" s="6" t="str">
        <f t="shared" si="24"/>
        <v>Invalid: Ship Date Before Order Date</v>
      </c>
      <c r="I144" t="s">
        <v>538</v>
      </c>
      <c r="J144" t="s">
        <v>90</v>
      </c>
      <c r="K144" t="s">
        <v>96</v>
      </c>
      <c r="L144" t="s">
        <v>26</v>
      </c>
      <c r="M144" t="s">
        <v>27</v>
      </c>
      <c r="O144" t="s">
        <v>75</v>
      </c>
      <c r="P144" t="s">
        <v>172</v>
      </c>
      <c r="Q144" t="s">
        <v>539</v>
      </c>
      <c r="R144" t="s">
        <v>32</v>
      </c>
      <c r="S144">
        <v>5</v>
      </c>
      <c r="T144">
        <v>907.54</v>
      </c>
      <c r="U144" s="2">
        <f t="shared" si="28"/>
        <v>3857.0449999999996</v>
      </c>
      <c r="V144" s="13">
        <v>0.15</v>
      </c>
      <c r="W144" s="2">
        <f t="shared" si="29"/>
        <v>0.15</v>
      </c>
      <c r="X144" s="2" t="str">
        <f t="shared" si="30"/>
        <v>Valid</v>
      </c>
      <c r="Y144" s="2" t="str">
        <f t="shared" si="31"/>
        <v>Invalid</v>
      </c>
      <c r="Z144">
        <v>3857.04</v>
      </c>
      <c r="AA144">
        <v>2769.26</v>
      </c>
      <c r="AB144" s="2">
        <f t="shared" si="25"/>
        <v>1087.7849999999994</v>
      </c>
      <c r="AC144">
        <v>1087.78</v>
      </c>
      <c r="AD144" s="11">
        <f t="shared" si="32"/>
        <v>0.28202455769190882</v>
      </c>
      <c r="AE144" t="s">
        <v>33</v>
      </c>
      <c r="AF144" t="s">
        <v>34</v>
      </c>
    </row>
    <row r="145" spans="1:32">
      <c r="A145" t="s">
        <v>540</v>
      </c>
      <c r="B145" s="2" t="str">
        <f t="shared" si="22"/>
        <v>Unique</v>
      </c>
      <c r="C145" s="2" t="str">
        <f t="shared" si="26"/>
        <v>Mar</v>
      </c>
      <c r="D145" s="2">
        <f t="shared" si="27"/>
        <v>2024</v>
      </c>
      <c r="E145" s="4">
        <v>45375</v>
      </c>
      <c r="F145" s="4">
        <v>45377</v>
      </c>
      <c r="G145" s="6">
        <f t="shared" si="23"/>
        <v>2</v>
      </c>
      <c r="H145" s="6" t="str">
        <f t="shared" si="24"/>
        <v>Valid</v>
      </c>
      <c r="I145" t="s">
        <v>541</v>
      </c>
      <c r="J145" t="s">
        <v>115</v>
      </c>
      <c r="K145" t="s">
        <v>25</v>
      </c>
      <c r="L145" t="s">
        <v>64</v>
      </c>
      <c r="M145" t="s">
        <v>181</v>
      </c>
      <c r="O145" t="s">
        <v>29</v>
      </c>
      <c r="P145" t="s">
        <v>30</v>
      </c>
      <c r="Q145" t="s">
        <v>542</v>
      </c>
      <c r="R145" t="s">
        <v>32</v>
      </c>
      <c r="S145">
        <v>1</v>
      </c>
      <c r="T145">
        <v>3409.5</v>
      </c>
      <c r="U145" s="2">
        <f t="shared" si="28"/>
        <v>3068.55</v>
      </c>
      <c r="V145" s="13">
        <v>0.1</v>
      </c>
      <c r="W145" s="2">
        <f t="shared" si="29"/>
        <v>0.1</v>
      </c>
      <c r="X145" s="2" t="str">
        <f t="shared" si="30"/>
        <v>Valid</v>
      </c>
      <c r="Y145" s="2" t="str">
        <f t="shared" si="31"/>
        <v>Clean</v>
      </c>
      <c r="Z145">
        <v>3068.55</v>
      </c>
      <c r="AA145">
        <v>1916.16</v>
      </c>
      <c r="AB145" s="2">
        <f t="shared" si="25"/>
        <v>1152.3900000000001</v>
      </c>
      <c r="AC145">
        <v>1152.3900000000001</v>
      </c>
      <c r="AD145" s="11">
        <f t="shared" si="32"/>
        <v>0.3755487119323459</v>
      </c>
      <c r="AE145" t="s">
        <v>33</v>
      </c>
      <c r="AF145" t="s">
        <v>104</v>
      </c>
    </row>
    <row r="146" spans="1:32">
      <c r="A146" t="s">
        <v>543</v>
      </c>
      <c r="B146" s="2" t="str">
        <f t="shared" si="22"/>
        <v>Unique</v>
      </c>
      <c r="C146" s="2" t="str">
        <f t="shared" si="26"/>
        <v>Jun</v>
      </c>
      <c r="D146" s="2">
        <f t="shared" si="27"/>
        <v>2024</v>
      </c>
      <c r="E146" s="4">
        <v>45450</v>
      </c>
      <c r="F146" s="4">
        <v>45458</v>
      </c>
      <c r="G146" s="6">
        <f t="shared" si="23"/>
        <v>8</v>
      </c>
      <c r="H146" s="6" t="str">
        <f t="shared" si="24"/>
        <v>Valid</v>
      </c>
      <c r="I146" t="s">
        <v>544</v>
      </c>
      <c r="J146" t="s">
        <v>265</v>
      </c>
      <c r="K146" t="s">
        <v>38</v>
      </c>
      <c r="L146" t="s">
        <v>55</v>
      </c>
      <c r="M146" t="s">
        <v>56</v>
      </c>
      <c r="O146" t="s">
        <v>75</v>
      </c>
      <c r="P146" t="s">
        <v>76</v>
      </c>
      <c r="Q146" t="s">
        <v>545</v>
      </c>
      <c r="R146" t="s">
        <v>51</v>
      </c>
      <c r="S146">
        <v>7</v>
      </c>
      <c r="T146">
        <v>2147.9899999999998</v>
      </c>
      <c r="U146" s="2">
        <f t="shared" si="28"/>
        <v>11276.947499999998</v>
      </c>
      <c r="V146" s="13">
        <v>0.25</v>
      </c>
      <c r="W146" s="2">
        <f t="shared" si="29"/>
        <v>0.25</v>
      </c>
      <c r="X146" s="2" t="str">
        <f t="shared" si="30"/>
        <v>Valid</v>
      </c>
      <c r="Y146" s="2" t="str">
        <f t="shared" si="31"/>
        <v>Clean</v>
      </c>
      <c r="Z146">
        <v>11276.95</v>
      </c>
      <c r="AA146">
        <v>6908.76</v>
      </c>
      <c r="AB146" s="2">
        <f t="shared" si="25"/>
        <v>4368.1874999999982</v>
      </c>
      <c r="AC146">
        <v>4368.1899999999996</v>
      </c>
      <c r="AD146" s="11">
        <f t="shared" si="32"/>
        <v>0.38735562363937054</v>
      </c>
      <c r="AE146" t="s">
        <v>103</v>
      </c>
      <c r="AF146" t="s">
        <v>104</v>
      </c>
    </row>
    <row r="147" spans="1:32">
      <c r="A147" t="s">
        <v>546</v>
      </c>
      <c r="B147" s="2" t="str">
        <f t="shared" si="22"/>
        <v>Unique</v>
      </c>
      <c r="C147" s="2" t="str">
        <f t="shared" si="26"/>
        <v>Apr</v>
      </c>
      <c r="D147" s="2">
        <f t="shared" si="27"/>
        <v>2025</v>
      </c>
      <c r="E147" s="4">
        <v>45758</v>
      </c>
      <c r="F147" s="4">
        <v>45760</v>
      </c>
      <c r="G147" s="6">
        <f t="shared" si="23"/>
        <v>2</v>
      </c>
      <c r="H147" s="6" t="str">
        <f t="shared" si="24"/>
        <v>Valid</v>
      </c>
      <c r="I147" t="s">
        <v>547</v>
      </c>
      <c r="J147" t="s">
        <v>37</v>
      </c>
      <c r="K147" t="s">
        <v>38</v>
      </c>
      <c r="L147" t="s">
        <v>64</v>
      </c>
      <c r="M147" t="s">
        <v>191</v>
      </c>
      <c r="O147" t="s">
        <v>29</v>
      </c>
      <c r="P147" t="s">
        <v>30</v>
      </c>
      <c r="Q147" t="s">
        <v>548</v>
      </c>
      <c r="R147" t="s">
        <v>60</v>
      </c>
      <c r="S147">
        <v>4</v>
      </c>
      <c r="T147">
        <v>4182.1499999999996</v>
      </c>
      <c r="U147" s="2">
        <f t="shared" si="28"/>
        <v>15055.74</v>
      </c>
      <c r="V147" s="13">
        <v>0.1</v>
      </c>
      <c r="W147" s="2">
        <f t="shared" si="29"/>
        <v>0.1</v>
      </c>
      <c r="X147" s="2" t="str">
        <f t="shared" si="30"/>
        <v>Valid</v>
      </c>
      <c r="Y147" s="2" t="str">
        <f t="shared" si="31"/>
        <v>Clean</v>
      </c>
      <c r="Z147">
        <v>15055.74</v>
      </c>
      <c r="AA147">
        <v>9808.83</v>
      </c>
      <c r="AB147" s="2">
        <f t="shared" si="25"/>
        <v>5246.91</v>
      </c>
      <c r="AC147">
        <v>5246.91</v>
      </c>
      <c r="AD147" s="11">
        <f t="shared" si="32"/>
        <v>0.34849897779850075</v>
      </c>
      <c r="AE147" t="s">
        <v>33</v>
      </c>
      <c r="AF147" t="s">
        <v>34</v>
      </c>
    </row>
    <row r="148" spans="1:32">
      <c r="A148" t="s">
        <v>549</v>
      </c>
      <c r="B148" s="2" t="str">
        <f t="shared" si="22"/>
        <v>Unique</v>
      </c>
      <c r="C148" s="2" t="str">
        <f t="shared" si="26"/>
        <v>Jul</v>
      </c>
      <c r="D148" s="2">
        <f t="shared" si="27"/>
        <v>2025</v>
      </c>
      <c r="E148" s="4">
        <v>45868</v>
      </c>
      <c r="F148" s="4">
        <v>45870</v>
      </c>
      <c r="G148" s="6">
        <f t="shared" si="23"/>
        <v>2</v>
      </c>
      <c r="H148" s="6" t="str">
        <f t="shared" si="24"/>
        <v>Valid</v>
      </c>
      <c r="I148" t="s">
        <v>550</v>
      </c>
      <c r="J148" t="s">
        <v>133</v>
      </c>
      <c r="K148" t="s">
        <v>38</v>
      </c>
      <c r="L148" t="s">
        <v>55</v>
      </c>
      <c r="M148" t="s">
        <v>248</v>
      </c>
      <c r="O148" t="s">
        <v>29</v>
      </c>
      <c r="P148" t="s">
        <v>125</v>
      </c>
      <c r="Q148" t="s">
        <v>551</v>
      </c>
      <c r="R148" t="s">
        <v>45</v>
      </c>
      <c r="S148">
        <v>9</v>
      </c>
      <c r="T148">
        <v>3165.43</v>
      </c>
      <c r="U148" s="2">
        <f t="shared" si="28"/>
        <v>25639.983</v>
      </c>
      <c r="V148" s="13">
        <v>0.1</v>
      </c>
      <c r="W148" s="2">
        <f t="shared" si="29"/>
        <v>0.1</v>
      </c>
      <c r="X148" s="2" t="str">
        <f t="shared" si="30"/>
        <v>Valid</v>
      </c>
      <c r="Y148" s="2" t="str">
        <f t="shared" si="31"/>
        <v>Clean</v>
      </c>
      <c r="Z148">
        <v>25639.98</v>
      </c>
      <c r="AA148">
        <v>21635.08</v>
      </c>
      <c r="AB148" s="2">
        <f t="shared" si="25"/>
        <v>4004.9029999999984</v>
      </c>
      <c r="AC148">
        <v>4004.9</v>
      </c>
      <c r="AD148" s="11">
        <f t="shared" si="32"/>
        <v>0.1561974697328157</v>
      </c>
      <c r="AE148" t="s">
        <v>33</v>
      </c>
      <c r="AF148" t="s">
        <v>34</v>
      </c>
    </row>
    <row r="149" spans="1:32">
      <c r="A149" t="s">
        <v>552</v>
      </c>
      <c r="B149" s="2" t="str">
        <f t="shared" si="22"/>
        <v>Unique</v>
      </c>
      <c r="C149" s="2" t="str">
        <f t="shared" si="26"/>
        <v>Dec</v>
      </c>
      <c r="D149" s="2">
        <f t="shared" si="27"/>
        <v>2024</v>
      </c>
      <c r="E149" s="4">
        <v>45649</v>
      </c>
      <c r="F149" s="4">
        <v>45656</v>
      </c>
      <c r="G149" s="6">
        <f t="shared" si="23"/>
        <v>7</v>
      </c>
      <c r="H149" s="6" t="str">
        <f t="shared" si="24"/>
        <v>Valid</v>
      </c>
      <c r="I149" t="s">
        <v>553</v>
      </c>
      <c r="J149" t="s">
        <v>115</v>
      </c>
      <c r="K149" t="s">
        <v>96</v>
      </c>
      <c r="L149" t="s">
        <v>64</v>
      </c>
      <c r="M149" t="s">
        <v>191</v>
      </c>
      <c r="O149" t="s">
        <v>42</v>
      </c>
      <c r="P149" t="s">
        <v>58</v>
      </c>
      <c r="Q149" t="s">
        <v>554</v>
      </c>
      <c r="R149" t="s">
        <v>51</v>
      </c>
      <c r="S149">
        <v>8</v>
      </c>
      <c r="T149">
        <v>386.1</v>
      </c>
      <c r="U149" s="2">
        <f t="shared" si="28"/>
        <v>2779.92</v>
      </c>
      <c r="V149" s="13">
        <v>0.1</v>
      </c>
      <c r="W149" s="2">
        <f t="shared" si="29"/>
        <v>0.1</v>
      </c>
      <c r="X149" s="2" t="str">
        <f t="shared" si="30"/>
        <v>Valid</v>
      </c>
      <c r="Y149" s="2" t="str">
        <f t="shared" si="31"/>
        <v>Clean</v>
      </c>
      <c r="Z149">
        <v>2779.92</v>
      </c>
      <c r="AA149">
        <v>1744.05</v>
      </c>
      <c r="AB149" s="2">
        <f t="shared" si="25"/>
        <v>1035.8700000000001</v>
      </c>
      <c r="AC149">
        <v>1035.8699999999999</v>
      </c>
      <c r="AD149" s="11">
        <f t="shared" si="32"/>
        <v>0.37262583095916424</v>
      </c>
      <c r="AE149" t="s">
        <v>33</v>
      </c>
      <c r="AF149" t="s">
        <v>34</v>
      </c>
    </row>
    <row r="150" spans="1:32">
      <c r="A150" t="s">
        <v>555</v>
      </c>
      <c r="B150" s="2" t="str">
        <f t="shared" si="22"/>
        <v>Unique</v>
      </c>
      <c r="C150" s="2" t="str">
        <f t="shared" si="26"/>
        <v>Feb</v>
      </c>
      <c r="D150" s="2">
        <f t="shared" si="27"/>
        <v>2025</v>
      </c>
      <c r="E150" s="4">
        <v>45697</v>
      </c>
      <c r="F150" s="4">
        <v>45701</v>
      </c>
      <c r="G150" s="6">
        <f t="shared" si="23"/>
        <v>4</v>
      </c>
      <c r="H150" s="6" t="str">
        <f t="shared" si="24"/>
        <v>Valid</v>
      </c>
      <c r="I150" t="s">
        <v>556</v>
      </c>
      <c r="J150" t="s">
        <v>37</v>
      </c>
      <c r="K150" t="s">
        <v>96</v>
      </c>
      <c r="L150" t="s">
        <v>64</v>
      </c>
      <c r="M150" t="s">
        <v>73</v>
      </c>
      <c r="O150" t="s">
        <v>75</v>
      </c>
      <c r="P150" t="s">
        <v>172</v>
      </c>
      <c r="Q150" t="s">
        <v>557</v>
      </c>
      <c r="R150" s="2" t="s">
        <v>2793</v>
      </c>
      <c r="S150">
        <v>8</v>
      </c>
      <c r="T150">
        <v>1696.07</v>
      </c>
      <c r="U150" s="2">
        <f t="shared" si="28"/>
        <v>10176.42</v>
      </c>
      <c r="V150" s="13">
        <v>0.25</v>
      </c>
      <c r="W150" s="2">
        <f t="shared" si="29"/>
        <v>0.25</v>
      </c>
      <c r="X150" s="2" t="str">
        <f t="shared" si="30"/>
        <v>Valid</v>
      </c>
      <c r="Y150" s="2" t="str">
        <f t="shared" si="31"/>
        <v>Clean</v>
      </c>
      <c r="Z150">
        <v>10176.42</v>
      </c>
      <c r="AA150">
        <v>7604.47</v>
      </c>
      <c r="AB150" s="2">
        <f t="shared" si="25"/>
        <v>2571.9499999999998</v>
      </c>
      <c r="AC150">
        <v>2571.9499999999998</v>
      </c>
      <c r="AD150" s="11">
        <f t="shared" si="32"/>
        <v>0.252736227474888</v>
      </c>
      <c r="AE150" t="s">
        <v>33</v>
      </c>
      <c r="AF150" t="s">
        <v>34</v>
      </c>
    </row>
    <row r="151" spans="1:32">
      <c r="A151" t="s">
        <v>558</v>
      </c>
      <c r="B151" s="2" t="str">
        <f t="shared" si="22"/>
        <v>Unique</v>
      </c>
      <c r="C151" s="2" t="str">
        <f t="shared" si="26"/>
        <v>Jan</v>
      </c>
      <c r="D151" s="2">
        <f t="shared" si="27"/>
        <v>2024</v>
      </c>
      <c r="E151" s="4">
        <v>45321</v>
      </c>
      <c r="F151" s="4">
        <v>45321</v>
      </c>
      <c r="G151" s="6">
        <f t="shared" si="23"/>
        <v>0</v>
      </c>
      <c r="H151" s="6" t="str">
        <f t="shared" si="24"/>
        <v>Valid</v>
      </c>
      <c r="I151" t="s">
        <v>559</v>
      </c>
      <c r="J151" t="s">
        <v>129</v>
      </c>
      <c r="K151" t="s">
        <v>38</v>
      </c>
      <c r="L151" t="s">
        <v>64</v>
      </c>
      <c r="M151" t="s">
        <v>27</v>
      </c>
      <c r="O151" t="s">
        <v>75</v>
      </c>
      <c r="P151" t="s">
        <v>81</v>
      </c>
      <c r="Q151" t="s">
        <v>560</v>
      </c>
      <c r="R151" t="s">
        <v>45</v>
      </c>
      <c r="S151">
        <v>7</v>
      </c>
      <c r="T151">
        <v>2527.61</v>
      </c>
      <c r="U151" s="2">
        <f t="shared" si="28"/>
        <v>13269.952499999999</v>
      </c>
      <c r="V151" s="13">
        <v>0.25</v>
      </c>
      <c r="W151" s="2">
        <f t="shared" si="29"/>
        <v>0.25</v>
      </c>
      <c r="X151" s="2" t="str">
        <f t="shared" si="30"/>
        <v>Valid</v>
      </c>
      <c r="Y151" s="2" t="str">
        <f t="shared" si="31"/>
        <v>Clean</v>
      </c>
      <c r="Z151">
        <v>13269.95</v>
      </c>
      <c r="AA151">
        <v>8977.1</v>
      </c>
      <c r="AB151" s="2">
        <f t="shared" si="25"/>
        <v>4292.8524999999991</v>
      </c>
      <c r="AC151">
        <v>4292.8500000000004</v>
      </c>
      <c r="AD151" s="11">
        <f t="shared" si="32"/>
        <v>0.32350159571060932</v>
      </c>
      <c r="AE151" t="s">
        <v>33</v>
      </c>
      <c r="AF151" t="s">
        <v>34</v>
      </c>
    </row>
    <row r="152" spans="1:32">
      <c r="A152" t="s">
        <v>561</v>
      </c>
      <c r="B152" s="2" t="str">
        <f t="shared" si="22"/>
        <v>Unique</v>
      </c>
      <c r="C152" s="2" t="str">
        <f t="shared" si="26"/>
        <v>Mar</v>
      </c>
      <c r="D152" s="2">
        <f t="shared" si="27"/>
        <v>2024</v>
      </c>
      <c r="E152" s="4">
        <v>45355</v>
      </c>
      <c r="F152" s="4">
        <v>45363</v>
      </c>
      <c r="G152" s="6">
        <f t="shared" si="23"/>
        <v>8</v>
      </c>
      <c r="H152" s="6" t="str">
        <f t="shared" si="24"/>
        <v>Valid</v>
      </c>
      <c r="I152" t="s">
        <v>562</v>
      </c>
      <c r="J152" t="s">
        <v>54</v>
      </c>
      <c r="K152" t="s">
        <v>25</v>
      </c>
      <c r="L152" s="2" t="s">
        <v>2793</v>
      </c>
      <c r="M152" t="s">
        <v>181</v>
      </c>
      <c r="O152" t="s">
        <v>42</v>
      </c>
      <c r="P152" t="s">
        <v>159</v>
      </c>
      <c r="Q152" t="s">
        <v>563</v>
      </c>
      <c r="R152" t="s">
        <v>51</v>
      </c>
      <c r="S152">
        <v>1</v>
      </c>
      <c r="T152">
        <v>1554.12</v>
      </c>
      <c r="U152" s="2">
        <f t="shared" si="28"/>
        <v>1398.7079999999999</v>
      </c>
      <c r="V152" s="13">
        <v>0.1</v>
      </c>
      <c r="W152" s="2">
        <f t="shared" si="29"/>
        <v>0.1</v>
      </c>
      <c r="X152" s="2" t="str">
        <f t="shared" si="30"/>
        <v>Valid</v>
      </c>
      <c r="Y152" s="2" t="str">
        <f t="shared" si="31"/>
        <v>Clean</v>
      </c>
      <c r="Z152">
        <v>1398.71</v>
      </c>
      <c r="AA152">
        <v>1056.92</v>
      </c>
      <c r="AB152" s="2">
        <f t="shared" si="25"/>
        <v>341.78799999999978</v>
      </c>
      <c r="AC152">
        <v>341.79</v>
      </c>
      <c r="AD152" s="11">
        <f t="shared" si="32"/>
        <v>0.24436087537802689</v>
      </c>
      <c r="AE152" t="s">
        <v>33</v>
      </c>
      <c r="AF152" t="s">
        <v>34</v>
      </c>
    </row>
    <row r="153" spans="1:32">
      <c r="A153" t="s">
        <v>564</v>
      </c>
      <c r="B153" s="2" t="str">
        <f t="shared" si="22"/>
        <v>Unique</v>
      </c>
      <c r="C153" s="2" t="str">
        <f t="shared" si="26"/>
        <v>Jun</v>
      </c>
      <c r="D153" s="2">
        <f t="shared" si="27"/>
        <v>2024</v>
      </c>
      <c r="E153" s="4">
        <v>45470</v>
      </c>
      <c r="F153" s="4">
        <v>45470</v>
      </c>
      <c r="G153" s="6">
        <f t="shared" si="23"/>
        <v>0</v>
      </c>
      <c r="H153" s="6" t="str">
        <f t="shared" si="24"/>
        <v>Valid</v>
      </c>
      <c r="I153" t="s">
        <v>565</v>
      </c>
      <c r="J153" t="s">
        <v>80</v>
      </c>
      <c r="K153" t="s">
        <v>96</v>
      </c>
      <c r="L153" s="2" t="s">
        <v>2793</v>
      </c>
      <c r="M153" t="s">
        <v>73</v>
      </c>
      <c r="O153" t="s">
        <v>75</v>
      </c>
      <c r="P153" t="s">
        <v>81</v>
      </c>
      <c r="Q153" t="s">
        <v>566</v>
      </c>
      <c r="R153" t="s">
        <v>60</v>
      </c>
      <c r="S153">
        <v>2</v>
      </c>
      <c r="T153">
        <v>3859.11</v>
      </c>
      <c r="U153" s="2">
        <f t="shared" si="28"/>
        <v>7718.22</v>
      </c>
      <c r="V153" s="13">
        <v>0</v>
      </c>
      <c r="W153" s="2">
        <f t="shared" si="29"/>
        <v>0</v>
      </c>
      <c r="X153" s="2" t="str">
        <f t="shared" si="30"/>
        <v>Valid</v>
      </c>
      <c r="Y153" s="2" t="str">
        <f t="shared" si="31"/>
        <v>Clean</v>
      </c>
      <c r="Z153">
        <v>7718.22</v>
      </c>
      <c r="AA153">
        <v>5355.93</v>
      </c>
      <c r="AB153" s="2">
        <f t="shared" si="25"/>
        <v>2362.29</v>
      </c>
      <c r="AC153">
        <v>2362.29</v>
      </c>
      <c r="AD153" s="11">
        <f t="shared" si="32"/>
        <v>0.30606668376905555</v>
      </c>
      <c r="AE153" t="s">
        <v>112</v>
      </c>
      <c r="AF153" t="s">
        <v>104</v>
      </c>
    </row>
    <row r="154" spans="1:32">
      <c r="A154" t="s">
        <v>567</v>
      </c>
      <c r="B154" s="2" t="str">
        <f t="shared" si="22"/>
        <v>Unique</v>
      </c>
      <c r="C154" s="2" t="str">
        <f t="shared" si="26"/>
        <v>Jun</v>
      </c>
      <c r="D154" s="2">
        <f t="shared" si="27"/>
        <v>2024</v>
      </c>
      <c r="E154" s="4">
        <v>45457</v>
      </c>
      <c r="F154" s="4">
        <v>45460</v>
      </c>
      <c r="G154" s="6">
        <f t="shared" si="23"/>
        <v>3</v>
      </c>
      <c r="H154" s="6" t="str">
        <f t="shared" si="24"/>
        <v>Valid</v>
      </c>
      <c r="I154" t="s">
        <v>568</v>
      </c>
      <c r="J154" t="s">
        <v>265</v>
      </c>
      <c r="K154" t="s">
        <v>38</v>
      </c>
      <c r="L154" t="s">
        <v>55</v>
      </c>
      <c r="M154" t="s">
        <v>186</v>
      </c>
      <c r="O154" t="s">
        <v>42</v>
      </c>
      <c r="P154" t="s">
        <v>43</v>
      </c>
      <c r="Q154" t="s">
        <v>569</v>
      </c>
      <c r="R154" t="s">
        <v>32</v>
      </c>
      <c r="S154">
        <v>6</v>
      </c>
      <c r="T154">
        <v>1088.04</v>
      </c>
      <c r="U154" s="2">
        <f t="shared" si="28"/>
        <v>5875.4160000000002</v>
      </c>
      <c r="V154" s="13">
        <v>0.1</v>
      </c>
      <c r="W154" s="2">
        <f t="shared" si="29"/>
        <v>0.1</v>
      </c>
      <c r="X154" s="2" t="str">
        <f t="shared" si="30"/>
        <v>Valid</v>
      </c>
      <c r="Y154" s="2" t="str">
        <f t="shared" si="31"/>
        <v>Clean</v>
      </c>
      <c r="Z154">
        <v>5875.42</v>
      </c>
      <c r="AA154">
        <v>4380.55</v>
      </c>
      <c r="AB154" s="2">
        <f t="shared" si="25"/>
        <v>1494.866</v>
      </c>
      <c r="AC154">
        <v>1494.87</v>
      </c>
      <c r="AD154" s="11">
        <f t="shared" si="32"/>
        <v>0.25442776856803428</v>
      </c>
      <c r="AE154" t="s">
        <v>112</v>
      </c>
      <c r="AF154" t="s">
        <v>104</v>
      </c>
    </row>
    <row r="155" spans="1:32">
      <c r="A155" t="s">
        <v>570</v>
      </c>
      <c r="B155" s="2" t="str">
        <f t="shared" si="22"/>
        <v>Unique</v>
      </c>
      <c r="C155" s="2" t="str">
        <f t="shared" si="26"/>
        <v>Sep</v>
      </c>
      <c r="D155" s="2">
        <f t="shared" si="27"/>
        <v>2025</v>
      </c>
      <c r="E155" s="4">
        <v>45923</v>
      </c>
      <c r="F155" s="4">
        <v>45925</v>
      </c>
      <c r="G155" s="6">
        <f t="shared" si="23"/>
        <v>2</v>
      </c>
      <c r="H155" s="6" t="str">
        <f t="shared" si="24"/>
        <v>Valid</v>
      </c>
      <c r="I155" t="s">
        <v>571</v>
      </c>
      <c r="J155" t="s">
        <v>90</v>
      </c>
      <c r="K155" t="s">
        <v>25</v>
      </c>
      <c r="L155" t="s">
        <v>39</v>
      </c>
      <c r="M155" t="s">
        <v>40</v>
      </c>
      <c r="O155" t="s">
        <v>29</v>
      </c>
      <c r="P155" t="s">
        <v>92</v>
      </c>
      <c r="Q155" t="s">
        <v>572</v>
      </c>
      <c r="R155" t="s">
        <v>60</v>
      </c>
      <c r="S155">
        <v>7</v>
      </c>
      <c r="T155">
        <v>3280.31</v>
      </c>
      <c r="U155" s="2">
        <f t="shared" si="28"/>
        <v>22962.17</v>
      </c>
      <c r="V155" s="13">
        <v>0</v>
      </c>
      <c r="W155" s="2">
        <f t="shared" si="29"/>
        <v>0</v>
      </c>
      <c r="X155" s="2" t="str">
        <f t="shared" si="30"/>
        <v>Valid</v>
      </c>
      <c r="Y155" s="2" t="str">
        <f t="shared" si="31"/>
        <v>Clean</v>
      </c>
      <c r="Z155">
        <v>22962.17</v>
      </c>
      <c r="AA155">
        <v>15716.5</v>
      </c>
      <c r="AB155" s="2">
        <f t="shared" si="25"/>
        <v>7245.6699999999983</v>
      </c>
      <c r="AC155">
        <v>7245.67</v>
      </c>
      <c r="AD155" s="11">
        <f t="shared" si="32"/>
        <v>0.31554813852523522</v>
      </c>
      <c r="AE155" t="s">
        <v>103</v>
      </c>
      <c r="AF155" t="s">
        <v>104</v>
      </c>
    </row>
    <row r="156" spans="1:32">
      <c r="A156" t="s">
        <v>573</v>
      </c>
      <c r="B156" s="2" t="str">
        <f t="shared" si="22"/>
        <v>Unique</v>
      </c>
      <c r="C156" s="2" t="str">
        <f t="shared" si="26"/>
        <v>Feb</v>
      </c>
      <c r="D156" s="2">
        <f t="shared" si="27"/>
        <v>2024</v>
      </c>
      <c r="E156" s="4">
        <v>45334</v>
      </c>
      <c r="F156" s="4">
        <v>45333</v>
      </c>
      <c r="G156" s="6">
        <f t="shared" si="23"/>
        <v>-1</v>
      </c>
      <c r="H156" s="6" t="str">
        <f t="shared" si="24"/>
        <v>Invalid: Ship Date Before Order Date</v>
      </c>
      <c r="I156" t="s">
        <v>456</v>
      </c>
      <c r="J156" t="s">
        <v>115</v>
      </c>
      <c r="K156" t="s">
        <v>25</v>
      </c>
      <c r="L156" t="s">
        <v>55</v>
      </c>
      <c r="M156" t="s">
        <v>248</v>
      </c>
      <c r="O156" t="s">
        <v>42</v>
      </c>
      <c r="P156" t="s">
        <v>159</v>
      </c>
      <c r="Q156" t="s">
        <v>574</v>
      </c>
      <c r="R156" t="s">
        <v>45</v>
      </c>
      <c r="S156">
        <v>1</v>
      </c>
      <c r="T156">
        <v>2599.12</v>
      </c>
      <c r="U156" s="2">
        <f t="shared" si="28"/>
        <v>2209.252</v>
      </c>
      <c r="V156" s="13">
        <v>0.15</v>
      </c>
      <c r="W156" s="2">
        <f t="shared" si="29"/>
        <v>0.15</v>
      </c>
      <c r="X156" s="2" t="str">
        <f t="shared" si="30"/>
        <v>Valid</v>
      </c>
      <c r="Y156" s="2" t="str">
        <f t="shared" si="31"/>
        <v>Invalid</v>
      </c>
      <c r="Z156">
        <v>2209.25</v>
      </c>
      <c r="AA156">
        <v>1523.78</v>
      </c>
      <c r="AB156" s="2">
        <f t="shared" si="25"/>
        <v>685.47199999999998</v>
      </c>
      <c r="AC156">
        <v>685.47</v>
      </c>
      <c r="AD156" s="11">
        <f t="shared" si="32"/>
        <v>0.31027271698540232</v>
      </c>
      <c r="AE156" t="s">
        <v>33</v>
      </c>
      <c r="AF156" t="s">
        <v>34</v>
      </c>
    </row>
    <row r="157" spans="1:32">
      <c r="A157" t="s">
        <v>575</v>
      </c>
      <c r="B157" s="2" t="str">
        <f t="shared" si="22"/>
        <v>Unique</v>
      </c>
      <c r="C157" s="2" t="str">
        <f t="shared" si="26"/>
        <v>Jan</v>
      </c>
      <c r="D157" s="2">
        <f t="shared" si="27"/>
        <v>2025</v>
      </c>
      <c r="E157" s="4">
        <v>45683</v>
      </c>
      <c r="F157" s="4">
        <v>45691</v>
      </c>
      <c r="G157" s="6">
        <f t="shared" si="23"/>
        <v>8</v>
      </c>
      <c r="H157" s="6" t="str">
        <f t="shared" si="24"/>
        <v>Valid</v>
      </c>
      <c r="I157" t="s">
        <v>576</v>
      </c>
      <c r="J157" t="s">
        <v>24</v>
      </c>
      <c r="K157" t="s">
        <v>91</v>
      </c>
      <c r="L157" t="s">
        <v>64</v>
      </c>
      <c r="M157" t="s">
        <v>27</v>
      </c>
      <c r="O157" t="s">
        <v>42</v>
      </c>
      <c r="P157" t="s">
        <v>58</v>
      </c>
      <c r="Q157" t="s">
        <v>577</v>
      </c>
      <c r="R157" t="s">
        <v>45</v>
      </c>
      <c r="S157">
        <v>3</v>
      </c>
      <c r="T157">
        <v>2859.32</v>
      </c>
      <c r="U157" s="2">
        <f t="shared" si="28"/>
        <v>7720.1640000000007</v>
      </c>
      <c r="V157" s="13">
        <v>0.1</v>
      </c>
      <c r="W157" s="2">
        <f t="shared" si="29"/>
        <v>0.1</v>
      </c>
      <c r="X157" s="2" t="str">
        <f t="shared" si="30"/>
        <v>Valid</v>
      </c>
      <c r="Y157" s="2" t="str">
        <f t="shared" si="31"/>
        <v>Clean</v>
      </c>
      <c r="Z157">
        <v>7720.16</v>
      </c>
      <c r="AA157">
        <v>5881</v>
      </c>
      <c r="AB157" s="2">
        <f t="shared" si="25"/>
        <v>1839.1640000000007</v>
      </c>
      <c r="AC157">
        <v>1839.16</v>
      </c>
      <c r="AD157" s="11">
        <f t="shared" si="32"/>
        <v>0.2382282232492591</v>
      </c>
      <c r="AE157" t="s">
        <v>103</v>
      </c>
      <c r="AF157" t="s">
        <v>104</v>
      </c>
    </row>
    <row r="158" spans="1:32">
      <c r="A158" t="s">
        <v>578</v>
      </c>
      <c r="B158" s="2" t="str">
        <f t="shared" si="22"/>
        <v>Unique</v>
      </c>
      <c r="C158" s="2" t="str">
        <f t="shared" si="26"/>
        <v>Mar</v>
      </c>
      <c r="D158" s="2">
        <f t="shared" si="27"/>
        <v>2025</v>
      </c>
      <c r="E158" s="4">
        <v>45743</v>
      </c>
      <c r="F158" s="4">
        <v>45743</v>
      </c>
      <c r="G158" s="6">
        <f t="shared" si="23"/>
        <v>0</v>
      </c>
      <c r="H158" s="6" t="str">
        <f t="shared" si="24"/>
        <v>Valid</v>
      </c>
      <c r="I158" t="s">
        <v>579</v>
      </c>
      <c r="J158" t="s">
        <v>72</v>
      </c>
      <c r="K158" t="s">
        <v>38</v>
      </c>
      <c r="L158" t="s">
        <v>39</v>
      </c>
      <c r="M158" t="s">
        <v>146</v>
      </c>
      <c r="O158" t="s">
        <v>75</v>
      </c>
      <c r="P158" t="s">
        <v>275</v>
      </c>
      <c r="Q158" t="s">
        <v>580</v>
      </c>
      <c r="R158" t="s">
        <v>32</v>
      </c>
      <c r="S158">
        <v>7</v>
      </c>
      <c r="T158">
        <v>2305.37</v>
      </c>
      <c r="U158" s="2">
        <f t="shared" si="28"/>
        <v>12103.192500000001</v>
      </c>
      <c r="V158" s="13">
        <v>0.25</v>
      </c>
      <c r="W158" s="2">
        <f t="shared" si="29"/>
        <v>0.25</v>
      </c>
      <c r="X158" s="2" t="str">
        <f t="shared" si="30"/>
        <v>Valid</v>
      </c>
      <c r="Y158" s="2" t="str">
        <f t="shared" si="31"/>
        <v>Clean</v>
      </c>
      <c r="Z158">
        <v>12103.19</v>
      </c>
      <c r="AA158">
        <v>6717.87</v>
      </c>
      <c r="AB158" s="2">
        <f t="shared" si="25"/>
        <v>5385.3225000000011</v>
      </c>
      <c r="AC158">
        <v>5385.32</v>
      </c>
      <c r="AD158" s="11">
        <f t="shared" si="32"/>
        <v>0.444950463472853</v>
      </c>
      <c r="AE158" t="s">
        <v>33</v>
      </c>
      <c r="AF158" t="s">
        <v>34</v>
      </c>
    </row>
    <row r="159" spans="1:32">
      <c r="A159" t="s">
        <v>581</v>
      </c>
      <c r="B159" s="2" t="str">
        <f t="shared" si="22"/>
        <v>Unique</v>
      </c>
      <c r="C159" s="2" t="str">
        <f t="shared" si="26"/>
        <v>Oct</v>
      </c>
      <c r="D159" s="2">
        <f t="shared" si="27"/>
        <v>2024</v>
      </c>
      <c r="E159" s="4">
        <v>45587</v>
      </c>
      <c r="F159" s="4">
        <v>45589</v>
      </c>
      <c r="G159" s="6">
        <f t="shared" si="23"/>
        <v>2</v>
      </c>
      <c r="H159" s="6" t="str">
        <f t="shared" si="24"/>
        <v>Valid</v>
      </c>
      <c r="I159" t="s">
        <v>582</v>
      </c>
      <c r="J159" t="s">
        <v>142</v>
      </c>
      <c r="K159" t="s">
        <v>38</v>
      </c>
      <c r="L159" t="s">
        <v>55</v>
      </c>
      <c r="M159" t="s">
        <v>85</v>
      </c>
      <c r="O159" t="s">
        <v>42</v>
      </c>
      <c r="P159" t="s">
        <v>159</v>
      </c>
      <c r="Q159" t="s">
        <v>583</v>
      </c>
      <c r="R159" t="s">
        <v>60</v>
      </c>
      <c r="S159">
        <v>3</v>
      </c>
      <c r="T159">
        <v>915.84</v>
      </c>
      <c r="U159" s="2">
        <f t="shared" si="28"/>
        <v>2335.3919999999998</v>
      </c>
      <c r="V159" s="13">
        <v>0.15</v>
      </c>
      <c r="W159" s="2">
        <f t="shared" si="29"/>
        <v>0.15</v>
      </c>
      <c r="X159" s="2" t="str">
        <f t="shared" si="30"/>
        <v>Valid</v>
      </c>
      <c r="Y159" s="2" t="str">
        <f t="shared" si="31"/>
        <v>Clean</v>
      </c>
      <c r="Z159">
        <v>2335.39</v>
      </c>
      <c r="AA159">
        <v>1466.15</v>
      </c>
      <c r="AB159" s="2">
        <f t="shared" si="25"/>
        <v>869.24199999999973</v>
      </c>
      <c r="AC159">
        <v>869.24</v>
      </c>
      <c r="AD159" s="11">
        <f t="shared" si="32"/>
        <v>0.37220335789739617</v>
      </c>
      <c r="AE159" t="s">
        <v>33</v>
      </c>
      <c r="AF159" t="s">
        <v>34</v>
      </c>
    </row>
    <row r="160" spans="1:32">
      <c r="A160" t="s">
        <v>584</v>
      </c>
      <c r="B160" s="2" t="str">
        <f t="shared" si="22"/>
        <v>Unique</v>
      </c>
      <c r="C160" s="2" t="str">
        <f t="shared" si="26"/>
        <v>Sep</v>
      </c>
      <c r="D160" s="2">
        <f t="shared" si="27"/>
        <v>2024</v>
      </c>
      <c r="E160" s="4">
        <v>45544</v>
      </c>
      <c r="F160" s="4">
        <v>45546</v>
      </c>
      <c r="G160" s="6">
        <f t="shared" si="23"/>
        <v>2</v>
      </c>
      <c r="H160" s="6" t="str">
        <f t="shared" si="24"/>
        <v>Valid</v>
      </c>
      <c r="I160" t="s">
        <v>585</v>
      </c>
      <c r="J160" t="s">
        <v>80</v>
      </c>
      <c r="K160" t="s">
        <v>96</v>
      </c>
      <c r="L160" t="s">
        <v>55</v>
      </c>
      <c r="M160" t="s">
        <v>56</v>
      </c>
      <c r="O160" t="s">
        <v>42</v>
      </c>
      <c r="P160" t="s">
        <v>159</v>
      </c>
      <c r="Q160" t="s">
        <v>586</v>
      </c>
      <c r="R160" t="s">
        <v>51</v>
      </c>
      <c r="S160">
        <v>1</v>
      </c>
      <c r="T160">
        <v>4199.54</v>
      </c>
      <c r="U160" s="2">
        <f t="shared" si="28"/>
        <v>3989.5629999999996</v>
      </c>
      <c r="V160" s="13">
        <v>0.05</v>
      </c>
      <c r="W160" s="2">
        <f t="shared" si="29"/>
        <v>0.05</v>
      </c>
      <c r="X160" s="2" t="str">
        <f t="shared" si="30"/>
        <v>Valid</v>
      </c>
      <c r="Y160" s="2" t="str">
        <f t="shared" si="31"/>
        <v>Clean</v>
      </c>
      <c r="Z160">
        <v>3989.56</v>
      </c>
      <c r="AA160">
        <v>2381.38</v>
      </c>
      <c r="AB160" s="2">
        <f t="shared" si="25"/>
        <v>1608.1829999999995</v>
      </c>
      <c r="AC160">
        <v>1608.18</v>
      </c>
      <c r="AD160" s="11">
        <f t="shared" si="32"/>
        <v>0.40309708338764177</v>
      </c>
      <c r="AE160" t="s">
        <v>33</v>
      </c>
      <c r="AF160" t="s">
        <v>34</v>
      </c>
    </row>
    <row r="161" spans="1:32">
      <c r="A161" t="s">
        <v>587</v>
      </c>
      <c r="B161" s="2" t="str">
        <f t="shared" si="22"/>
        <v>Unique</v>
      </c>
      <c r="C161" s="2" t="str">
        <f t="shared" si="26"/>
        <v>Jan</v>
      </c>
      <c r="D161" s="2">
        <f t="shared" si="27"/>
        <v>2025</v>
      </c>
      <c r="E161" s="4">
        <v>45687</v>
      </c>
      <c r="F161" s="4">
        <v>45692</v>
      </c>
      <c r="G161" s="6">
        <f t="shared" si="23"/>
        <v>5</v>
      </c>
      <c r="H161" s="6" t="str">
        <f t="shared" si="24"/>
        <v>Valid</v>
      </c>
      <c r="I161" t="s">
        <v>588</v>
      </c>
      <c r="J161" t="s">
        <v>115</v>
      </c>
      <c r="K161" t="s">
        <v>91</v>
      </c>
      <c r="L161" t="s">
        <v>26</v>
      </c>
      <c r="M161" t="s">
        <v>237</v>
      </c>
      <c r="O161" t="s">
        <v>42</v>
      </c>
      <c r="P161" t="s">
        <v>67</v>
      </c>
      <c r="Q161" t="s">
        <v>589</v>
      </c>
      <c r="R161" t="s">
        <v>45</v>
      </c>
      <c r="S161">
        <v>9</v>
      </c>
      <c r="T161">
        <v>4430.5</v>
      </c>
      <c r="U161" s="2">
        <f t="shared" si="28"/>
        <v>33893.324999999997</v>
      </c>
      <c r="V161" s="13">
        <v>0.15</v>
      </c>
      <c r="W161" s="2">
        <f t="shared" si="29"/>
        <v>0.15</v>
      </c>
      <c r="X161" s="2" t="str">
        <f t="shared" si="30"/>
        <v>Valid</v>
      </c>
      <c r="Y161" s="2" t="str">
        <f t="shared" si="31"/>
        <v>Clean</v>
      </c>
      <c r="Z161">
        <v>33893.32</v>
      </c>
      <c r="AA161">
        <v>25750.35</v>
      </c>
      <c r="AB161" s="2">
        <f t="shared" si="25"/>
        <v>8142.9749999999985</v>
      </c>
      <c r="AC161">
        <v>8142.97</v>
      </c>
      <c r="AD161" s="11">
        <f t="shared" si="32"/>
        <v>0.24025294659832677</v>
      </c>
      <c r="AE161" t="s">
        <v>112</v>
      </c>
      <c r="AF161" t="s">
        <v>69</v>
      </c>
    </row>
    <row r="162" spans="1:32">
      <c r="A162" t="s">
        <v>590</v>
      </c>
      <c r="B162" s="2" t="str">
        <f t="shared" si="22"/>
        <v>Unique</v>
      </c>
      <c r="C162" s="2" t="str">
        <f t="shared" si="26"/>
        <v>Oct</v>
      </c>
      <c r="D162" s="2">
        <f t="shared" si="27"/>
        <v>2025</v>
      </c>
      <c r="E162" s="4">
        <v>45938</v>
      </c>
      <c r="F162" s="4">
        <v>45936</v>
      </c>
      <c r="G162" s="6">
        <f t="shared" si="23"/>
        <v>-2</v>
      </c>
      <c r="H162" s="6" t="str">
        <f t="shared" si="24"/>
        <v>Invalid: Ship Date Before Order Date</v>
      </c>
      <c r="I162" t="s">
        <v>591</v>
      </c>
      <c r="J162" t="s">
        <v>72</v>
      </c>
      <c r="K162" t="s">
        <v>38</v>
      </c>
      <c r="L162" t="s">
        <v>64</v>
      </c>
      <c r="M162" t="s">
        <v>65</v>
      </c>
      <c r="O162" t="s">
        <v>29</v>
      </c>
      <c r="P162" t="s">
        <v>30</v>
      </c>
      <c r="Q162" t="s">
        <v>592</v>
      </c>
      <c r="R162" t="s">
        <v>32</v>
      </c>
      <c r="S162">
        <v>4</v>
      </c>
      <c r="T162">
        <v>1260.42</v>
      </c>
      <c r="U162" s="2">
        <f t="shared" si="28"/>
        <v>4789.5960000000005</v>
      </c>
      <c r="V162" s="13">
        <v>0.05</v>
      </c>
      <c r="W162" s="2">
        <f t="shared" si="29"/>
        <v>0.05</v>
      </c>
      <c r="X162" s="2" t="str">
        <f t="shared" si="30"/>
        <v>Valid</v>
      </c>
      <c r="Y162" s="2" t="str">
        <f t="shared" si="31"/>
        <v>Invalid</v>
      </c>
      <c r="Z162">
        <v>4789.6000000000004</v>
      </c>
      <c r="AA162">
        <v>4037.64</v>
      </c>
      <c r="AB162" s="2">
        <f t="shared" si="25"/>
        <v>751.95600000000059</v>
      </c>
      <c r="AC162">
        <v>751.96</v>
      </c>
      <c r="AD162" s="11">
        <f t="shared" si="32"/>
        <v>0.15699849674294303</v>
      </c>
      <c r="AE162" t="s">
        <v>112</v>
      </c>
      <c r="AF162" t="s">
        <v>69</v>
      </c>
    </row>
    <row r="163" spans="1:32">
      <c r="A163" t="s">
        <v>593</v>
      </c>
      <c r="B163" s="2" t="str">
        <f t="shared" si="22"/>
        <v>Unique</v>
      </c>
      <c r="C163" s="2" t="str">
        <f t="shared" si="26"/>
        <v>Jul</v>
      </c>
      <c r="D163" s="2">
        <f t="shared" si="27"/>
        <v>2025</v>
      </c>
      <c r="E163" s="4">
        <v>45862</v>
      </c>
      <c r="F163" s="4">
        <v>45868</v>
      </c>
      <c r="G163" s="6">
        <f t="shared" si="23"/>
        <v>6</v>
      </c>
      <c r="H163" s="6" t="str">
        <f t="shared" si="24"/>
        <v>Valid</v>
      </c>
      <c r="I163" t="s">
        <v>594</v>
      </c>
      <c r="J163" t="s">
        <v>54</v>
      </c>
      <c r="K163" t="s">
        <v>25</v>
      </c>
      <c r="L163" t="s">
        <v>64</v>
      </c>
      <c r="M163" t="s">
        <v>27</v>
      </c>
      <c r="O163" t="s">
        <v>29</v>
      </c>
      <c r="P163" t="s">
        <v>154</v>
      </c>
      <c r="Q163" t="s">
        <v>595</v>
      </c>
      <c r="R163" t="s">
        <v>60</v>
      </c>
      <c r="S163">
        <v>1</v>
      </c>
      <c r="T163">
        <v>1643.41</v>
      </c>
      <c r="U163" s="2">
        <f t="shared" si="28"/>
        <v>1643.41</v>
      </c>
      <c r="V163" s="13">
        <v>0</v>
      </c>
      <c r="W163" s="2">
        <f t="shared" si="29"/>
        <v>0</v>
      </c>
      <c r="X163" s="2" t="str">
        <f t="shared" si="30"/>
        <v>Valid</v>
      </c>
      <c r="Y163" s="2" t="str">
        <f t="shared" si="31"/>
        <v>Clean</v>
      </c>
      <c r="Z163">
        <v>1643.41</v>
      </c>
      <c r="AA163">
        <v>907.4</v>
      </c>
      <c r="AB163" s="2">
        <f t="shared" si="25"/>
        <v>736.0100000000001</v>
      </c>
      <c r="AC163">
        <v>736.01</v>
      </c>
      <c r="AD163" s="11">
        <f t="shared" si="32"/>
        <v>0.4478553738872223</v>
      </c>
      <c r="AE163" t="s">
        <v>112</v>
      </c>
      <c r="AF163" t="s">
        <v>69</v>
      </c>
    </row>
    <row r="164" spans="1:32">
      <c r="A164" t="s">
        <v>596</v>
      </c>
      <c r="B164" s="2" t="str">
        <f t="shared" si="22"/>
        <v>Unique</v>
      </c>
      <c r="C164" s="2" t="str">
        <f t="shared" si="26"/>
        <v>Mar</v>
      </c>
      <c r="D164" s="2">
        <f t="shared" si="27"/>
        <v>2024</v>
      </c>
      <c r="E164" s="4">
        <v>45360</v>
      </c>
      <c r="F164" s="4">
        <v>45365</v>
      </c>
      <c r="G164" s="6">
        <f t="shared" si="23"/>
        <v>5</v>
      </c>
      <c r="H164" s="6" t="str">
        <f t="shared" si="24"/>
        <v>Valid</v>
      </c>
      <c r="I164" t="s">
        <v>597</v>
      </c>
      <c r="J164" t="s">
        <v>80</v>
      </c>
      <c r="K164" t="s">
        <v>38</v>
      </c>
      <c r="L164" t="s">
        <v>64</v>
      </c>
      <c r="M164" t="s">
        <v>191</v>
      </c>
      <c r="O164" t="s">
        <v>42</v>
      </c>
      <c r="P164" t="s">
        <v>58</v>
      </c>
      <c r="Q164" t="s">
        <v>598</v>
      </c>
      <c r="R164" t="s">
        <v>32</v>
      </c>
      <c r="S164">
        <v>8</v>
      </c>
      <c r="T164">
        <v>4472.84</v>
      </c>
      <c r="U164" s="2">
        <f t="shared" si="28"/>
        <v>35782.720000000001</v>
      </c>
      <c r="V164" s="13">
        <v>0</v>
      </c>
      <c r="W164" s="2">
        <f t="shared" si="29"/>
        <v>0</v>
      </c>
      <c r="X164" s="2" t="str">
        <f t="shared" si="30"/>
        <v>Valid</v>
      </c>
      <c r="Y164" s="2" t="str">
        <f t="shared" si="31"/>
        <v>Clean</v>
      </c>
      <c r="Z164">
        <v>35997.620000000003</v>
      </c>
      <c r="AA164">
        <v>26424.41</v>
      </c>
      <c r="AB164" s="2">
        <f t="shared" si="25"/>
        <v>9358.3100000000013</v>
      </c>
      <c r="AC164">
        <v>9358.31</v>
      </c>
      <c r="AD164" s="11">
        <f t="shared" si="32"/>
        <v>0.25997024247714151</v>
      </c>
      <c r="AE164" t="s">
        <v>112</v>
      </c>
      <c r="AF164" t="s">
        <v>104</v>
      </c>
    </row>
    <row r="165" spans="1:32">
      <c r="A165" t="s">
        <v>599</v>
      </c>
      <c r="B165" s="2" t="str">
        <f t="shared" si="22"/>
        <v>Unique</v>
      </c>
      <c r="C165" s="2" t="str">
        <f t="shared" si="26"/>
        <v>Sep</v>
      </c>
      <c r="D165" s="2">
        <f t="shared" si="27"/>
        <v>2025</v>
      </c>
      <c r="E165" s="4">
        <v>45921</v>
      </c>
      <c r="F165" s="4">
        <v>45926</v>
      </c>
      <c r="G165" s="6">
        <f t="shared" si="23"/>
        <v>5</v>
      </c>
      <c r="H165" s="6" t="str">
        <f t="shared" si="24"/>
        <v>Valid</v>
      </c>
      <c r="I165" t="s">
        <v>600</v>
      </c>
      <c r="J165" t="s">
        <v>142</v>
      </c>
      <c r="K165" t="s">
        <v>96</v>
      </c>
      <c r="L165" t="s">
        <v>64</v>
      </c>
      <c r="M165" t="s">
        <v>181</v>
      </c>
      <c r="O165" t="s">
        <v>42</v>
      </c>
      <c r="P165" t="s">
        <v>43</v>
      </c>
      <c r="Q165" t="s">
        <v>601</v>
      </c>
      <c r="R165" s="2" t="s">
        <v>2793</v>
      </c>
      <c r="S165">
        <v>6</v>
      </c>
      <c r="T165">
        <v>2903.58</v>
      </c>
      <c r="U165" s="2">
        <f t="shared" si="28"/>
        <v>15679.332</v>
      </c>
      <c r="V165" s="13">
        <v>0.1</v>
      </c>
      <c r="W165" s="2">
        <f t="shared" si="29"/>
        <v>0.1</v>
      </c>
      <c r="X165" s="2" t="str">
        <f t="shared" si="30"/>
        <v>Valid</v>
      </c>
      <c r="Y165" s="2" t="str">
        <f t="shared" si="31"/>
        <v>Clean</v>
      </c>
      <c r="Z165">
        <v>15679.33</v>
      </c>
      <c r="AA165">
        <v>12477.82</v>
      </c>
      <c r="AB165" s="2">
        <f t="shared" si="25"/>
        <v>3201.5120000000006</v>
      </c>
      <c r="AC165">
        <v>3201.51</v>
      </c>
      <c r="AD165" s="11">
        <f t="shared" si="32"/>
        <v>0.20418665848604503</v>
      </c>
      <c r="AE165" t="s">
        <v>112</v>
      </c>
      <c r="AF165" t="s">
        <v>104</v>
      </c>
    </row>
    <row r="166" spans="1:32">
      <c r="A166" t="s">
        <v>602</v>
      </c>
      <c r="B166" s="2" t="str">
        <f t="shared" si="22"/>
        <v>Unique</v>
      </c>
      <c r="C166" s="2" t="str">
        <f t="shared" si="26"/>
        <v>Sep</v>
      </c>
      <c r="D166" s="2">
        <f t="shared" si="27"/>
        <v>2025</v>
      </c>
      <c r="E166" s="4">
        <v>45909</v>
      </c>
      <c r="F166" s="4">
        <v>45914</v>
      </c>
      <c r="G166" s="6">
        <f t="shared" si="23"/>
        <v>5</v>
      </c>
      <c r="H166" s="6" t="str">
        <f t="shared" si="24"/>
        <v>Valid</v>
      </c>
      <c r="I166" t="s">
        <v>603</v>
      </c>
      <c r="J166" t="s">
        <v>119</v>
      </c>
      <c r="K166" t="s">
        <v>38</v>
      </c>
      <c r="L166" t="s">
        <v>39</v>
      </c>
      <c r="M166" t="s">
        <v>100</v>
      </c>
      <c r="O166" t="s">
        <v>42</v>
      </c>
      <c r="P166" t="s">
        <v>159</v>
      </c>
      <c r="Q166" t="s">
        <v>604</v>
      </c>
      <c r="R166" t="s">
        <v>32</v>
      </c>
      <c r="S166">
        <v>1</v>
      </c>
      <c r="T166">
        <v>3154.42</v>
      </c>
      <c r="U166" s="2">
        <f t="shared" si="28"/>
        <v>2365.8150000000001</v>
      </c>
      <c r="V166" s="13">
        <v>0.25</v>
      </c>
      <c r="W166" s="2">
        <f t="shared" si="29"/>
        <v>0.25</v>
      </c>
      <c r="X166" s="2" t="str">
        <f t="shared" si="30"/>
        <v>Valid</v>
      </c>
      <c r="Y166" s="2" t="str">
        <f t="shared" si="31"/>
        <v>Clean</v>
      </c>
      <c r="Z166">
        <v>2365.8200000000002</v>
      </c>
      <c r="AA166">
        <v>1547.99</v>
      </c>
      <c r="AB166" s="2">
        <f t="shared" si="25"/>
        <v>817.82500000000005</v>
      </c>
      <c r="AC166">
        <v>817.83</v>
      </c>
      <c r="AD166" s="11">
        <f t="shared" si="32"/>
        <v>0.34568563965136823</v>
      </c>
      <c r="AE166" t="s">
        <v>33</v>
      </c>
      <c r="AF166" t="s">
        <v>34</v>
      </c>
    </row>
    <row r="167" spans="1:32">
      <c r="A167" t="s">
        <v>605</v>
      </c>
      <c r="B167" s="2" t="str">
        <f t="shared" si="22"/>
        <v>Unique</v>
      </c>
      <c r="C167" s="2" t="str">
        <f t="shared" si="26"/>
        <v>Nov</v>
      </c>
      <c r="D167" s="2">
        <f t="shared" si="27"/>
        <v>2024</v>
      </c>
      <c r="E167" s="4">
        <v>45618</v>
      </c>
      <c r="F167" s="4">
        <v>45625</v>
      </c>
      <c r="G167" s="6">
        <f t="shared" si="23"/>
        <v>7</v>
      </c>
      <c r="H167" s="6" t="str">
        <f t="shared" si="24"/>
        <v>Valid</v>
      </c>
      <c r="I167" t="s">
        <v>606</v>
      </c>
      <c r="J167" t="s">
        <v>37</v>
      </c>
      <c r="K167" t="s">
        <v>96</v>
      </c>
      <c r="L167" t="s">
        <v>39</v>
      </c>
      <c r="M167" t="s">
        <v>146</v>
      </c>
      <c r="O167" t="s">
        <v>42</v>
      </c>
      <c r="P167" t="s">
        <v>67</v>
      </c>
      <c r="Q167" t="s">
        <v>607</v>
      </c>
      <c r="R167" t="s">
        <v>60</v>
      </c>
      <c r="S167">
        <v>4</v>
      </c>
      <c r="T167">
        <v>3422.99</v>
      </c>
      <c r="U167" s="2">
        <f t="shared" si="28"/>
        <v>10268.969999999999</v>
      </c>
      <c r="V167" s="13">
        <v>0.25</v>
      </c>
      <c r="W167" s="2">
        <f t="shared" si="29"/>
        <v>0.25</v>
      </c>
      <c r="X167" s="2" t="str">
        <f t="shared" si="30"/>
        <v>Valid</v>
      </c>
      <c r="Y167" s="2" t="str">
        <f t="shared" si="31"/>
        <v>Clean</v>
      </c>
      <c r="Z167">
        <v>10268.969999999999</v>
      </c>
      <c r="AA167">
        <v>6470.92</v>
      </c>
      <c r="AB167" s="2">
        <f t="shared" si="25"/>
        <v>3798.0499999999993</v>
      </c>
      <c r="AC167">
        <v>3798.05</v>
      </c>
      <c r="AD167" s="11">
        <f t="shared" si="32"/>
        <v>0.36985695741637187</v>
      </c>
      <c r="AE167" t="s">
        <v>33</v>
      </c>
      <c r="AF167" t="s">
        <v>34</v>
      </c>
    </row>
    <row r="168" spans="1:32">
      <c r="A168" t="s">
        <v>608</v>
      </c>
      <c r="B168" s="2" t="str">
        <f t="shared" si="22"/>
        <v>Unique</v>
      </c>
      <c r="C168" s="2" t="str">
        <f t="shared" si="26"/>
        <v>Feb</v>
      </c>
      <c r="D168" s="2">
        <f t="shared" si="27"/>
        <v>2025</v>
      </c>
      <c r="E168" s="4">
        <v>45708</v>
      </c>
      <c r="F168" s="4">
        <v>45714</v>
      </c>
      <c r="G168" s="6">
        <f t="shared" si="23"/>
        <v>6</v>
      </c>
      <c r="H168" s="6" t="str">
        <f t="shared" si="24"/>
        <v>Valid</v>
      </c>
      <c r="I168" t="s">
        <v>609</v>
      </c>
      <c r="J168" t="s">
        <v>24</v>
      </c>
      <c r="K168" t="s">
        <v>38</v>
      </c>
      <c r="L168" t="s">
        <v>64</v>
      </c>
      <c r="M168" t="s">
        <v>181</v>
      </c>
      <c r="O168" t="s">
        <v>29</v>
      </c>
      <c r="P168" t="s">
        <v>92</v>
      </c>
      <c r="Q168" t="s">
        <v>610</v>
      </c>
      <c r="R168" t="s">
        <v>51</v>
      </c>
      <c r="S168">
        <v>1</v>
      </c>
      <c r="T168">
        <v>2557.85</v>
      </c>
      <c r="U168" s="2">
        <f t="shared" si="28"/>
        <v>2046.28</v>
      </c>
      <c r="V168" s="13">
        <v>0.2</v>
      </c>
      <c r="W168" s="2">
        <f t="shared" si="29"/>
        <v>0.2</v>
      </c>
      <c r="X168" s="2" t="str">
        <f t="shared" si="30"/>
        <v>Valid</v>
      </c>
      <c r="Y168" s="2" t="str">
        <f t="shared" si="31"/>
        <v>Clean</v>
      </c>
      <c r="Z168">
        <v>2046.28</v>
      </c>
      <c r="AA168">
        <v>1449.54</v>
      </c>
      <c r="AB168" s="2">
        <f t="shared" si="25"/>
        <v>596.74</v>
      </c>
      <c r="AC168">
        <v>596.74</v>
      </c>
      <c r="AD168" s="11">
        <f t="shared" si="32"/>
        <v>0.29162186992982386</v>
      </c>
      <c r="AE168" t="s">
        <v>33</v>
      </c>
      <c r="AF168" t="s">
        <v>34</v>
      </c>
    </row>
    <row r="169" spans="1:32">
      <c r="A169" t="s">
        <v>611</v>
      </c>
      <c r="B169" s="2" t="str">
        <f t="shared" si="22"/>
        <v>Unique</v>
      </c>
      <c r="C169" s="2" t="str">
        <f t="shared" si="26"/>
        <v>Aug</v>
      </c>
      <c r="D169" s="2">
        <f t="shared" si="27"/>
        <v>2025</v>
      </c>
      <c r="E169" s="4">
        <v>45887</v>
      </c>
      <c r="F169" s="4">
        <v>45887</v>
      </c>
      <c r="G169" s="6">
        <f t="shared" si="23"/>
        <v>0</v>
      </c>
      <c r="H169" s="6" t="str">
        <f t="shared" si="24"/>
        <v>Valid</v>
      </c>
      <c r="I169" t="s">
        <v>612</v>
      </c>
      <c r="J169" t="s">
        <v>54</v>
      </c>
      <c r="K169" t="s">
        <v>96</v>
      </c>
      <c r="L169" t="s">
        <v>55</v>
      </c>
      <c r="M169" t="s">
        <v>176</v>
      </c>
      <c r="O169" t="s">
        <v>29</v>
      </c>
      <c r="P169" t="s">
        <v>125</v>
      </c>
      <c r="Q169" t="s">
        <v>613</v>
      </c>
      <c r="R169" t="s">
        <v>51</v>
      </c>
      <c r="S169">
        <v>9</v>
      </c>
      <c r="T169">
        <v>3030.93</v>
      </c>
      <c r="U169" s="2">
        <f t="shared" si="28"/>
        <v>23186.6145</v>
      </c>
      <c r="V169" s="13">
        <v>0.15</v>
      </c>
      <c r="W169" s="2">
        <f t="shared" si="29"/>
        <v>0.15</v>
      </c>
      <c r="X169" s="2" t="str">
        <f t="shared" si="30"/>
        <v>Valid</v>
      </c>
      <c r="Y169" s="2" t="str">
        <f t="shared" si="31"/>
        <v>Clean</v>
      </c>
      <c r="Z169">
        <v>23186.61</v>
      </c>
      <c r="AA169">
        <v>17906.54</v>
      </c>
      <c r="AB169" s="2">
        <f t="shared" si="25"/>
        <v>5280.0744999999988</v>
      </c>
      <c r="AC169">
        <v>5280.07</v>
      </c>
      <c r="AD169" s="11">
        <f t="shared" si="32"/>
        <v>0.22772065429142077</v>
      </c>
      <c r="AE169" t="s">
        <v>33</v>
      </c>
      <c r="AF169" t="s">
        <v>104</v>
      </c>
    </row>
    <row r="170" spans="1:32">
      <c r="A170" t="s">
        <v>614</v>
      </c>
      <c r="B170" s="2" t="str">
        <f t="shared" si="22"/>
        <v>Unique</v>
      </c>
      <c r="C170" s="2" t="str">
        <f t="shared" si="26"/>
        <v>Jan</v>
      </c>
      <c r="D170" s="2">
        <f t="shared" si="27"/>
        <v>2025</v>
      </c>
      <c r="E170" s="4">
        <v>45677</v>
      </c>
      <c r="F170" s="4">
        <v>45680</v>
      </c>
      <c r="G170" s="6">
        <f t="shared" si="23"/>
        <v>3</v>
      </c>
      <c r="H170" s="6" t="str">
        <f t="shared" si="24"/>
        <v>Valid</v>
      </c>
      <c r="I170" t="s">
        <v>615</v>
      </c>
      <c r="J170" t="s">
        <v>265</v>
      </c>
      <c r="K170" t="s">
        <v>25</v>
      </c>
      <c r="L170" t="s">
        <v>64</v>
      </c>
      <c r="M170" t="s">
        <v>65</v>
      </c>
      <c r="O170" t="s">
        <v>75</v>
      </c>
      <c r="P170" t="s">
        <v>76</v>
      </c>
      <c r="Q170" t="s">
        <v>616</v>
      </c>
      <c r="R170" t="s">
        <v>45</v>
      </c>
      <c r="S170">
        <v>5</v>
      </c>
      <c r="T170">
        <v>639.27</v>
      </c>
      <c r="U170" s="2">
        <f t="shared" si="28"/>
        <v>2557.08</v>
      </c>
      <c r="V170" s="13">
        <v>0.2</v>
      </c>
      <c r="W170" s="2">
        <f t="shared" si="29"/>
        <v>0.2</v>
      </c>
      <c r="X170" s="2" t="str">
        <f t="shared" si="30"/>
        <v>Valid</v>
      </c>
      <c r="Y170" s="2" t="str">
        <f t="shared" si="31"/>
        <v>Clean</v>
      </c>
      <c r="Z170">
        <v>2557.08</v>
      </c>
      <c r="AA170">
        <v>2025.69</v>
      </c>
      <c r="AB170" s="2">
        <f t="shared" si="25"/>
        <v>531.38999999999987</v>
      </c>
      <c r="AC170">
        <v>531.39</v>
      </c>
      <c r="AD170" s="11">
        <f t="shared" si="32"/>
        <v>0.20781125346097892</v>
      </c>
      <c r="AE170" t="s">
        <v>33</v>
      </c>
      <c r="AF170" t="s">
        <v>69</v>
      </c>
    </row>
    <row r="171" spans="1:32">
      <c r="A171" t="s">
        <v>617</v>
      </c>
      <c r="B171" s="2" t="str">
        <f t="shared" si="22"/>
        <v>Unique</v>
      </c>
      <c r="C171" s="2" t="str">
        <f t="shared" si="26"/>
        <v>Sep</v>
      </c>
      <c r="D171" s="2">
        <f t="shared" si="27"/>
        <v>2025</v>
      </c>
      <c r="E171" s="4">
        <v>45913</v>
      </c>
      <c r="F171" s="4">
        <v>45913</v>
      </c>
      <c r="G171" s="6">
        <f t="shared" si="23"/>
        <v>0</v>
      </c>
      <c r="H171" s="6" t="str">
        <f t="shared" si="24"/>
        <v>Valid</v>
      </c>
      <c r="I171" t="s">
        <v>618</v>
      </c>
      <c r="J171" t="s">
        <v>163</v>
      </c>
      <c r="K171" t="s">
        <v>25</v>
      </c>
      <c r="L171" t="s">
        <v>39</v>
      </c>
      <c r="M171" t="s">
        <v>167</v>
      </c>
      <c r="O171" t="s">
        <v>29</v>
      </c>
      <c r="P171" t="s">
        <v>49</v>
      </c>
      <c r="Q171" t="s">
        <v>619</v>
      </c>
      <c r="R171" t="s">
        <v>60</v>
      </c>
      <c r="S171">
        <v>8</v>
      </c>
      <c r="T171">
        <v>733.9</v>
      </c>
      <c r="U171" s="2">
        <f t="shared" si="28"/>
        <v>5577.6399999999994</v>
      </c>
      <c r="V171" s="13">
        <v>0.05</v>
      </c>
      <c r="W171" s="2">
        <f t="shared" si="29"/>
        <v>0.05</v>
      </c>
      <c r="X171" s="2" t="str">
        <f t="shared" si="30"/>
        <v>Valid</v>
      </c>
      <c r="Y171" s="2" t="str">
        <f t="shared" si="31"/>
        <v>Clean</v>
      </c>
      <c r="Z171">
        <v>5577.64</v>
      </c>
      <c r="AA171">
        <v>3541.29</v>
      </c>
      <c r="AB171" s="2">
        <f t="shared" si="25"/>
        <v>2036.3499999999995</v>
      </c>
      <c r="AC171">
        <v>2036.35</v>
      </c>
      <c r="AD171" s="11">
        <f t="shared" si="32"/>
        <v>0.36509168752375554</v>
      </c>
      <c r="AE171" t="s">
        <v>112</v>
      </c>
      <c r="AF171" t="s">
        <v>104</v>
      </c>
    </row>
    <row r="172" spans="1:32">
      <c r="A172" t="s">
        <v>620</v>
      </c>
      <c r="B172" s="2" t="str">
        <f t="shared" si="22"/>
        <v>Duplicate Order ID</v>
      </c>
      <c r="C172" s="2" t="str">
        <f t="shared" si="26"/>
        <v>Sep</v>
      </c>
      <c r="D172" s="2">
        <f t="shared" si="27"/>
        <v>2025</v>
      </c>
      <c r="E172" s="4">
        <v>45907</v>
      </c>
      <c r="F172" s="4">
        <v>45915</v>
      </c>
      <c r="G172" s="6">
        <f t="shared" si="23"/>
        <v>8</v>
      </c>
      <c r="H172" s="6" t="str">
        <f t="shared" si="24"/>
        <v>Valid</v>
      </c>
      <c r="I172" t="s">
        <v>621</v>
      </c>
      <c r="J172" t="s">
        <v>142</v>
      </c>
      <c r="K172" t="s">
        <v>91</v>
      </c>
      <c r="L172" t="s">
        <v>39</v>
      </c>
      <c r="M172" t="s">
        <v>146</v>
      </c>
      <c r="O172" t="s">
        <v>75</v>
      </c>
      <c r="P172" t="s">
        <v>81</v>
      </c>
      <c r="Q172" t="s">
        <v>622</v>
      </c>
      <c r="R172" t="s">
        <v>60</v>
      </c>
      <c r="S172">
        <v>3</v>
      </c>
      <c r="T172">
        <v>1711.32</v>
      </c>
      <c r="U172" s="2">
        <f t="shared" si="28"/>
        <v>5133.96</v>
      </c>
      <c r="V172" s="13">
        <v>0</v>
      </c>
      <c r="W172" s="2">
        <f t="shared" si="29"/>
        <v>0</v>
      </c>
      <c r="X172" s="2" t="str">
        <f t="shared" si="30"/>
        <v>Valid</v>
      </c>
      <c r="Y172" s="2" t="str">
        <f t="shared" si="31"/>
        <v>Clean</v>
      </c>
      <c r="Z172">
        <v>5133.96</v>
      </c>
      <c r="AA172">
        <v>3930</v>
      </c>
      <c r="AB172" s="2">
        <f t="shared" si="25"/>
        <v>1203.96</v>
      </c>
      <c r="AC172">
        <v>1203.96</v>
      </c>
      <c r="AD172" s="11">
        <f t="shared" si="32"/>
        <v>0.23450903396208775</v>
      </c>
      <c r="AE172" t="s">
        <v>33</v>
      </c>
      <c r="AF172" t="s">
        <v>34</v>
      </c>
    </row>
    <row r="173" spans="1:32">
      <c r="A173" t="s">
        <v>623</v>
      </c>
      <c r="B173" s="2" t="str">
        <f t="shared" si="22"/>
        <v>Unique</v>
      </c>
      <c r="C173" s="2" t="str">
        <f t="shared" si="26"/>
        <v>Feb</v>
      </c>
      <c r="D173" s="2">
        <f t="shared" si="27"/>
        <v>2025</v>
      </c>
      <c r="E173" s="4">
        <v>45711</v>
      </c>
      <c r="F173" s="4">
        <v>45713</v>
      </c>
      <c r="G173" s="6">
        <f t="shared" si="23"/>
        <v>2</v>
      </c>
      <c r="H173" s="6" t="str">
        <f t="shared" si="24"/>
        <v>Valid</v>
      </c>
      <c r="I173" t="s">
        <v>624</v>
      </c>
      <c r="J173" t="s">
        <v>24</v>
      </c>
      <c r="K173" t="s">
        <v>91</v>
      </c>
      <c r="L173" t="s">
        <v>39</v>
      </c>
      <c r="M173" t="s">
        <v>146</v>
      </c>
      <c r="O173" t="s">
        <v>29</v>
      </c>
      <c r="P173" t="s">
        <v>92</v>
      </c>
      <c r="Q173" t="s">
        <v>625</v>
      </c>
      <c r="R173" t="s">
        <v>45</v>
      </c>
      <c r="S173">
        <v>5</v>
      </c>
      <c r="T173">
        <v>4246.2700000000004</v>
      </c>
      <c r="U173" s="2">
        <f t="shared" si="28"/>
        <v>15923.512500000001</v>
      </c>
      <c r="V173" s="13">
        <v>0.25</v>
      </c>
      <c r="W173" s="2">
        <f t="shared" si="29"/>
        <v>0.25</v>
      </c>
      <c r="X173" s="2" t="str">
        <f t="shared" si="30"/>
        <v>Valid</v>
      </c>
      <c r="Y173" s="2" t="str">
        <f t="shared" si="31"/>
        <v>Clean</v>
      </c>
      <c r="Z173">
        <v>15923.51</v>
      </c>
      <c r="AA173">
        <v>11291.8</v>
      </c>
      <c r="AB173" s="2">
        <f t="shared" si="25"/>
        <v>4631.7125000000015</v>
      </c>
      <c r="AC173">
        <v>4631.71</v>
      </c>
      <c r="AD173" s="11">
        <f t="shared" si="32"/>
        <v>0.29087242699630922</v>
      </c>
      <c r="AE173" t="s">
        <v>33</v>
      </c>
      <c r="AF173" t="s">
        <v>34</v>
      </c>
    </row>
    <row r="174" spans="1:32">
      <c r="A174" t="s">
        <v>626</v>
      </c>
      <c r="B174" s="2" t="str">
        <f t="shared" si="22"/>
        <v>Unique</v>
      </c>
      <c r="C174" s="2" t="str">
        <f t="shared" si="26"/>
        <v>Aug</v>
      </c>
      <c r="D174" s="2">
        <f t="shared" si="27"/>
        <v>2025</v>
      </c>
      <c r="E174" s="4">
        <v>45871</v>
      </c>
      <c r="F174" s="4">
        <v>45879</v>
      </c>
      <c r="G174" s="6">
        <f t="shared" si="23"/>
        <v>8</v>
      </c>
      <c r="H174" s="6" t="str">
        <f t="shared" si="24"/>
        <v>Valid</v>
      </c>
      <c r="I174" t="s">
        <v>627</v>
      </c>
      <c r="J174" t="s">
        <v>24</v>
      </c>
      <c r="K174" t="s">
        <v>91</v>
      </c>
      <c r="L174" t="s">
        <v>26</v>
      </c>
      <c r="M174" t="s">
        <v>351</v>
      </c>
      <c r="O174" t="s">
        <v>42</v>
      </c>
      <c r="P174" t="s">
        <v>58</v>
      </c>
      <c r="Q174" t="s">
        <v>628</v>
      </c>
      <c r="R174" t="s">
        <v>45</v>
      </c>
      <c r="S174">
        <v>9</v>
      </c>
      <c r="T174">
        <v>2962.62</v>
      </c>
      <c r="U174" s="2">
        <f t="shared" si="28"/>
        <v>23997.221999999998</v>
      </c>
      <c r="V174" s="13">
        <v>0.1</v>
      </c>
      <c r="W174" s="2">
        <f t="shared" si="29"/>
        <v>0.1</v>
      </c>
      <c r="X174" s="2" t="str">
        <f t="shared" si="30"/>
        <v>Valid</v>
      </c>
      <c r="Y174" s="2" t="str">
        <f t="shared" si="31"/>
        <v>Clean</v>
      </c>
      <c r="Z174">
        <v>23997.22</v>
      </c>
      <c r="AA174">
        <v>16134.63</v>
      </c>
      <c r="AB174" s="2">
        <f t="shared" si="25"/>
        <v>7862.5919999999987</v>
      </c>
      <c r="AC174">
        <v>7862.59</v>
      </c>
      <c r="AD174" s="11">
        <f t="shared" si="32"/>
        <v>0.32764586897982351</v>
      </c>
      <c r="AE174" t="s">
        <v>103</v>
      </c>
      <c r="AF174" t="s">
        <v>104</v>
      </c>
    </row>
    <row r="175" spans="1:32">
      <c r="A175" t="s">
        <v>629</v>
      </c>
      <c r="B175" s="2" t="str">
        <f t="shared" si="22"/>
        <v>Unique</v>
      </c>
      <c r="C175" s="2" t="str">
        <f t="shared" si="26"/>
        <v>May</v>
      </c>
      <c r="D175" s="2">
        <f t="shared" si="27"/>
        <v>2024</v>
      </c>
      <c r="E175" s="4">
        <v>45414</v>
      </c>
      <c r="F175" s="4">
        <v>45420</v>
      </c>
      <c r="G175" s="6">
        <f t="shared" si="23"/>
        <v>6</v>
      </c>
      <c r="H175" s="6" t="str">
        <f t="shared" si="24"/>
        <v>Valid</v>
      </c>
      <c r="I175" t="s">
        <v>630</v>
      </c>
      <c r="J175" t="s">
        <v>115</v>
      </c>
      <c r="K175" t="s">
        <v>96</v>
      </c>
      <c r="L175" t="s">
        <v>26</v>
      </c>
      <c r="M175" t="s">
        <v>123</v>
      </c>
      <c r="O175" t="s">
        <v>75</v>
      </c>
      <c r="P175" t="s">
        <v>81</v>
      </c>
      <c r="Q175" t="s">
        <v>631</v>
      </c>
      <c r="R175" t="s">
        <v>32</v>
      </c>
      <c r="S175">
        <v>1</v>
      </c>
      <c r="T175">
        <v>2312.25</v>
      </c>
      <c r="U175" s="2">
        <f t="shared" si="28"/>
        <v>1734.1875</v>
      </c>
      <c r="V175" s="13">
        <v>0.25</v>
      </c>
      <c r="W175" s="2">
        <f t="shared" si="29"/>
        <v>0.25</v>
      </c>
      <c r="X175" s="2" t="str">
        <f t="shared" si="30"/>
        <v>Valid</v>
      </c>
      <c r="Y175" s="2" t="str">
        <f t="shared" si="31"/>
        <v>Clean</v>
      </c>
      <c r="Z175">
        <v>1734.19</v>
      </c>
      <c r="AA175">
        <v>1386.07</v>
      </c>
      <c r="AB175" s="2">
        <f t="shared" si="25"/>
        <v>348.11750000000006</v>
      </c>
      <c r="AC175">
        <v>348.12</v>
      </c>
      <c r="AD175" s="11">
        <f t="shared" si="32"/>
        <v>0.20073925002450713</v>
      </c>
      <c r="AE175" t="s">
        <v>33</v>
      </c>
      <c r="AF175" t="s">
        <v>34</v>
      </c>
    </row>
    <row r="176" spans="1:32">
      <c r="A176" t="s">
        <v>632</v>
      </c>
      <c r="B176" s="2" t="str">
        <f t="shared" si="22"/>
        <v>Unique</v>
      </c>
      <c r="C176" s="2" t="str">
        <f t="shared" si="26"/>
        <v>Sep</v>
      </c>
      <c r="D176" s="2">
        <f t="shared" si="27"/>
        <v>2025</v>
      </c>
      <c r="E176" s="4">
        <v>45928</v>
      </c>
      <c r="F176" s="4">
        <v>45934</v>
      </c>
      <c r="G176" s="6">
        <f t="shared" si="23"/>
        <v>6</v>
      </c>
      <c r="H176" s="6" t="str">
        <f t="shared" si="24"/>
        <v>Valid</v>
      </c>
      <c r="I176" t="s">
        <v>633</v>
      </c>
      <c r="J176" t="s">
        <v>24</v>
      </c>
      <c r="K176" t="s">
        <v>38</v>
      </c>
      <c r="L176" t="s">
        <v>55</v>
      </c>
      <c r="M176" t="s">
        <v>176</v>
      </c>
      <c r="O176" t="s">
        <v>42</v>
      </c>
      <c r="P176" t="s">
        <v>159</v>
      </c>
      <c r="Q176" t="s">
        <v>634</v>
      </c>
      <c r="R176" t="s">
        <v>51</v>
      </c>
      <c r="S176">
        <v>6</v>
      </c>
      <c r="T176">
        <v>1620.53</v>
      </c>
      <c r="U176" s="2">
        <f t="shared" si="28"/>
        <v>8264.7029999999995</v>
      </c>
      <c r="V176" s="13">
        <v>0.15</v>
      </c>
      <c r="W176" s="2">
        <f t="shared" si="29"/>
        <v>0.15</v>
      </c>
      <c r="X176" s="2" t="str">
        <f t="shared" si="30"/>
        <v>Valid</v>
      </c>
      <c r="Y176" s="2" t="str">
        <f t="shared" si="31"/>
        <v>Clean</v>
      </c>
      <c r="Z176">
        <v>8264.7000000000007</v>
      </c>
      <c r="AA176">
        <v>4768.75</v>
      </c>
      <c r="AB176" s="2">
        <f t="shared" si="25"/>
        <v>3495.9529999999995</v>
      </c>
      <c r="AC176">
        <v>3495.95</v>
      </c>
      <c r="AD176" s="11">
        <f t="shared" si="32"/>
        <v>0.42299780996285402</v>
      </c>
      <c r="AE176" t="s">
        <v>112</v>
      </c>
      <c r="AF176" t="s">
        <v>104</v>
      </c>
    </row>
    <row r="177" spans="1:32">
      <c r="A177" t="s">
        <v>635</v>
      </c>
      <c r="B177" s="2" t="str">
        <f t="shared" si="22"/>
        <v>Unique</v>
      </c>
      <c r="C177" s="2" t="str">
        <f t="shared" si="26"/>
        <v>Jan</v>
      </c>
      <c r="D177" s="2">
        <f t="shared" si="27"/>
        <v>2024</v>
      </c>
      <c r="E177" s="4">
        <v>45318</v>
      </c>
      <c r="F177" s="4">
        <v>45325</v>
      </c>
      <c r="G177" s="6">
        <f t="shared" si="23"/>
        <v>7</v>
      </c>
      <c r="H177" s="6" t="str">
        <f t="shared" si="24"/>
        <v>Valid</v>
      </c>
      <c r="I177" t="s">
        <v>636</v>
      </c>
      <c r="J177" t="s">
        <v>54</v>
      </c>
      <c r="K177" t="s">
        <v>38</v>
      </c>
      <c r="L177" t="s">
        <v>39</v>
      </c>
      <c r="M177" t="s">
        <v>146</v>
      </c>
      <c r="O177" t="s">
        <v>75</v>
      </c>
      <c r="P177" t="s">
        <v>275</v>
      </c>
      <c r="Q177" t="s">
        <v>637</v>
      </c>
      <c r="R177" t="s">
        <v>45</v>
      </c>
      <c r="S177">
        <v>7</v>
      </c>
      <c r="T177">
        <v>2673.42</v>
      </c>
      <c r="U177" s="2">
        <f t="shared" si="28"/>
        <v>15906.849000000002</v>
      </c>
      <c r="V177" s="13">
        <v>0.15</v>
      </c>
      <c r="W177" s="2">
        <f t="shared" si="29"/>
        <v>0.15</v>
      </c>
      <c r="X177" s="2" t="str">
        <f t="shared" si="30"/>
        <v>Valid</v>
      </c>
      <c r="Y177" s="2" t="str">
        <f t="shared" si="31"/>
        <v>Clean</v>
      </c>
      <c r="Z177">
        <v>15906.85</v>
      </c>
      <c r="AA177">
        <v>11014.46</v>
      </c>
      <c r="AB177" s="2">
        <f t="shared" si="25"/>
        <v>4892.3890000000029</v>
      </c>
      <c r="AC177">
        <v>4892.3900000000003</v>
      </c>
      <c r="AD177" s="11">
        <f t="shared" si="32"/>
        <v>0.30756497986716413</v>
      </c>
      <c r="AE177" t="s">
        <v>33</v>
      </c>
      <c r="AF177" t="s">
        <v>104</v>
      </c>
    </row>
    <row r="178" spans="1:32">
      <c r="A178" t="s">
        <v>638</v>
      </c>
      <c r="B178" s="2" t="str">
        <f t="shared" si="22"/>
        <v>Unique</v>
      </c>
      <c r="C178" s="2" t="str">
        <f t="shared" si="26"/>
        <v>Mar</v>
      </c>
      <c r="D178" s="2">
        <f t="shared" si="27"/>
        <v>2025</v>
      </c>
      <c r="E178" s="4">
        <v>45734</v>
      </c>
      <c r="F178" s="4">
        <v>45742</v>
      </c>
      <c r="G178" s="6">
        <f t="shared" si="23"/>
        <v>8</v>
      </c>
      <c r="H178" s="6" t="str">
        <f t="shared" si="24"/>
        <v>Valid</v>
      </c>
      <c r="I178" t="s">
        <v>639</v>
      </c>
      <c r="J178" t="s">
        <v>72</v>
      </c>
      <c r="K178" t="s">
        <v>91</v>
      </c>
      <c r="L178" t="s">
        <v>39</v>
      </c>
      <c r="M178" t="s">
        <v>229</v>
      </c>
      <c r="O178" t="s">
        <v>42</v>
      </c>
      <c r="P178" t="s">
        <v>159</v>
      </c>
      <c r="Q178" t="s">
        <v>640</v>
      </c>
      <c r="R178" t="s">
        <v>60</v>
      </c>
      <c r="S178">
        <v>8</v>
      </c>
      <c r="T178">
        <v>3563.09</v>
      </c>
      <c r="U178" s="2">
        <f t="shared" si="28"/>
        <v>24229.011999999999</v>
      </c>
      <c r="V178" s="13">
        <v>0.15</v>
      </c>
      <c r="W178" s="2">
        <f t="shared" si="29"/>
        <v>0.15</v>
      </c>
      <c r="X178" s="2" t="str">
        <f t="shared" si="30"/>
        <v>Valid</v>
      </c>
      <c r="Y178" s="2" t="str">
        <f t="shared" si="31"/>
        <v>Clean</v>
      </c>
      <c r="Z178">
        <v>24229.01</v>
      </c>
      <c r="AA178">
        <v>13910.64</v>
      </c>
      <c r="AB178" s="2">
        <f t="shared" si="25"/>
        <v>10318.371999999999</v>
      </c>
      <c r="AC178">
        <v>10318.370000000001</v>
      </c>
      <c r="AD178" s="11">
        <f t="shared" si="32"/>
        <v>0.42586841146212751</v>
      </c>
      <c r="AE178" t="s">
        <v>33</v>
      </c>
      <c r="AF178" t="s">
        <v>34</v>
      </c>
    </row>
    <row r="179" spans="1:32">
      <c r="A179" t="s">
        <v>641</v>
      </c>
      <c r="B179" s="2" t="str">
        <f t="shared" si="22"/>
        <v>Unique</v>
      </c>
      <c r="C179" s="2" t="str">
        <f t="shared" si="26"/>
        <v>Jun</v>
      </c>
      <c r="D179" s="2">
        <f t="shared" si="27"/>
        <v>2024</v>
      </c>
      <c r="E179" s="4">
        <v>45444</v>
      </c>
      <c r="F179" s="4">
        <v>45446</v>
      </c>
      <c r="G179" s="6">
        <f t="shared" si="23"/>
        <v>2</v>
      </c>
      <c r="H179" s="6" t="str">
        <f t="shared" si="24"/>
        <v>Valid</v>
      </c>
      <c r="I179" t="s">
        <v>642</v>
      </c>
      <c r="J179" t="s">
        <v>133</v>
      </c>
      <c r="K179" t="s">
        <v>96</v>
      </c>
      <c r="L179" s="2" t="s">
        <v>2793</v>
      </c>
      <c r="M179" t="s">
        <v>146</v>
      </c>
      <c r="O179" t="s">
        <v>29</v>
      </c>
      <c r="P179" t="s">
        <v>49</v>
      </c>
      <c r="Q179" t="s">
        <v>643</v>
      </c>
      <c r="R179" t="s">
        <v>45</v>
      </c>
      <c r="S179">
        <v>8</v>
      </c>
      <c r="T179">
        <v>3879.95</v>
      </c>
      <c r="U179" s="2">
        <f t="shared" si="28"/>
        <v>31039.599999999999</v>
      </c>
      <c r="V179" s="13">
        <v>0</v>
      </c>
      <c r="W179" s="2">
        <f t="shared" si="29"/>
        <v>0</v>
      </c>
      <c r="X179" s="2" t="str">
        <f t="shared" si="30"/>
        <v>Valid</v>
      </c>
      <c r="Y179" s="2" t="str">
        <f t="shared" si="31"/>
        <v>Clean</v>
      </c>
      <c r="Z179">
        <v>31039.599999999999</v>
      </c>
      <c r="AA179">
        <v>20866.72</v>
      </c>
      <c r="AB179" s="2">
        <f t="shared" si="25"/>
        <v>10172.879999999997</v>
      </c>
      <c r="AC179">
        <v>10172.879999999999</v>
      </c>
      <c r="AD179" s="11">
        <f t="shared" si="32"/>
        <v>0.3277387595200969</v>
      </c>
      <c r="AE179" t="s">
        <v>33</v>
      </c>
      <c r="AF179" t="s">
        <v>34</v>
      </c>
    </row>
    <row r="180" spans="1:32">
      <c r="A180" t="s">
        <v>644</v>
      </c>
      <c r="B180" s="2" t="str">
        <f t="shared" si="22"/>
        <v>Unique</v>
      </c>
      <c r="C180" s="2" t="str">
        <f t="shared" si="26"/>
        <v>Sep</v>
      </c>
      <c r="D180" s="2">
        <f t="shared" si="27"/>
        <v>2024</v>
      </c>
      <c r="E180" s="4">
        <v>45565</v>
      </c>
      <c r="F180" s="4">
        <v>45565</v>
      </c>
      <c r="G180" s="6">
        <f t="shared" si="23"/>
        <v>0</v>
      </c>
      <c r="H180" s="6" t="str">
        <f t="shared" si="24"/>
        <v>Valid</v>
      </c>
      <c r="I180" t="s">
        <v>645</v>
      </c>
      <c r="J180" t="s">
        <v>48</v>
      </c>
      <c r="K180" t="s">
        <v>91</v>
      </c>
      <c r="L180" t="s">
        <v>55</v>
      </c>
      <c r="M180" t="s">
        <v>56</v>
      </c>
      <c r="O180" t="s">
        <v>29</v>
      </c>
      <c r="P180" t="s">
        <v>49</v>
      </c>
      <c r="Q180" t="s">
        <v>646</v>
      </c>
      <c r="R180" t="s">
        <v>60</v>
      </c>
      <c r="S180">
        <v>4</v>
      </c>
      <c r="T180">
        <v>3281.74</v>
      </c>
      <c r="U180" s="2">
        <f t="shared" si="28"/>
        <v>13126.96</v>
      </c>
      <c r="V180" s="13">
        <v>0</v>
      </c>
      <c r="W180" s="2">
        <f t="shared" si="29"/>
        <v>0</v>
      </c>
      <c r="X180" s="2" t="str">
        <f t="shared" si="30"/>
        <v>Valid</v>
      </c>
      <c r="Y180" s="2" t="str">
        <f t="shared" si="31"/>
        <v>Clean</v>
      </c>
      <c r="Z180">
        <v>13126.96</v>
      </c>
      <c r="AA180">
        <v>10732.44</v>
      </c>
      <c r="AB180" s="2">
        <f t="shared" si="25"/>
        <v>2394.5199999999986</v>
      </c>
      <c r="AC180">
        <v>2394.52</v>
      </c>
      <c r="AD180" s="11">
        <f t="shared" si="32"/>
        <v>0.18241237879905173</v>
      </c>
      <c r="AE180" t="s">
        <v>33</v>
      </c>
      <c r="AF180" t="s">
        <v>34</v>
      </c>
    </row>
    <row r="181" spans="1:32">
      <c r="A181" t="s">
        <v>647</v>
      </c>
      <c r="B181" s="2" t="str">
        <f t="shared" si="22"/>
        <v>Unique</v>
      </c>
      <c r="C181" s="2" t="str">
        <f t="shared" si="26"/>
        <v>Mar</v>
      </c>
      <c r="D181" s="2">
        <f t="shared" si="27"/>
        <v>2024</v>
      </c>
      <c r="E181" s="4">
        <v>45366</v>
      </c>
      <c r="F181" s="4">
        <v>45370</v>
      </c>
      <c r="G181" s="6">
        <f t="shared" si="23"/>
        <v>4</v>
      </c>
      <c r="H181" s="6" t="str">
        <f t="shared" si="24"/>
        <v>Valid</v>
      </c>
      <c r="I181" t="s">
        <v>648</v>
      </c>
      <c r="J181" t="s">
        <v>63</v>
      </c>
      <c r="K181" t="s">
        <v>38</v>
      </c>
      <c r="L181" t="s">
        <v>55</v>
      </c>
      <c r="M181" t="s">
        <v>248</v>
      </c>
      <c r="O181" t="s">
        <v>42</v>
      </c>
      <c r="P181" t="s">
        <v>58</v>
      </c>
      <c r="Q181" t="s">
        <v>649</v>
      </c>
      <c r="R181" t="s">
        <v>60</v>
      </c>
      <c r="S181">
        <v>4</v>
      </c>
      <c r="T181">
        <v>3186.3</v>
      </c>
      <c r="U181" s="2">
        <f t="shared" si="28"/>
        <v>9558.9000000000015</v>
      </c>
      <c r="V181" s="13">
        <v>0.25</v>
      </c>
      <c r="W181" s="2">
        <f t="shared" si="29"/>
        <v>0.25</v>
      </c>
      <c r="X181" s="2" t="str">
        <f t="shared" si="30"/>
        <v>Valid</v>
      </c>
      <c r="Y181" s="2" t="str">
        <f t="shared" si="31"/>
        <v>Clean</v>
      </c>
      <c r="Z181">
        <v>9558.9</v>
      </c>
      <c r="AA181">
        <v>5516.76</v>
      </c>
      <c r="AB181" s="2">
        <f t="shared" si="25"/>
        <v>4042.1400000000012</v>
      </c>
      <c r="AC181">
        <v>4042.14</v>
      </c>
      <c r="AD181" s="11">
        <f t="shared" si="32"/>
        <v>0.4228666478360481</v>
      </c>
      <c r="AE181" t="s">
        <v>103</v>
      </c>
      <c r="AF181" t="s">
        <v>104</v>
      </c>
    </row>
    <row r="182" spans="1:32">
      <c r="A182" t="s">
        <v>650</v>
      </c>
      <c r="B182" s="2" t="str">
        <f t="shared" si="22"/>
        <v>Unique</v>
      </c>
      <c r="C182" s="2" t="str">
        <f t="shared" si="26"/>
        <v>Aug</v>
      </c>
      <c r="D182" s="2">
        <f t="shared" si="27"/>
        <v>2024</v>
      </c>
      <c r="E182" s="4">
        <v>45530</v>
      </c>
      <c r="F182" s="4">
        <v>45530</v>
      </c>
      <c r="G182" s="6">
        <f t="shared" si="23"/>
        <v>0</v>
      </c>
      <c r="H182" s="6" t="str">
        <f t="shared" si="24"/>
        <v>Valid</v>
      </c>
      <c r="I182" t="s">
        <v>651</v>
      </c>
      <c r="J182" t="s">
        <v>37</v>
      </c>
      <c r="K182" t="s">
        <v>96</v>
      </c>
      <c r="L182" t="s">
        <v>26</v>
      </c>
      <c r="M182" t="s">
        <v>137</v>
      </c>
      <c r="O182" t="s">
        <v>29</v>
      </c>
      <c r="P182" t="s">
        <v>154</v>
      </c>
      <c r="Q182" t="s">
        <v>652</v>
      </c>
      <c r="R182" t="s">
        <v>51</v>
      </c>
      <c r="S182">
        <v>7</v>
      </c>
      <c r="T182">
        <v>844.59</v>
      </c>
      <c r="U182" s="2">
        <f t="shared" si="28"/>
        <v>5320.9170000000004</v>
      </c>
      <c r="V182" s="13">
        <v>0.1</v>
      </c>
      <c r="W182" s="2">
        <f t="shared" si="29"/>
        <v>0.1</v>
      </c>
      <c r="X182" s="2" t="str">
        <f t="shared" si="30"/>
        <v>Valid</v>
      </c>
      <c r="Y182" s="2" t="str">
        <f t="shared" si="31"/>
        <v>Clean</v>
      </c>
      <c r="Z182">
        <v>5320.92</v>
      </c>
      <c r="AA182">
        <v>3041.5</v>
      </c>
      <c r="AB182" s="2">
        <f t="shared" si="25"/>
        <v>2279.4170000000004</v>
      </c>
      <c r="AC182">
        <v>2279.42</v>
      </c>
      <c r="AD182" s="11">
        <f t="shared" si="32"/>
        <v>0.42838832382369968</v>
      </c>
      <c r="AE182" t="s">
        <v>33</v>
      </c>
      <c r="AF182" t="s">
        <v>34</v>
      </c>
    </row>
    <row r="183" spans="1:32">
      <c r="A183" t="s">
        <v>653</v>
      </c>
      <c r="B183" s="2" t="str">
        <f t="shared" si="22"/>
        <v>Unique</v>
      </c>
      <c r="C183" s="2" t="str">
        <f t="shared" si="26"/>
        <v>Sep</v>
      </c>
      <c r="D183" s="2">
        <f t="shared" si="27"/>
        <v>2025</v>
      </c>
      <c r="E183" s="4">
        <v>45909</v>
      </c>
      <c r="F183" s="4">
        <v>45910</v>
      </c>
      <c r="G183" s="6">
        <f t="shared" si="23"/>
        <v>1</v>
      </c>
      <c r="H183" s="6" t="str">
        <f t="shared" si="24"/>
        <v>Valid</v>
      </c>
      <c r="I183" t="s">
        <v>654</v>
      </c>
      <c r="J183" t="s">
        <v>115</v>
      </c>
      <c r="K183" t="s">
        <v>96</v>
      </c>
      <c r="L183" t="s">
        <v>55</v>
      </c>
      <c r="M183" t="s">
        <v>248</v>
      </c>
      <c r="O183" t="s">
        <v>29</v>
      </c>
      <c r="P183" t="s">
        <v>49</v>
      </c>
      <c r="Q183" t="s">
        <v>655</v>
      </c>
      <c r="R183" t="s">
        <v>32</v>
      </c>
      <c r="S183">
        <v>4</v>
      </c>
      <c r="T183">
        <v>2551.4499999999998</v>
      </c>
      <c r="U183" s="2">
        <f t="shared" si="28"/>
        <v>10205.799999999999</v>
      </c>
      <c r="V183" s="13">
        <v>0</v>
      </c>
      <c r="W183" s="2">
        <f t="shared" si="29"/>
        <v>0</v>
      </c>
      <c r="X183" s="2" t="str">
        <f t="shared" si="30"/>
        <v>Valid</v>
      </c>
      <c r="Y183" s="2" t="str">
        <f t="shared" si="31"/>
        <v>Clean</v>
      </c>
      <c r="Z183">
        <v>10205.799999999999</v>
      </c>
      <c r="AA183">
        <v>5986.31</v>
      </c>
      <c r="AB183" s="2">
        <f t="shared" si="25"/>
        <v>4219.4899999999989</v>
      </c>
      <c r="AC183">
        <v>4219.49</v>
      </c>
      <c r="AD183" s="11">
        <f t="shared" si="32"/>
        <v>0.41344039663720628</v>
      </c>
      <c r="AE183" t="s">
        <v>33</v>
      </c>
      <c r="AF183" t="s">
        <v>34</v>
      </c>
    </row>
    <row r="184" spans="1:32">
      <c r="A184" t="s">
        <v>656</v>
      </c>
      <c r="B184" s="2" t="str">
        <f t="shared" si="22"/>
        <v>Unique</v>
      </c>
      <c r="C184" s="2" t="str">
        <f t="shared" si="26"/>
        <v>Oct</v>
      </c>
      <c r="D184" s="2">
        <f t="shared" si="27"/>
        <v>2024</v>
      </c>
      <c r="E184" s="4">
        <v>45581</v>
      </c>
      <c r="F184" s="4">
        <v>45581</v>
      </c>
      <c r="G184" s="6">
        <f t="shared" si="23"/>
        <v>0</v>
      </c>
      <c r="H184" s="6" t="str">
        <f t="shared" si="24"/>
        <v>Valid</v>
      </c>
      <c r="I184" t="s">
        <v>657</v>
      </c>
      <c r="J184" t="s">
        <v>63</v>
      </c>
      <c r="K184" t="s">
        <v>96</v>
      </c>
      <c r="L184" t="s">
        <v>39</v>
      </c>
      <c r="M184" t="s">
        <v>146</v>
      </c>
      <c r="O184" t="s">
        <v>75</v>
      </c>
      <c r="P184" t="s">
        <v>275</v>
      </c>
      <c r="Q184" t="s">
        <v>658</v>
      </c>
      <c r="R184" t="s">
        <v>60</v>
      </c>
      <c r="S184">
        <v>7</v>
      </c>
      <c r="T184">
        <v>775.77</v>
      </c>
      <c r="U184" s="2">
        <f t="shared" si="28"/>
        <v>5430.3899999999994</v>
      </c>
      <c r="V184" s="13">
        <v>0</v>
      </c>
      <c r="W184" s="2">
        <f t="shared" si="29"/>
        <v>0</v>
      </c>
      <c r="X184" s="2" t="str">
        <f t="shared" si="30"/>
        <v>Valid</v>
      </c>
      <c r="Y184" s="2" t="str">
        <f t="shared" si="31"/>
        <v>Clean</v>
      </c>
      <c r="Z184">
        <v>5430.39</v>
      </c>
      <c r="AA184">
        <v>3707.66</v>
      </c>
      <c r="AB184" s="2">
        <f t="shared" si="25"/>
        <v>1722.7299999999996</v>
      </c>
      <c r="AC184">
        <v>1722.73</v>
      </c>
      <c r="AD184" s="11">
        <f t="shared" si="32"/>
        <v>0.31723872502711592</v>
      </c>
      <c r="AE184" t="s">
        <v>33</v>
      </c>
      <c r="AF184" t="s">
        <v>34</v>
      </c>
    </row>
    <row r="185" spans="1:32">
      <c r="A185" t="s">
        <v>659</v>
      </c>
      <c r="B185" s="2" t="str">
        <f t="shared" si="22"/>
        <v>Unique</v>
      </c>
      <c r="C185" s="2" t="str">
        <f t="shared" si="26"/>
        <v>Jun</v>
      </c>
      <c r="D185" s="2">
        <f t="shared" si="27"/>
        <v>2025</v>
      </c>
      <c r="E185" s="4">
        <v>45832</v>
      </c>
      <c r="F185" s="4">
        <v>45835</v>
      </c>
      <c r="G185" s="6">
        <f t="shared" si="23"/>
        <v>3</v>
      </c>
      <c r="H185" s="6" t="str">
        <f t="shared" si="24"/>
        <v>Valid</v>
      </c>
      <c r="I185" t="s">
        <v>660</v>
      </c>
      <c r="J185" t="s">
        <v>72</v>
      </c>
      <c r="K185" t="s">
        <v>96</v>
      </c>
      <c r="L185" t="s">
        <v>55</v>
      </c>
      <c r="M185" t="s">
        <v>56</v>
      </c>
      <c r="O185" t="s">
        <v>75</v>
      </c>
      <c r="P185" t="s">
        <v>81</v>
      </c>
      <c r="Q185" t="s">
        <v>661</v>
      </c>
      <c r="R185" t="s">
        <v>60</v>
      </c>
      <c r="S185">
        <v>7</v>
      </c>
      <c r="T185">
        <v>2304.86</v>
      </c>
      <c r="U185" s="2">
        <f t="shared" si="28"/>
        <v>12907.216</v>
      </c>
      <c r="V185" s="13">
        <v>0.2</v>
      </c>
      <c r="W185" s="2">
        <f t="shared" si="29"/>
        <v>0.2</v>
      </c>
      <c r="X185" s="2" t="str">
        <f t="shared" si="30"/>
        <v>Valid</v>
      </c>
      <c r="Y185" s="2" t="str">
        <f t="shared" si="31"/>
        <v>Clean</v>
      </c>
      <c r="Z185">
        <v>12907.22</v>
      </c>
      <c r="AA185">
        <v>8327.89</v>
      </c>
      <c r="AB185" s="2">
        <f t="shared" si="25"/>
        <v>4579.3260000000009</v>
      </c>
      <c r="AC185">
        <v>4579.33</v>
      </c>
      <c r="AD185" s="11">
        <f t="shared" si="32"/>
        <v>0.35478825029712052</v>
      </c>
      <c r="AE185" t="s">
        <v>33</v>
      </c>
      <c r="AF185" t="s">
        <v>104</v>
      </c>
    </row>
    <row r="186" spans="1:32">
      <c r="A186" t="s">
        <v>662</v>
      </c>
      <c r="B186" s="2" t="str">
        <f t="shared" si="22"/>
        <v>Unique</v>
      </c>
      <c r="C186" s="2" t="str">
        <f t="shared" si="26"/>
        <v>Apr</v>
      </c>
      <c r="D186" s="2">
        <f t="shared" si="27"/>
        <v>2024</v>
      </c>
      <c r="E186" s="4">
        <v>45384</v>
      </c>
      <c r="F186" s="4">
        <v>45388</v>
      </c>
      <c r="G186" s="6">
        <f t="shared" si="23"/>
        <v>4</v>
      </c>
      <c r="H186" s="6" t="str">
        <f t="shared" si="24"/>
        <v>Valid</v>
      </c>
      <c r="I186" t="s">
        <v>663</v>
      </c>
      <c r="J186" t="s">
        <v>72</v>
      </c>
      <c r="K186" t="s">
        <v>91</v>
      </c>
      <c r="L186" t="s">
        <v>64</v>
      </c>
      <c r="M186" t="s">
        <v>73</v>
      </c>
      <c r="O186" t="s">
        <v>42</v>
      </c>
      <c r="P186" t="s">
        <v>159</v>
      </c>
      <c r="Q186" t="s">
        <v>664</v>
      </c>
      <c r="R186" t="s">
        <v>60</v>
      </c>
      <c r="S186">
        <v>2</v>
      </c>
      <c r="T186">
        <v>888.98</v>
      </c>
      <c r="U186" s="2">
        <f t="shared" si="28"/>
        <v>1777.96</v>
      </c>
      <c r="V186" s="13">
        <v>0</v>
      </c>
      <c r="W186" s="2">
        <f t="shared" si="29"/>
        <v>0</v>
      </c>
      <c r="X186" s="2" t="str">
        <f t="shared" si="30"/>
        <v>Valid</v>
      </c>
      <c r="Y186" s="2" t="str">
        <f t="shared" si="31"/>
        <v>Clean</v>
      </c>
      <c r="Z186">
        <v>1777.96</v>
      </c>
      <c r="AA186">
        <v>1021.16</v>
      </c>
      <c r="AB186" s="2">
        <f t="shared" si="25"/>
        <v>756.80000000000007</v>
      </c>
      <c r="AC186">
        <v>756.8</v>
      </c>
      <c r="AD186" s="11">
        <f t="shared" si="32"/>
        <v>0.42565637022205222</v>
      </c>
      <c r="AE186" t="s">
        <v>103</v>
      </c>
      <c r="AF186" t="s">
        <v>104</v>
      </c>
    </row>
    <row r="187" spans="1:32">
      <c r="A187" t="s">
        <v>665</v>
      </c>
      <c r="B187" s="2" t="str">
        <f t="shared" si="22"/>
        <v>Unique</v>
      </c>
      <c r="C187" s="2" t="str">
        <f t="shared" si="26"/>
        <v>Nov</v>
      </c>
      <c r="D187" s="2">
        <f t="shared" si="27"/>
        <v>2024</v>
      </c>
      <c r="E187" s="4">
        <v>45601</v>
      </c>
      <c r="F187" s="4">
        <v>45609</v>
      </c>
      <c r="G187" s="6">
        <f t="shared" si="23"/>
        <v>8</v>
      </c>
      <c r="H187" s="6" t="str">
        <f t="shared" si="24"/>
        <v>Valid</v>
      </c>
      <c r="I187" t="s">
        <v>666</v>
      </c>
      <c r="J187" t="s">
        <v>54</v>
      </c>
      <c r="K187" t="s">
        <v>25</v>
      </c>
      <c r="L187" s="2" t="s">
        <v>2793</v>
      </c>
      <c r="M187" t="s">
        <v>123</v>
      </c>
      <c r="O187" t="s">
        <v>29</v>
      </c>
      <c r="P187" t="s">
        <v>92</v>
      </c>
      <c r="Q187" t="s">
        <v>667</v>
      </c>
      <c r="R187" t="s">
        <v>32</v>
      </c>
      <c r="S187">
        <v>2</v>
      </c>
      <c r="T187">
        <v>1003.17</v>
      </c>
      <c r="U187" s="2">
        <f t="shared" si="28"/>
        <v>1605.0720000000001</v>
      </c>
      <c r="V187" s="13">
        <v>0.2</v>
      </c>
      <c r="W187" s="2">
        <f t="shared" si="29"/>
        <v>0.2</v>
      </c>
      <c r="X187" s="2" t="str">
        <f t="shared" si="30"/>
        <v>Valid</v>
      </c>
      <c r="Y187" s="2" t="str">
        <f t="shared" si="31"/>
        <v>Clean</v>
      </c>
      <c r="Z187">
        <v>1605.07</v>
      </c>
      <c r="AA187">
        <v>1337.28</v>
      </c>
      <c r="AB187" s="2">
        <f t="shared" si="25"/>
        <v>267.79200000000014</v>
      </c>
      <c r="AC187">
        <v>267.79000000000002</v>
      </c>
      <c r="AD187" s="11">
        <f t="shared" si="32"/>
        <v>0.16684007551072541</v>
      </c>
      <c r="AE187" t="s">
        <v>33</v>
      </c>
      <c r="AF187" t="s">
        <v>34</v>
      </c>
    </row>
    <row r="188" spans="1:32">
      <c r="A188" t="s">
        <v>668</v>
      </c>
      <c r="B188" s="2" t="str">
        <f t="shared" si="22"/>
        <v>Unique</v>
      </c>
      <c r="C188" s="2" t="str">
        <f t="shared" si="26"/>
        <v>Jul</v>
      </c>
      <c r="D188" s="2">
        <f t="shared" si="27"/>
        <v>2024</v>
      </c>
      <c r="E188" s="4">
        <v>45492</v>
      </c>
      <c r="F188" s="4">
        <v>45493</v>
      </c>
      <c r="G188" s="6">
        <f t="shared" si="23"/>
        <v>1</v>
      </c>
      <c r="H188" s="6" t="str">
        <f t="shared" si="24"/>
        <v>Valid</v>
      </c>
      <c r="I188" t="s">
        <v>264</v>
      </c>
      <c r="J188" t="s">
        <v>72</v>
      </c>
      <c r="K188" t="s">
        <v>25</v>
      </c>
      <c r="L188" t="s">
        <v>55</v>
      </c>
      <c r="M188" t="s">
        <v>248</v>
      </c>
      <c r="O188" t="s">
        <v>42</v>
      </c>
      <c r="P188" t="s">
        <v>43</v>
      </c>
      <c r="Q188" t="s">
        <v>669</v>
      </c>
      <c r="R188" t="s">
        <v>51</v>
      </c>
      <c r="S188">
        <v>7</v>
      </c>
      <c r="T188">
        <v>3608.43</v>
      </c>
      <c r="U188" s="2">
        <f t="shared" si="28"/>
        <v>23996.059499999996</v>
      </c>
      <c r="V188" s="13">
        <v>0.05</v>
      </c>
      <c r="W188" s="2">
        <f t="shared" si="29"/>
        <v>0.05</v>
      </c>
      <c r="X188" s="2" t="str">
        <f t="shared" si="30"/>
        <v>Valid</v>
      </c>
      <c r="Y188" s="2" t="str">
        <f t="shared" si="31"/>
        <v>Clean</v>
      </c>
      <c r="Z188">
        <v>23996.06</v>
      </c>
      <c r="AA188">
        <v>20167.28</v>
      </c>
      <c r="AB188" s="2">
        <f t="shared" si="25"/>
        <v>3828.7794999999969</v>
      </c>
      <c r="AC188">
        <v>3828.78</v>
      </c>
      <c r="AD188" s="11">
        <f t="shared" si="32"/>
        <v>0.15955869421896762</v>
      </c>
      <c r="AE188" t="s">
        <v>33</v>
      </c>
      <c r="AF188" t="s">
        <v>34</v>
      </c>
    </row>
    <row r="189" spans="1:32">
      <c r="A189" t="s">
        <v>670</v>
      </c>
      <c r="B189" s="2" t="str">
        <f t="shared" si="22"/>
        <v>Unique</v>
      </c>
      <c r="C189" s="2" t="str">
        <f t="shared" si="26"/>
        <v>May</v>
      </c>
      <c r="D189" s="2">
        <f t="shared" si="27"/>
        <v>2025</v>
      </c>
      <c r="E189" s="4">
        <v>45778</v>
      </c>
      <c r="F189" s="4">
        <v>45779</v>
      </c>
      <c r="G189" s="6">
        <f t="shared" si="23"/>
        <v>1</v>
      </c>
      <c r="H189" s="6" t="str">
        <f t="shared" si="24"/>
        <v>Valid</v>
      </c>
      <c r="I189" t="s">
        <v>671</v>
      </c>
      <c r="J189" t="s">
        <v>37</v>
      </c>
      <c r="K189" t="s">
        <v>25</v>
      </c>
      <c r="L189" t="s">
        <v>64</v>
      </c>
      <c r="M189" t="s">
        <v>73</v>
      </c>
      <c r="O189" t="s">
        <v>42</v>
      </c>
      <c r="P189" t="s">
        <v>67</v>
      </c>
      <c r="Q189" t="s">
        <v>672</v>
      </c>
      <c r="R189" t="s">
        <v>45</v>
      </c>
      <c r="S189">
        <v>3</v>
      </c>
      <c r="T189">
        <v>2905.74</v>
      </c>
      <c r="U189" s="2">
        <f t="shared" si="28"/>
        <v>8717.2199999999993</v>
      </c>
      <c r="V189" s="13">
        <v>0</v>
      </c>
      <c r="W189" s="2">
        <f t="shared" si="29"/>
        <v>0</v>
      </c>
      <c r="X189" s="2" t="str">
        <f t="shared" si="30"/>
        <v>Valid</v>
      </c>
      <c r="Y189" s="2" t="str">
        <f t="shared" si="31"/>
        <v>Clean</v>
      </c>
      <c r="Z189">
        <v>8717.2199999999993</v>
      </c>
      <c r="AA189">
        <v>6215.96</v>
      </c>
      <c r="AB189" s="2">
        <f t="shared" si="25"/>
        <v>2501.2599999999993</v>
      </c>
      <c r="AC189">
        <v>2501.2600000000002</v>
      </c>
      <c r="AD189" s="11">
        <f t="shared" si="32"/>
        <v>0.28693321953558593</v>
      </c>
      <c r="AE189" t="s">
        <v>33</v>
      </c>
      <c r="AF189" t="s">
        <v>104</v>
      </c>
    </row>
    <row r="190" spans="1:32">
      <c r="A190" t="s">
        <v>673</v>
      </c>
      <c r="B190" s="2" t="str">
        <f t="shared" si="22"/>
        <v>Unique</v>
      </c>
      <c r="C190" s="2" t="str">
        <f t="shared" si="26"/>
        <v>May</v>
      </c>
      <c r="D190" s="2">
        <f t="shared" si="27"/>
        <v>2025</v>
      </c>
      <c r="E190" s="4">
        <v>45798</v>
      </c>
      <c r="F190" s="4">
        <v>45805</v>
      </c>
      <c r="G190" s="6">
        <f t="shared" si="23"/>
        <v>7</v>
      </c>
      <c r="H190" s="6" t="str">
        <f t="shared" si="24"/>
        <v>Valid</v>
      </c>
      <c r="I190" t="s">
        <v>674</v>
      </c>
      <c r="J190" t="s">
        <v>115</v>
      </c>
      <c r="K190" t="s">
        <v>91</v>
      </c>
      <c r="L190" t="s">
        <v>39</v>
      </c>
      <c r="M190" t="s">
        <v>100</v>
      </c>
      <c r="O190" t="s">
        <v>42</v>
      </c>
      <c r="P190" t="s">
        <v>159</v>
      </c>
      <c r="Q190" t="s">
        <v>675</v>
      </c>
      <c r="R190" t="s">
        <v>45</v>
      </c>
      <c r="S190">
        <v>2</v>
      </c>
      <c r="T190">
        <v>3559.57</v>
      </c>
      <c r="U190" s="2">
        <f t="shared" si="28"/>
        <v>6407.2260000000006</v>
      </c>
      <c r="V190" s="13">
        <v>0.1</v>
      </c>
      <c r="W190" s="2">
        <f t="shared" si="29"/>
        <v>0.1</v>
      </c>
      <c r="X190" s="2" t="str">
        <f t="shared" si="30"/>
        <v>Valid</v>
      </c>
      <c r="Y190" s="2" t="str">
        <f t="shared" si="31"/>
        <v>Clean</v>
      </c>
      <c r="Z190">
        <v>6553.95</v>
      </c>
      <c r="AA190">
        <v>4923.09</v>
      </c>
      <c r="AB190" s="2">
        <f t="shared" si="25"/>
        <v>1484.1360000000004</v>
      </c>
      <c r="AC190">
        <v>1484.14</v>
      </c>
      <c r="AD190" s="11">
        <f t="shared" si="32"/>
        <v>0.22644969827356023</v>
      </c>
      <c r="AE190" t="s">
        <v>33</v>
      </c>
      <c r="AF190" t="s">
        <v>34</v>
      </c>
    </row>
    <row r="191" spans="1:32">
      <c r="A191" t="s">
        <v>676</v>
      </c>
      <c r="B191" s="2" t="str">
        <f t="shared" si="22"/>
        <v>Unique</v>
      </c>
      <c r="C191" s="2" t="str">
        <f t="shared" si="26"/>
        <v>May</v>
      </c>
      <c r="D191" s="2">
        <f t="shared" si="27"/>
        <v>2025</v>
      </c>
      <c r="E191" s="4">
        <v>45783</v>
      </c>
      <c r="F191" s="4">
        <v>45784</v>
      </c>
      <c r="G191" s="6">
        <f t="shared" si="23"/>
        <v>1</v>
      </c>
      <c r="H191" s="6" t="str">
        <f t="shared" si="24"/>
        <v>Valid</v>
      </c>
      <c r="I191" t="s">
        <v>677</v>
      </c>
      <c r="J191" t="s">
        <v>54</v>
      </c>
      <c r="K191" t="s">
        <v>25</v>
      </c>
      <c r="L191" t="s">
        <v>64</v>
      </c>
      <c r="M191" t="s">
        <v>27</v>
      </c>
      <c r="O191" t="s">
        <v>42</v>
      </c>
      <c r="P191" t="s">
        <v>159</v>
      </c>
      <c r="Q191" t="s">
        <v>678</v>
      </c>
      <c r="R191" t="s">
        <v>51</v>
      </c>
      <c r="S191">
        <v>9</v>
      </c>
      <c r="T191">
        <v>3318.24</v>
      </c>
      <c r="U191" s="2">
        <f t="shared" si="28"/>
        <v>29864.159999999996</v>
      </c>
      <c r="V191" s="13">
        <v>0</v>
      </c>
      <c r="W191" s="2">
        <f t="shared" si="29"/>
        <v>0</v>
      </c>
      <c r="X191" s="2" t="str">
        <f t="shared" si="30"/>
        <v>Valid</v>
      </c>
      <c r="Y191" s="2" t="str">
        <f t="shared" si="31"/>
        <v>Clean</v>
      </c>
      <c r="Z191">
        <v>25384.54</v>
      </c>
      <c r="AA191">
        <v>16872.39</v>
      </c>
      <c r="AB191" s="2">
        <f t="shared" si="25"/>
        <v>12991.769999999997</v>
      </c>
      <c r="AC191">
        <v>8512.15</v>
      </c>
      <c r="AD191" s="11">
        <f t="shared" si="32"/>
        <v>0.33532811703501419</v>
      </c>
      <c r="AE191" t="s">
        <v>33</v>
      </c>
      <c r="AF191" t="s">
        <v>34</v>
      </c>
    </row>
    <row r="192" spans="1:32">
      <c r="A192" t="s">
        <v>679</v>
      </c>
      <c r="B192" s="2" t="str">
        <f t="shared" si="22"/>
        <v>Unique</v>
      </c>
      <c r="C192" s="2" t="str">
        <f t="shared" si="26"/>
        <v>Apr</v>
      </c>
      <c r="D192" s="2">
        <f t="shared" si="27"/>
        <v>2025</v>
      </c>
      <c r="E192" s="4">
        <v>45767</v>
      </c>
      <c r="F192" s="4">
        <v>45768</v>
      </c>
      <c r="G192" s="6">
        <f t="shared" si="23"/>
        <v>1</v>
      </c>
      <c r="H192" s="6" t="str">
        <f t="shared" si="24"/>
        <v>Valid</v>
      </c>
      <c r="I192" t="s">
        <v>680</v>
      </c>
      <c r="J192" t="s">
        <v>90</v>
      </c>
      <c r="K192" t="s">
        <v>25</v>
      </c>
      <c r="L192" t="s">
        <v>55</v>
      </c>
      <c r="M192" t="s">
        <v>248</v>
      </c>
      <c r="O192" t="s">
        <v>29</v>
      </c>
      <c r="P192" t="s">
        <v>125</v>
      </c>
      <c r="Q192" t="s">
        <v>681</v>
      </c>
      <c r="R192" t="s">
        <v>51</v>
      </c>
      <c r="S192">
        <v>3</v>
      </c>
      <c r="T192">
        <v>540.09</v>
      </c>
      <c r="U192" s="2">
        <f t="shared" si="28"/>
        <v>1458.2429999999999</v>
      </c>
      <c r="V192" s="13">
        <v>0.1</v>
      </c>
      <c r="W192" s="2">
        <f t="shared" si="29"/>
        <v>0.1</v>
      </c>
      <c r="X192" s="2" t="str">
        <f t="shared" si="30"/>
        <v>Valid</v>
      </c>
      <c r="Y192" s="2" t="str">
        <f t="shared" si="31"/>
        <v>Clean</v>
      </c>
      <c r="Z192">
        <v>1458.24</v>
      </c>
      <c r="AA192">
        <v>943.32</v>
      </c>
      <c r="AB192" s="2">
        <f t="shared" si="25"/>
        <v>514.92299999999989</v>
      </c>
      <c r="AC192">
        <v>514.91999999999996</v>
      </c>
      <c r="AD192" s="11">
        <f t="shared" si="32"/>
        <v>0.35311059907834097</v>
      </c>
      <c r="AE192" t="s">
        <v>33</v>
      </c>
      <c r="AF192" t="s">
        <v>34</v>
      </c>
    </row>
    <row r="193" spans="1:32">
      <c r="A193" t="s">
        <v>682</v>
      </c>
      <c r="B193" s="2" t="str">
        <f t="shared" si="22"/>
        <v>Unique</v>
      </c>
      <c r="C193" s="2" t="str">
        <f t="shared" si="26"/>
        <v>Oct</v>
      </c>
      <c r="D193" s="2">
        <f t="shared" si="27"/>
        <v>2024</v>
      </c>
      <c r="E193" s="4">
        <v>45584</v>
      </c>
      <c r="F193" s="4">
        <v>45589</v>
      </c>
      <c r="G193" s="6">
        <f t="shared" si="23"/>
        <v>5</v>
      </c>
      <c r="H193" s="6" t="str">
        <f t="shared" si="24"/>
        <v>Valid</v>
      </c>
      <c r="I193" t="s">
        <v>683</v>
      </c>
      <c r="J193" t="s">
        <v>133</v>
      </c>
      <c r="K193" t="s">
        <v>38</v>
      </c>
      <c r="L193" t="s">
        <v>55</v>
      </c>
      <c r="M193" t="s">
        <v>248</v>
      </c>
      <c r="O193" t="s">
        <v>42</v>
      </c>
      <c r="P193" t="s">
        <v>159</v>
      </c>
      <c r="Q193" t="s">
        <v>684</v>
      </c>
      <c r="R193" t="s">
        <v>32</v>
      </c>
      <c r="S193">
        <v>6</v>
      </c>
      <c r="T193">
        <v>4308.3999999999996</v>
      </c>
      <c r="U193" s="2">
        <f t="shared" si="28"/>
        <v>9047.64</v>
      </c>
      <c r="V193" s="13">
        <v>0.65</v>
      </c>
      <c r="W193" s="2">
        <f t="shared" si="29"/>
        <v>0.65</v>
      </c>
      <c r="X193" s="2" t="str">
        <f t="shared" si="30"/>
        <v>Valid</v>
      </c>
      <c r="Y193" s="2" t="str">
        <f t="shared" si="31"/>
        <v>Clean</v>
      </c>
      <c r="Z193">
        <v>25850.400000000001</v>
      </c>
      <c r="AA193">
        <v>19397.68</v>
      </c>
      <c r="AB193" s="2">
        <f t="shared" si="25"/>
        <v>-10350.040000000001</v>
      </c>
      <c r="AC193">
        <v>6452.72</v>
      </c>
      <c r="AD193" s="11">
        <f t="shared" si="32"/>
        <v>0.24961780088509269</v>
      </c>
      <c r="AE193" t="s">
        <v>33</v>
      </c>
      <c r="AF193" t="s">
        <v>34</v>
      </c>
    </row>
    <row r="194" spans="1:32">
      <c r="A194" t="s">
        <v>685</v>
      </c>
      <c r="B194" s="2" t="str">
        <f t="shared" ref="B194:B257" si="33">IF(COUNTIF($A:$A,A194)&gt;1,"Duplicate Order ID","Unique")</f>
        <v>Unique</v>
      </c>
      <c r="C194" s="2" t="str">
        <f t="shared" si="26"/>
        <v>Dec</v>
      </c>
      <c r="D194" s="2">
        <f t="shared" si="27"/>
        <v>2024</v>
      </c>
      <c r="E194" s="4">
        <v>45635</v>
      </c>
      <c r="F194" s="4">
        <v>45642</v>
      </c>
      <c r="G194" s="6">
        <f t="shared" ref="G194:G257" si="34">F194-E194</f>
        <v>7</v>
      </c>
      <c r="H194" s="6" t="str">
        <f t="shared" ref="H194:H257" si="35">IF(G194&lt;0,"Invalid: Ship Date Before Order Date","Valid")</f>
        <v>Valid</v>
      </c>
      <c r="I194" t="s">
        <v>686</v>
      </c>
      <c r="J194" t="s">
        <v>48</v>
      </c>
      <c r="K194" t="s">
        <v>96</v>
      </c>
      <c r="L194" t="s">
        <v>64</v>
      </c>
      <c r="M194" t="s">
        <v>181</v>
      </c>
      <c r="O194" t="s">
        <v>42</v>
      </c>
      <c r="P194" t="s">
        <v>67</v>
      </c>
      <c r="Q194" t="s">
        <v>687</v>
      </c>
      <c r="R194" t="s">
        <v>51</v>
      </c>
      <c r="S194">
        <v>4</v>
      </c>
      <c r="T194">
        <v>2191.0300000000002</v>
      </c>
      <c r="U194" s="2">
        <f t="shared" si="28"/>
        <v>8764.1200000000008</v>
      </c>
      <c r="V194" s="13">
        <v>0</v>
      </c>
      <c r="W194" s="2">
        <f t="shared" si="29"/>
        <v>0</v>
      </c>
      <c r="X194" s="2" t="str">
        <f t="shared" si="30"/>
        <v>Valid</v>
      </c>
      <c r="Y194" s="2" t="str">
        <f t="shared" si="31"/>
        <v>Clean</v>
      </c>
      <c r="Z194">
        <v>8764.1200000000008</v>
      </c>
      <c r="AA194">
        <v>7220.05</v>
      </c>
      <c r="AB194" s="2">
        <f t="shared" ref="AB194:AB257" si="36">IF(ISNUMBER(U194),U194-AA194,"Invalid")</f>
        <v>1544.0700000000006</v>
      </c>
      <c r="AC194">
        <v>1544.07</v>
      </c>
      <c r="AD194" s="11">
        <f t="shared" si="32"/>
        <v>0.17618083732308545</v>
      </c>
      <c r="AE194" t="s">
        <v>33</v>
      </c>
      <c r="AF194" t="s">
        <v>34</v>
      </c>
    </row>
    <row r="195" spans="1:32">
      <c r="A195" t="s">
        <v>688</v>
      </c>
      <c r="B195" s="2" t="str">
        <f t="shared" si="33"/>
        <v>Unique</v>
      </c>
      <c r="C195" s="2" t="str">
        <f t="shared" ref="C195:C258" si="37">TEXT(E195,"mmm")</f>
        <v>Jun</v>
      </c>
      <c r="D195" s="2">
        <f t="shared" ref="D195:D258" si="38">YEAR(E195)</f>
        <v>2024</v>
      </c>
      <c r="E195" s="4">
        <v>45466</v>
      </c>
      <c r="F195" s="4">
        <v>45471</v>
      </c>
      <c r="G195" s="6">
        <f t="shared" si="34"/>
        <v>5</v>
      </c>
      <c r="H195" s="6" t="str">
        <f t="shared" si="35"/>
        <v>Valid</v>
      </c>
      <c r="I195" t="s">
        <v>689</v>
      </c>
      <c r="J195" t="s">
        <v>115</v>
      </c>
      <c r="K195" t="s">
        <v>38</v>
      </c>
      <c r="L195" t="s">
        <v>26</v>
      </c>
      <c r="M195" t="s">
        <v>123</v>
      </c>
      <c r="O195" t="s">
        <v>75</v>
      </c>
      <c r="P195" t="s">
        <v>81</v>
      </c>
      <c r="Q195" t="s">
        <v>690</v>
      </c>
      <c r="R195" t="s">
        <v>45</v>
      </c>
      <c r="S195">
        <v>6</v>
      </c>
      <c r="T195">
        <v>1956.63</v>
      </c>
      <c r="U195" s="2">
        <f t="shared" ref="U195:U258" si="39">IF(ISNUMBER(W195),S195*T195*(1-W195),"Invalid")</f>
        <v>9391.8240000000005</v>
      </c>
      <c r="V195" s="13">
        <v>0.2</v>
      </c>
      <c r="W195" s="2">
        <f t="shared" ref="W195:W258" si="40">IF(OR(V195&lt;0,V195&gt;1),"Invalid",V195)</f>
        <v>0.2</v>
      </c>
      <c r="X195" s="2" t="str">
        <f t="shared" ref="X195:X258" si="41">IF(OR(V195&lt;0,V195&gt;1),"Invalid","Valid")</f>
        <v>Valid</v>
      </c>
      <c r="Y195" s="2" t="str">
        <f t="shared" ref="Y195:Y258" si="42">IF(AND(H195="Valid",X195="Valid"),"Clean","Invalid")</f>
        <v>Clean</v>
      </c>
      <c r="Z195">
        <v>9391.82</v>
      </c>
      <c r="AA195">
        <v>6013.22</v>
      </c>
      <c r="AB195" s="2">
        <f t="shared" si="36"/>
        <v>3378.6040000000003</v>
      </c>
      <c r="AC195">
        <v>3378.6</v>
      </c>
      <c r="AD195" s="11">
        <f t="shared" ref="AD195:AD258" si="43">AC195/Z195</f>
        <v>0.3597385810205051</v>
      </c>
      <c r="AE195" t="s">
        <v>103</v>
      </c>
      <c r="AF195" t="s">
        <v>104</v>
      </c>
    </row>
    <row r="196" spans="1:32">
      <c r="A196" t="s">
        <v>691</v>
      </c>
      <c r="B196" s="2" t="str">
        <f t="shared" si="33"/>
        <v>Unique</v>
      </c>
      <c r="C196" s="2" t="str">
        <f t="shared" si="37"/>
        <v>Jan</v>
      </c>
      <c r="D196" s="2">
        <f t="shared" si="38"/>
        <v>2025</v>
      </c>
      <c r="E196" s="4">
        <v>45685</v>
      </c>
      <c r="F196" s="4">
        <v>45688</v>
      </c>
      <c r="G196" s="6">
        <f t="shared" si="34"/>
        <v>3</v>
      </c>
      <c r="H196" s="6" t="str">
        <f t="shared" si="35"/>
        <v>Valid</v>
      </c>
      <c r="I196" t="s">
        <v>692</v>
      </c>
      <c r="J196" t="s">
        <v>115</v>
      </c>
      <c r="K196" t="s">
        <v>25</v>
      </c>
      <c r="L196" t="s">
        <v>64</v>
      </c>
      <c r="M196" t="s">
        <v>65</v>
      </c>
      <c r="O196" t="s">
        <v>42</v>
      </c>
      <c r="P196" t="s">
        <v>58</v>
      </c>
      <c r="Q196" t="s">
        <v>693</v>
      </c>
      <c r="R196" t="s">
        <v>51</v>
      </c>
      <c r="S196">
        <v>9</v>
      </c>
      <c r="T196">
        <v>858.39</v>
      </c>
      <c r="U196" s="2">
        <f t="shared" si="39"/>
        <v>7339.2344999999996</v>
      </c>
      <c r="V196" s="13">
        <v>0.05</v>
      </c>
      <c r="W196" s="2">
        <f t="shared" si="40"/>
        <v>0.05</v>
      </c>
      <c r="X196" s="2" t="str">
        <f t="shared" si="41"/>
        <v>Valid</v>
      </c>
      <c r="Y196" s="2" t="str">
        <f t="shared" si="42"/>
        <v>Clean</v>
      </c>
      <c r="Z196">
        <v>7339.23</v>
      </c>
      <c r="AA196">
        <v>5434.12</v>
      </c>
      <c r="AB196" s="2">
        <f t="shared" si="36"/>
        <v>1905.1144999999997</v>
      </c>
      <c r="AC196">
        <v>1905.11</v>
      </c>
      <c r="AD196" s="11">
        <f t="shared" si="43"/>
        <v>0.25957900215690199</v>
      </c>
      <c r="AE196" t="s">
        <v>112</v>
      </c>
      <c r="AF196" t="s">
        <v>104</v>
      </c>
    </row>
    <row r="197" spans="1:32">
      <c r="A197" t="s">
        <v>694</v>
      </c>
      <c r="B197" s="2" t="str">
        <f t="shared" si="33"/>
        <v>Unique</v>
      </c>
      <c r="C197" s="2" t="str">
        <f t="shared" si="37"/>
        <v>Jul</v>
      </c>
      <c r="D197" s="2">
        <f t="shared" si="38"/>
        <v>2025</v>
      </c>
      <c r="E197" s="4">
        <v>45860</v>
      </c>
      <c r="F197" s="4">
        <v>45862</v>
      </c>
      <c r="G197" s="6">
        <f t="shared" si="34"/>
        <v>2</v>
      </c>
      <c r="H197" s="6" t="str">
        <f t="shared" si="35"/>
        <v>Valid</v>
      </c>
      <c r="I197" t="s">
        <v>695</v>
      </c>
      <c r="J197" t="s">
        <v>80</v>
      </c>
      <c r="K197" t="s">
        <v>96</v>
      </c>
      <c r="L197" t="s">
        <v>55</v>
      </c>
      <c r="M197" t="s">
        <v>85</v>
      </c>
      <c r="O197" t="s">
        <v>42</v>
      </c>
      <c r="P197" t="s">
        <v>58</v>
      </c>
      <c r="Q197" t="s">
        <v>696</v>
      </c>
      <c r="R197" t="s">
        <v>45</v>
      </c>
      <c r="S197">
        <v>5</v>
      </c>
      <c r="T197">
        <v>1922.83</v>
      </c>
      <c r="U197" s="2">
        <f t="shared" si="39"/>
        <v>9614.15</v>
      </c>
      <c r="V197" s="13">
        <v>0</v>
      </c>
      <c r="W197" s="2">
        <f t="shared" si="40"/>
        <v>0</v>
      </c>
      <c r="X197" s="2" t="str">
        <f t="shared" si="41"/>
        <v>Valid</v>
      </c>
      <c r="Y197" s="2" t="str">
        <f t="shared" si="42"/>
        <v>Clean</v>
      </c>
      <c r="Z197">
        <v>9614.15</v>
      </c>
      <c r="AA197">
        <v>7576.84</v>
      </c>
      <c r="AB197" s="2">
        <f t="shared" si="36"/>
        <v>2037.3099999999995</v>
      </c>
      <c r="AC197">
        <v>2037.31</v>
      </c>
      <c r="AD197" s="11">
        <f t="shared" si="43"/>
        <v>0.21190744891644087</v>
      </c>
      <c r="AE197" t="s">
        <v>33</v>
      </c>
      <c r="AF197" t="s">
        <v>34</v>
      </c>
    </row>
    <row r="198" spans="1:32">
      <c r="A198" t="s">
        <v>697</v>
      </c>
      <c r="B198" s="2" t="str">
        <f t="shared" si="33"/>
        <v>Unique</v>
      </c>
      <c r="C198" s="2" t="str">
        <f t="shared" si="37"/>
        <v>Jan</v>
      </c>
      <c r="D198" s="2">
        <f t="shared" si="38"/>
        <v>2024</v>
      </c>
      <c r="E198" s="4">
        <v>45313</v>
      </c>
      <c r="F198" s="4">
        <v>45316</v>
      </c>
      <c r="G198" s="6">
        <f t="shared" si="34"/>
        <v>3</v>
      </c>
      <c r="H198" s="6" t="str">
        <f t="shared" si="35"/>
        <v>Valid</v>
      </c>
      <c r="I198" t="s">
        <v>698</v>
      </c>
      <c r="J198" t="s">
        <v>265</v>
      </c>
      <c r="K198" t="s">
        <v>96</v>
      </c>
      <c r="L198" t="s">
        <v>26</v>
      </c>
      <c r="M198" t="s">
        <v>137</v>
      </c>
      <c r="O198" t="s">
        <v>29</v>
      </c>
      <c r="P198" t="s">
        <v>125</v>
      </c>
      <c r="Q198" t="s">
        <v>699</v>
      </c>
      <c r="R198" t="s">
        <v>51</v>
      </c>
      <c r="S198">
        <v>3</v>
      </c>
      <c r="T198">
        <v>1212.03</v>
      </c>
      <c r="U198" s="2">
        <f t="shared" si="39"/>
        <v>3272.4810000000002</v>
      </c>
      <c r="V198" s="13">
        <v>0.1</v>
      </c>
      <c r="W198" s="2">
        <f t="shared" si="40"/>
        <v>0.1</v>
      </c>
      <c r="X198" s="2" t="str">
        <f t="shared" si="41"/>
        <v>Valid</v>
      </c>
      <c r="Y198" s="2" t="str">
        <f t="shared" si="42"/>
        <v>Clean</v>
      </c>
      <c r="Z198">
        <v>3272.48</v>
      </c>
      <c r="AA198">
        <v>2517.44</v>
      </c>
      <c r="AB198" s="2">
        <f t="shared" si="36"/>
        <v>755.04100000000017</v>
      </c>
      <c r="AC198">
        <v>755.04</v>
      </c>
      <c r="AD198" s="11">
        <f t="shared" si="43"/>
        <v>0.23072409915415831</v>
      </c>
      <c r="AE198" t="s">
        <v>33</v>
      </c>
      <c r="AF198" t="s">
        <v>34</v>
      </c>
    </row>
    <row r="199" spans="1:32">
      <c r="A199" t="s">
        <v>700</v>
      </c>
      <c r="B199" s="2" t="str">
        <f t="shared" si="33"/>
        <v>Unique</v>
      </c>
      <c r="C199" s="2" t="str">
        <f t="shared" si="37"/>
        <v>Mar</v>
      </c>
      <c r="D199" s="2">
        <f t="shared" si="38"/>
        <v>2025</v>
      </c>
      <c r="E199" s="4">
        <v>45747</v>
      </c>
      <c r="F199" s="4">
        <v>45754</v>
      </c>
      <c r="G199" s="6">
        <f t="shared" si="34"/>
        <v>7</v>
      </c>
      <c r="H199" s="6" t="str">
        <f t="shared" si="35"/>
        <v>Valid</v>
      </c>
      <c r="I199" t="s">
        <v>391</v>
      </c>
      <c r="J199" t="s">
        <v>119</v>
      </c>
      <c r="K199" t="s">
        <v>38</v>
      </c>
      <c r="L199" t="s">
        <v>39</v>
      </c>
      <c r="M199" t="s">
        <v>146</v>
      </c>
      <c r="O199" t="s">
        <v>29</v>
      </c>
      <c r="P199" t="s">
        <v>125</v>
      </c>
      <c r="Q199" t="s">
        <v>701</v>
      </c>
      <c r="R199" t="s">
        <v>32</v>
      </c>
      <c r="S199">
        <v>5</v>
      </c>
      <c r="T199">
        <v>4096.4399999999996</v>
      </c>
      <c r="U199" s="2">
        <f t="shared" si="39"/>
        <v>17409.869999999995</v>
      </c>
      <c r="V199" s="13">
        <v>0.15</v>
      </c>
      <c r="W199" s="2">
        <f t="shared" si="40"/>
        <v>0.15</v>
      </c>
      <c r="X199" s="2" t="str">
        <f t="shared" si="41"/>
        <v>Valid</v>
      </c>
      <c r="Y199" s="2" t="str">
        <f t="shared" si="42"/>
        <v>Clean</v>
      </c>
      <c r="Z199">
        <v>17409.87</v>
      </c>
      <c r="AA199">
        <v>14076.25</v>
      </c>
      <c r="AB199" s="2">
        <f t="shared" si="36"/>
        <v>3333.6199999999953</v>
      </c>
      <c r="AC199">
        <v>3333.62</v>
      </c>
      <c r="AD199" s="11">
        <f t="shared" si="43"/>
        <v>0.19147874165631334</v>
      </c>
      <c r="AE199" t="s">
        <v>33</v>
      </c>
      <c r="AF199" t="s">
        <v>34</v>
      </c>
    </row>
    <row r="200" spans="1:32">
      <c r="A200" t="s">
        <v>702</v>
      </c>
      <c r="B200" s="2" t="str">
        <f t="shared" si="33"/>
        <v>Unique</v>
      </c>
      <c r="C200" s="2" t="str">
        <f t="shared" si="37"/>
        <v>Jun</v>
      </c>
      <c r="D200" s="2">
        <f t="shared" si="38"/>
        <v>2024</v>
      </c>
      <c r="E200" s="4">
        <v>45448</v>
      </c>
      <c r="F200" s="4">
        <v>45449</v>
      </c>
      <c r="G200" s="6">
        <f t="shared" si="34"/>
        <v>1</v>
      </c>
      <c r="H200" s="6" t="str">
        <f t="shared" si="35"/>
        <v>Valid</v>
      </c>
      <c r="I200" t="s">
        <v>703</v>
      </c>
      <c r="J200" t="s">
        <v>133</v>
      </c>
      <c r="K200" t="s">
        <v>25</v>
      </c>
      <c r="L200" t="s">
        <v>64</v>
      </c>
      <c r="M200" t="s">
        <v>181</v>
      </c>
      <c r="O200" t="s">
        <v>29</v>
      </c>
      <c r="P200" t="s">
        <v>49</v>
      </c>
      <c r="Q200" t="s">
        <v>704</v>
      </c>
      <c r="R200" t="s">
        <v>32</v>
      </c>
      <c r="S200">
        <v>1</v>
      </c>
      <c r="T200">
        <v>1184.58</v>
      </c>
      <c r="U200" s="2">
        <f t="shared" si="39"/>
        <v>1125.3509999999999</v>
      </c>
      <c r="V200" s="13">
        <v>0.05</v>
      </c>
      <c r="W200" s="2">
        <f t="shared" si="40"/>
        <v>0.05</v>
      </c>
      <c r="X200" s="2" t="str">
        <f t="shared" si="41"/>
        <v>Valid</v>
      </c>
      <c r="Y200" s="2" t="str">
        <f t="shared" si="42"/>
        <v>Clean</v>
      </c>
      <c r="Z200">
        <v>1125.3499999999999</v>
      </c>
      <c r="AA200">
        <v>676.97</v>
      </c>
      <c r="AB200" s="2">
        <f t="shared" si="36"/>
        <v>448.38099999999986</v>
      </c>
      <c r="AC200">
        <v>448.38</v>
      </c>
      <c r="AD200" s="11">
        <f t="shared" si="43"/>
        <v>0.39843604212022932</v>
      </c>
      <c r="AE200" t="s">
        <v>156</v>
      </c>
      <c r="AF200" t="s">
        <v>69</v>
      </c>
    </row>
    <row r="201" spans="1:32">
      <c r="A201" t="s">
        <v>705</v>
      </c>
      <c r="B201" s="2" t="str">
        <f t="shared" si="33"/>
        <v>Unique</v>
      </c>
      <c r="C201" s="2" t="str">
        <f t="shared" si="37"/>
        <v>Mar</v>
      </c>
      <c r="D201" s="2">
        <f t="shared" si="38"/>
        <v>2024</v>
      </c>
      <c r="E201" s="4">
        <v>45363</v>
      </c>
      <c r="F201" s="4">
        <v>45363</v>
      </c>
      <c r="G201" s="6">
        <f t="shared" si="34"/>
        <v>0</v>
      </c>
      <c r="H201" s="6" t="str">
        <f t="shared" si="35"/>
        <v>Valid</v>
      </c>
      <c r="I201" t="s">
        <v>706</v>
      </c>
      <c r="J201" t="s">
        <v>119</v>
      </c>
      <c r="K201" t="s">
        <v>96</v>
      </c>
      <c r="L201" t="s">
        <v>39</v>
      </c>
      <c r="M201" t="s">
        <v>146</v>
      </c>
      <c r="O201" t="s">
        <v>75</v>
      </c>
      <c r="P201" t="s">
        <v>275</v>
      </c>
      <c r="Q201" t="s">
        <v>707</v>
      </c>
      <c r="R201" s="2" t="s">
        <v>2793</v>
      </c>
      <c r="S201">
        <v>6</v>
      </c>
      <c r="T201">
        <v>2185.58</v>
      </c>
      <c r="U201" s="2">
        <f t="shared" si="39"/>
        <v>9835.11</v>
      </c>
      <c r="V201" s="13">
        <v>0.25</v>
      </c>
      <c r="W201" s="2">
        <f t="shared" si="40"/>
        <v>0.25</v>
      </c>
      <c r="X201" s="2" t="str">
        <f t="shared" si="41"/>
        <v>Valid</v>
      </c>
      <c r="Y201" s="2" t="str">
        <f t="shared" si="42"/>
        <v>Clean</v>
      </c>
      <c r="Z201">
        <v>9835.11</v>
      </c>
      <c r="AA201">
        <v>5437.64</v>
      </c>
      <c r="AB201" s="2">
        <f t="shared" si="36"/>
        <v>4397.47</v>
      </c>
      <c r="AC201">
        <v>4397.47</v>
      </c>
      <c r="AD201" s="11">
        <f t="shared" si="43"/>
        <v>0.44711955433136996</v>
      </c>
      <c r="AE201" t="s">
        <v>33</v>
      </c>
      <c r="AF201" t="s">
        <v>34</v>
      </c>
    </row>
    <row r="202" spans="1:32">
      <c r="A202" t="s">
        <v>708</v>
      </c>
      <c r="B202" s="2" t="str">
        <f t="shared" si="33"/>
        <v>Unique</v>
      </c>
      <c r="C202" s="2" t="str">
        <f t="shared" si="37"/>
        <v>Jun</v>
      </c>
      <c r="D202" s="2">
        <f t="shared" si="38"/>
        <v>2025</v>
      </c>
      <c r="E202" s="4">
        <v>45835</v>
      </c>
      <c r="F202" s="4">
        <v>45843</v>
      </c>
      <c r="G202" s="6">
        <f t="shared" si="34"/>
        <v>8</v>
      </c>
      <c r="H202" s="6" t="str">
        <f t="shared" si="35"/>
        <v>Valid</v>
      </c>
      <c r="I202" t="s">
        <v>709</v>
      </c>
      <c r="J202" t="s">
        <v>115</v>
      </c>
      <c r="K202" t="s">
        <v>38</v>
      </c>
      <c r="L202" t="s">
        <v>26</v>
      </c>
      <c r="M202" t="s">
        <v>27</v>
      </c>
      <c r="O202" t="s">
        <v>75</v>
      </c>
      <c r="P202" t="s">
        <v>81</v>
      </c>
      <c r="Q202" t="s">
        <v>710</v>
      </c>
      <c r="R202" t="s">
        <v>51</v>
      </c>
      <c r="S202">
        <v>5</v>
      </c>
      <c r="T202">
        <v>2868.44</v>
      </c>
      <c r="U202" s="2">
        <f t="shared" si="39"/>
        <v>12907.980000000001</v>
      </c>
      <c r="V202" s="13">
        <v>0.1</v>
      </c>
      <c r="W202" s="2">
        <f t="shared" si="40"/>
        <v>0.1</v>
      </c>
      <c r="X202" s="2" t="str">
        <f t="shared" si="41"/>
        <v>Valid</v>
      </c>
      <c r="Y202" s="2" t="str">
        <f t="shared" si="42"/>
        <v>Clean</v>
      </c>
      <c r="Z202">
        <v>12907.98</v>
      </c>
      <c r="AA202">
        <v>9197.08</v>
      </c>
      <c r="AB202" s="2">
        <f t="shared" si="36"/>
        <v>3710.9000000000015</v>
      </c>
      <c r="AC202">
        <v>3710.9</v>
      </c>
      <c r="AD202" s="11">
        <f t="shared" si="43"/>
        <v>0.28748882474252363</v>
      </c>
      <c r="AE202" t="s">
        <v>112</v>
      </c>
      <c r="AF202" t="s">
        <v>69</v>
      </c>
    </row>
    <row r="203" spans="1:32">
      <c r="A203" t="s">
        <v>711</v>
      </c>
      <c r="B203" s="2" t="str">
        <f t="shared" si="33"/>
        <v>Unique</v>
      </c>
      <c r="C203" s="2" t="str">
        <f t="shared" si="37"/>
        <v>Jul</v>
      </c>
      <c r="D203" s="2">
        <f t="shared" si="38"/>
        <v>2025</v>
      </c>
      <c r="E203" s="4">
        <v>45864</v>
      </c>
      <c r="F203" s="4">
        <v>45872</v>
      </c>
      <c r="G203" s="6">
        <f t="shared" si="34"/>
        <v>8</v>
      </c>
      <c r="H203" s="6" t="str">
        <f t="shared" si="35"/>
        <v>Valid</v>
      </c>
      <c r="I203" t="s">
        <v>712</v>
      </c>
      <c r="J203" t="s">
        <v>72</v>
      </c>
      <c r="K203" t="s">
        <v>25</v>
      </c>
      <c r="L203" t="s">
        <v>64</v>
      </c>
      <c r="M203" t="s">
        <v>73</v>
      </c>
      <c r="O203" t="s">
        <v>29</v>
      </c>
      <c r="P203" t="s">
        <v>92</v>
      </c>
      <c r="Q203" t="s">
        <v>713</v>
      </c>
      <c r="R203" t="s">
        <v>32</v>
      </c>
      <c r="S203">
        <v>2</v>
      </c>
      <c r="T203">
        <v>2503.5300000000002</v>
      </c>
      <c r="U203" s="2" t="str">
        <f t="shared" si="39"/>
        <v>Invalid</v>
      </c>
      <c r="V203" s="13">
        <v>-0.16</v>
      </c>
      <c r="W203" s="2" t="str">
        <f t="shared" si="40"/>
        <v>Invalid</v>
      </c>
      <c r="X203" s="2" t="str">
        <f t="shared" si="41"/>
        <v>Invalid</v>
      </c>
      <c r="Y203" s="2" t="str">
        <f t="shared" si="42"/>
        <v>Invalid</v>
      </c>
      <c r="Z203">
        <v>4756.71</v>
      </c>
      <c r="AA203">
        <v>2954.86</v>
      </c>
      <c r="AB203" s="2" t="str">
        <f t="shared" si="36"/>
        <v>Invalid</v>
      </c>
      <c r="AC203">
        <v>1801.85</v>
      </c>
      <c r="AD203" s="11">
        <f t="shared" si="43"/>
        <v>0.37880173481250695</v>
      </c>
      <c r="AE203" t="s">
        <v>103</v>
      </c>
      <c r="AF203" t="s">
        <v>69</v>
      </c>
    </row>
    <row r="204" spans="1:32">
      <c r="A204" t="s">
        <v>714</v>
      </c>
      <c r="B204" s="2" t="str">
        <f t="shared" si="33"/>
        <v>Unique</v>
      </c>
      <c r="C204" s="2" t="str">
        <f t="shared" si="37"/>
        <v>Mar</v>
      </c>
      <c r="D204" s="2">
        <f t="shared" si="38"/>
        <v>2025</v>
      </c>
      <c r="E204" s="4">
        <v>45744</v>
      </c>
      <c r="F204" s="4">
        <v>45744</v>
      </c>
      <c r="G204" s="6">
        <f t="shared" si="34"/>
        <v>0</v>
      </c>
      <c r="H204" s="6" t="str">
        <f t="shared" si="35"/>
        <v>Valid</v>
      </c>
      <c r="I204" t="s">
        <v>715</v>
      </c>
      <c r="J204" t="s">
        <v>133</v>
      </c>
      <c r="K204" t="s">
        <v>91</v>
      </c>
      <c r="L204" t="s">
        <v>64</v>
      </c>
      <c r="M204" t="s">
        <v>191</v>
      </c>
      <c r="O204" t="s">
        <v>75</v>
      </c>
      <c r="P204" t="s">
        <v>76</v>
      </c>
      <c r="Q204" t="s">
        <v>716</v>
      </c>
      <c r="R204" t="s">
        <v>60</v>
      </c>
      <c r="S204">
        <v>8</v>
      </c>
      <c r="T204">
        <v>1740.94</v>
      </c>
      <c r="U204" s="2">
        <f t="shared" si="39"/>
        <v>13231.144</v>
      </c>
      <c r="V204" s="13">
        <v>0.05</v>
      </c>
      <c r="W204" s="2">
        <f t="shared" si="40"/>
        <v>0.05</v>
      </c>
      <c r="X204" s="2" t="str">
        <f t="shared" si="41"/>
        <v>Valid</v>
      </c>
      <c r="Y204" s="2" t="str">
        <f t="shared" si="42"/>
        <v>Clean</v>
      </c>
      <c r="Z204">
        <v>13231.14</v>
      </c>
      <c r="AA204">
        <v>11290.06</v>
      </c>
      <c r="AB204" s="2">
        <f t="shared" si="36"/>
        <v>1941.0840000000007</v>
      </c>
      <c r="AC204">
        <v>1941.08</v>
      </c>
      <c r="AD204" s="11">
        <f t="shared" si="43"/>
        <v>0.14670542372010273</v>
      </c>
      <c r="AE204" t="s">
        <v>33</v>
      </c>
      <c r="AF204" t="s">
        <v>34</v>
      </c>
    </row>
    <row r="205" spans="1:32">
      <c r="A205" t="s">
        <v>717</v>
      </c>
      <c r="B205" s="2" t="str">
        <f t="shared" si="33"/>
        <v>Unique</v>
      </c>
      <c r="C205" s="2" t="str">
        <f t="shared" si="37"/>
        <v>Mar</v>
      </c>
      <c r="D205" s="2">
        <f t="shared" si="38"/>
        <v>2024</v>
      </c>
      <c r="E205" s="4">
        <v>45379</v>
      </c>
      <c r="F205" s="4">
        <v>45381</v>
      </c>
      <c r="G205" s="6">
        <f t="shared" si="34"/>
        <v>2</v>
      </c>
      <c r="H205" s="6" t="str">
        <f t="shared" si="35"/>
        <v>Valid</v>
      </c>
      <c r="I205" t="s">
        <v>718</v>
      </c>
      <c r="J205" t="s">
        <v>133</v>
      </c>
      <c r="K205" t="s">
        <v>91</v>
      </c>
      <c r="L205" t="s">
        <v>64</v>
      </c>
      <c r="M205" t="s">
        <v>27</v>
      </c>
      <c r="O205" t="s">
        <v>75</v>
      </c>
      <c r="P205" t="s">
        <v>76</v>
      </c>
      <c r="Q205" t="s">
        <v>719</v>
      </c>
      <c r="R205" t="s">
        <v>32</v>
      </c>
      <c r="S205">
        <v>1</v>
      </c>
      <c r="T205">
        <v>570.34</v>
      </c>
      <c r="U205" s="2">
        <f t="shared" si="39"/>
        <v>484.78899999999999</v>
      </c>
      <c r="V205" s="13">
        <v>0.15</v>
      </c>
      <c r="W205" s="2">
        <f t="shared" si="40"/>
        <v>0.15</v>
      </c>
      <c r="X205" s="2" t="str">
        <f t="shared" si="41"/>
        <v>Valid</v>
      </c>
      <c r="Y205" s="2" t="str">
        <f t="shared" si="42"/>
        <v>Clean</v>
      </c>
      <c r="Z205">
        <v>484.79</v>
      </c>
      <c r="AA205">
        <v>333.54</v>
      </c>
      <c r="AB205" s="2">
        <f t="shared" si="36"/>
        <v>151.24899999999997</v>
      </c>
      <c r="AC205">
        <v>151.25</v>
      </c>
      <c r="AD205" s="11">
        <f t="shared" si="43"/>
        <v>0.31199075888529054</v>
      </c>
      <c r="AE205" t="s">
        <v>33</v>
      </c>
      <c r="AF205" t="s">
        <v>34</v>
      </c>
    </row>
    <row r="206" spans="1:32">
      <c r="A206" t="s">
        <v>720</v>
      </c>
      <c r="B206" s="2" t="str">
        <f t="shared" si="33"/>
        <v>Unique</v>
      </c>
      <c r="C206" s="2" t="str">
        <f t="shared" si="37"/>
        <v>Jul</v>
      </c>
      <c r="D206" s="2">
        <f t="shared" si="38"/>
        <v>2025</v>
      </c>
      <c r="E206" s="4">
        <v>45858</v>
      </c>
      <c r="F206" s="4">
        <v>45861</v>
      </c>
      <c r="G206" s="6">
        <f t="shared" si="34"/>
        <v>3</v>
      </c>
      <c r="H206" s="6" t="str">
        <f t="shared" si="35"/>
        <v>Valid</v>
      </c>
      <c r="I206" t="s">
        <v>721</v>
      </c>
      <c r="J206" t="s">
        <v>37</v>
      </c>
      <c r="K206" t="s">
        <v>96</v>
      </c>
      <c r="L206" t="s">
        <v>39</v>
      </c>
      <c r="M206" t="s">
        <v>100</v>
      </c>
      <c r="O206" t="s">
        <v>42</v>
      </c>
      <c r="P206" t="s">
        <v>43</v>
      </c>
      <c r="Q206" t="s">
        <v>722</v>
      </c>
      <c r="R206" t="s">
        <v>32</v>
      </c>
      <c r="S206">
        <v>4</v>
      </c>
      <c r="T206">
        <v>477.69</v>
      </c>
      <c r="U206" s="2">
        <f t="shared" si="39"/>
        <v>1624.146</v>
      </c>
      <c r="V206" s="13">
        <v>0.15</v>
      </c>
      <c r="W206" s="2">
        <f t="shared" si="40"/>
        <v>0.15</v>
      </c>
      <c r="X206" s="2" t="str">
        <f t="shared" si="41"/>
        <v>Valid</v>
      </c>
      <c r="Y206" s="2" t="str">
        <f t="shared" si="42"/>
        <v>Clean</v>
      </c>
      <c r="Z206">
        <v>1624.15</v>
      </c>
      <c r="AA206">
        <v>1217.99</v>
      </c>
      <c r="AB206" s="2">
        <f t="shared" si="36"/>
        <v>406.15599999999995</v>
      </c>
      <c r="AC206">
        <v>406.16</v>
      </c>
      <c r="AD206" s="11">
        <f t="shared" si="43"/>
        <v>0.25007542406797401</v>
      </c>
      <c r="AE206" t="s">
        <v>33</v>
      </c>
      <c r="AF206" t="s">
        <v>34</v>
      </c>
    </row>
    <row r="207" spans="1:32">
      <c r="A207" t="s">
        <v>723</v>
      </c>
      <c r="B207" s="2" t="str">
        <f t="shared" si="33"/>
        <v>Unique</v>
      </c>
      <c r="C207" s="2" t="str">
        <f t="shared" si="37"/>
        <v>Apr</v>
      </c>
      <c r="D207" s="2">
        <f t="shared" si="38"/>
        <v>2025</v>
      </c>
      <c r="E207" s="4">
        <v>45768</v>
      </c>
      <c r="F207" s="4">
        <v>45773</v>
      </c>
      <c r="G207" s="6">
        <f t="shared" si="34"/>
        <v>5</v>
      </c>
      <c r="H207" s="6" t="str">
        <f t="shared" si="35"/>
        <v>Valid</v>
      </c>
      <c r="I207" t="s">
        <v>724</v>
      </c>
      <c r="J207" t="s">
        <v>63</v>
      </c>
      <c r="K207" t="s">
        <v>25</v>
      </c>
      <c r="L207" t="s">
        <v>64</v>
      </c>
      <c r="M207" t="s">
        <v>65</v>
      </c>
      <c r="O207" t="s">
        <v>29</v>
      </c>
      <c r="P207" t="s">
        <v>92</v>
      </c>
      <c r="Q207" t="s">
        <v>725</v>
      </c>
      <c r="R207" t="s">
        <v>45</v>
      </c>
      <c r="S207">
        <v>6</v>
      </c>
      <c r="T207">
        <v>873.59</v>
      </c>
      <c r="U207" s="2">
        <f t="shared" si="39"/>
        <v>4193.232</v>
      </c>
      <c r="V207" s="13">
        <v>0.2</v>
      </c>
      <c r="W207" s="2">
        <f t="shared" si="40"/>
        <v>0.2</v>
      </c>
      <c r="X207" s="2" t="str">
        <f t="shared" si="41"/>
        <v>Valid</v>
      </c>
      <c r="Y207" s="2" t="str">
        <f t="shared" si="42"/>
        <v>Clean</v>
      </c>
      <c r="Z207">
        <v>4193.2299999999996</v>
      </c>
      <c r="AA207">
        <v>3329.99</v>
      </c>
      <c r="AB207" s="2">
        <f t="shared" si="36"/>
        <v>863.24200000000019</v>
      </c>
      <c r="AC207">
        <v>863.24</v>
      </c>
      <c r="AD207" s="11">
        <f t="shared" si="43"/>
        <v>0.20586516837855307</v>
      </c>
      <c r="AE207" t="s">
        <v>33</v>
      </c>
      <c r="AF207" t="s">
        <v>34</v>
      </c>
    </row>
    <row r="208" spans="1:32">
      <c r="A208" t="s">
        <v>726</v>
      </c>
      <c r="B208" s="2" t="str">
        <f t="shared" si="33"/>
        <v>Unique</v>
      </c>
      <c r="C208" s="2" t="str">
        <f t="shared" si="37"/>
        <v>May</v>
      </c>
      <c r="D208" s="2">
        <f t="shared" si="38"/>
        <v>2025</v>
      </c>
      <c r="E208" s="4">
        <v>45795</v>
      </c>
      <c r="F208" s="4">
        <v>45797</v>
      </c>
      <c r="G208" s="6">
        <f t="shared" si="34"/>
        <v>2</v>
      </c>
      <c r="H208" s="6" t="str">
        <f t="shared" si="35"/>
        <v>Valid</v>
      </c>
      <c r="I208" t="s">
        <v>727</v>
      </c>
      <c r="J208" t="s">
        <v>163</v>
      </c>
      <c r="K208" t="s">
        <v>38</v>
      </c>
      <c r="L208" t="s">
        <v>26</v>
      </c>
      <c r="M208" t="s">
        <v>137</v>
      </c>
      <c r="O208" t="s">
        <v>42</v>
      </c>
      <c r="P208" t="s">
        <v>58</v>
      </c>
      <c r="Q208" t="s">
        <v>728</v>
      </c>
      <c r="R208" t="s">
        <v>51</v>
      </c>
      <c r="S208">
        <v>2</v>
      </c>
      <c r="T208">
        <v>215.13</v>
      </c>
      <c r="U208" s="2">
        <f t="shared" si="39"/>
        <v>430.26</v>
      </c>
      <c r="V208" s="13">
        <v>0</v>
      </c>
      <c r="W208" s="2">
        <f t="shared" si="40"/>
        <v>0</v>
      </c>
      <c r="X208" s="2" t="str">
        <f t="shared" si="41"/>
        <v>Valid</v>
      </c>
      <c r="Y208" s="2" t="str">
        <f t="shared" si="42"/>
        <v>Clean</v>
      </c>
      <c r="Z208">
        <v>430.26</v>
      </c>
      <c r="AA208">
        <v>286.38</v>
      </c>
      <c r="AB208" s="2">
        <f t="shared" si="36"/>
        <v>143.88</v>
      </c>
      <c r="AC208">
        <v>143.88</v>
      </c>
      <c r="AD208" s="11">
        <f t="shared" si="43"/>
        <v>0.33440245432994004</v>
      </c>
      <c r="AE208" t="s">
        <v>33</v>
      </c>
      <c r="AF208" t="s">
        <v>34</v>
      </c>
    </row>
    <row r="209" spans="1:32">
      <c r="A209" t="s">
        <v>729</v>
      </c>
      <c r="B209" s="2" t="str">
        <f t="shared" si="33"/>
        <v>Unique</v>
      </c>
      <c r="C209" s="2" t="str">
        <f t="shared" si="37"/>
        <v>Jul</v>
      </c>
      <c r="D209" s="2">
        <f t="shared" si="38"/>
        <v>2024</v>
      </c>
      <c r="E209" s="4">
        <v>45483</v>
      </c>
      <c r="F209" s="4">
        <v>45489</v>
      </c>
      <c r="G209" s="6">
        <f t="shared" si="34"/>
        <v>6</v>
      </c>
      <c r="H209" s="6" t="str">
        <f t="shared" si="35"/>
        <v>Valid</v>
      </c>
      <c r="I209" t="s">
        <v>730</v>
      </c>
      <c r="J209" t="s">
        <v>129</v>
      </c>
      <c r="K209" t="s">
        <v>96</v>
      </c>
      <c r="L209" t="s">
        <v>64</v>
      </c>
      <c r="M209" t="s">
        <v>191</v>
      </c>
      <c r="O209" t="s">
        <v>42</v>
      </c>
      <c r="P209" t="s">
        <v>159</v>
      </c>
      <c r="Q209" t="s">
        <v>731</v>
      </c>
      <c r="R209" t="s">
        <v>32</v>
      </c>
      <c r="S209">
        <v>2</v>
      </c>
      <c r="T209">
        <v>1095.45</v>
      </c>
      <c r="U209" s="2">
        <f t="shared" si="39"/>
        <v>1752.7200000000003</v>
      </c>
      <c r="V209" s="13">
        <v>0.2</v>
      </c>
      <c r="W209" s="2">
        <f t="shared" si="40"/>
        <v>0.2</v>
      </c>
      <c r="X209" s="2" t="str">
        <f t="shared" si="41"/>
        <v>Valid</v>
      </c>
      <c r="Y209" s="2" t="str">
        <f t="shared" si="42"/>
        <v>Clean</v>
      </c>
      <c r="Z209">
        <v>1752.72</v>
      </c>
      <c r="AA209">
        <v>996.41</v>
      </c>
      <c r="AB209" s="2">
        <f t="shared" si="36"/>
        <v>756.31000000000029</v>
      </c>
      <c r="AC209">
        <v>756.31</v>
      </c>
      <c r="AD209" s="11">
        <f t="shared" si="43"/>
        <v>0.43150645853302294</v>
      </c>
      <c r="AE209" t="s">
        <v>33</v>
      </c>
      <c r="AF209" t="s">
        <v>34</v>
      </c>
    </row>
    <row r="210" spans="1:32">
      <c r="A210" t="s">
        <v>732</v>
      </c>
      <c r="B210" s="2" t="str">
        <f t="shared" si="33"/>
        <v>Unique</v>
      </c>
      <c r="C210" s="2" t="str">
        <f t="shared" si="37"/>
        <v>Jun</v>
      </c>
      <c r="D210" s="2">
        <f t="shared" si="38"/>
        <v>2025</v>
      </c>
      <c r="E210" s="4">
        <v>45837</v>
      </c>
      <c r="F210" s="4">
        <v>45843</v>
      </c>
      <c r="G210" s="6">
        <f t="shared" si="34"/>
        <v>6</v>
      </c>
      <c r="H210" s="6" t="str">
        <f t="shared" si="35"/>
        <v>Valid</v>
      </c>
      <c r="I210" t="s">
        <v>733</v>
      </c>
      <c r="J210" t="s">
        <v>163</v>
      </c>
      <c r="K210" t="s">
        <v>25</v>
      </c>
      <c r="L210" t="s">
        <v>26</v>
      </c>
      <c r="M210" t="s">
        <v>123</v>
      </c>
      <c r="O210" t="s">
        <v>42</v>
      </c>
      <c r="P210" t="s">
        <v>67</v>
      </c>
      <c r="Q210" t="s">
        <v>734</v>
      </c>
      <c r="R210" t="s">
        <v>45</v>
      </c>
      <c r="S210">
        <v>1</v>
      </c>
      <c r="T210">
        <v>999.83</v>
      </c>
      <c r="U210" s="2">
        <f t="shared" si="39"/>
        <v>999.83</v>
      </c>
      <c r="V210" s="13">
        <v>0</v>
      </c>
      <c r="W210" s="2">
        <f t="shared" si="40"/>
        <v>0</v>
      </c>
      <c r="X210" s="2" t="str">
        <f t="shared" si="41"/>
        <v>Valid</v>
      </c>
      <c r="Y210" s="2" t="str">
        <f t="shared" si="42"/>
        <v>Clean</v>
      </c>
      <c r="Z210">
        <v>999.83</v>
      </c>
      <c r="AA210">
        <v>634.91</v>
      </c>
      <c r="AB210" s="2">
        <f t="shared" si="36"/>
        <v>364.92000000000007</v>
      </c>
      <c r="AC210">
        <v>364.92</v>
      </c>
      <c r="AD210" s="11">
        <f t="shared" si="43"/>
        <v>0.36498204694798114</v>
      </c>
      <c r="AE210" t="s">
        <v>33</v>
      </c>
      <c r="AF210" t="s">
        <v>34</v>
      </c>
    </row>
    <row r="211" spans="1:32">
      <c r="A211" t="s">
        <v>735</v>
      </c>
      <c r="B211" s="2" t="str">
        <f t="shared" si="33"/>
        <v>Unique</v>
      </c>
      <c r="C211" s="2" t="str">
        <f t="shared" si="37"/>
        <v>Aug</v>
      </c>
      <c r="D211" s="2">
        <f t="shared" si="38"/>
        <v>2025</v>
      </c>
      <c r="E211" s="4">
        <v>45882</v>
      </c>
      <c r="F211" s="4">
        <v>45883</v>
      </c>
      <c r="G211" s="6">
        <f t="shared" si="34"/>
        <v>1</v>
      </c>
      <c r="H211" s="6" t="str">
        <f t="shared" si="35"/>
        <v>Valid</v>
      </c>
      <c r="I211" t="s">
        <v>736</v>
      </c>
      <c r="J211" t="s">
        <v>142</v>
      </c>
      <c r="K211" t="s">
        <v>38</v>
      </c>
      <c r="L211" t="s">
        <v>55</v>
      </c>
      <c r="M211" t="s">
        <v>85</v>
      </c>
      <c r="O211" t="s">
        <v>29</v>
      </c>
      <c r="P211" t="s">
        <v>30</v>
      </c>
      <c r="Q211" t="s">
        <v>737</v>
      </c>
      <c r="R211" t="s">
        <v>51</v>
      </c>
      <c r="S211">
        <v>9</v>
      </c>
      <c r="T211">
        <v>864.98</v>
      </c>
      <c r="U211" s="2">
        <f t="shared" si="39"/>
        <v>7006.3379999999997</v>
      </c>
      <c r="V211" s="13">
        <v>0.1</v>
      </c>
      <c r="W211" s="2">
        <f t="shared" si="40"/>
        <v>0.1</v>
      </c>
      <c r="X211" s="2" t="str">
        <f t="shared" si="41"/>
        <v>Valid</v>
      </c>
      <c r="Y211" s="2" t="str">
        <f t="shared" si="42"/>
        <v>Clean</v>
      </c>
      <c r="Z211">
        <v>7006.34</v>
      </c>
      <c r="AA211">
        <v>4640.88</v>
      </c>
      <c r="AB211" s="2">
        <f t="shared" si="36"/>
        <v>2365.4579999999996</v>
      </c>
      <c r="AC211">
        <v>2365.46</v>
      </c>
      <c r="AD211" s="11">
        <f t="shared" si="43"/>
        <v>0.33761707253715922</v>
      </c>
      <c r="AE211" t="s">
        <v>33</v>
      </c>
      <c r="AF211" t="s">
        <v>34</v>
      </c>
    </row>
    <row r="212" spans="1:32">
      <c r="A212" t="s">
        <v>738</v>
      </c>
      <c r="B212" s="2" t="str">
        <f t="shared" si="33"/>
        <v>Unique</v>
      </c>
      <c r="C212" s="2" t="str">
        <f t="shared" si="37"/>
        <v>Mar</v>
      </c>
      <c r="D212" s="2">
        <f t="shared" si="38"/>
        <v>2024</v>
      </c>
      <c r="E212" s="4">
        <v>45366</v>
      </c>
      <c r="F212" s="4">
        <v>45369</v>
      </c>
      <c r="G212" s="6">
        <f t="shared" si="34"/>
        <v>3</v>
      </c>
      <c r="H212" s="6" t="str">
        <f t="shared" si="35"/>
        <v>Valid</v>
      </c>
      <c r="I212" t="s">
        <v>739</v>
      </c>
      <c r="J212" t="s">
        <v>265</v>
      </c>
      <c r="K212" t="s">
        <v>96</v>
      </c>
      <c r="L212" t="s">
        <v>55</v>
      </c>
      <c r="M212" t="s">
        <v>176</v>
      </c>
      <c r="O212" t="s">
        <v>75</v>
      </c>
      <c r="P212" t="s">
        <v>275</v>
      </c>
      <c r="Q212" t="s">
        <v>740</v>
      </c>
      <c r="R212" t="s">
        <v>32</v>
      </c>
      <c r="S212">
        <v>1</v>
      </c>
      <c r="T212">
        <v>4131.3599999999997</v>
      </c>
      <c r="U212" s="2">
        <f t="shared" si="39"/>
        <v>4131.3599999999997</v>
      </c>
      <c r="V212" s="13">
        <v>0</v>
      </c>
      <c r="W212" s="2">
        <f t="shared" si="40"/>
        <v>0</v>
      </c>
      <c r="X212" s="2" t="str">
        <f t="shared" si="41"/>
        <v>Valid</v>
      </c>
      <c r="Y212" s="2" t="str">
        <f t="shared" si="42"/>
        <v>Clean</v>
      </c>
      <c r="Z212">
        <v>4131.3599999999997</v>
      </c>
      <c r="AA212">
        <v>2937.07</v>
      </c>
      <c r="AB212" s="2">
        <f t="shared" si="36"/>
        <v>1194.2899999999995</v>
      </c>
      <c r="AC212">
        <v>1194.29</v>
      </c>
      <c r="AD212" s="11">
        <f t="shared" si="43"/>
        <v>0.28907914100925602</v>
      </c>
      <c r="AE212" t="s">
        <v>156</v>
      </c>
      <c r="AF212" t="s">
        <v>104</v>
      </c>
    </row>
    <row r="213" spans="1:32">
      <c r="A213" t="s">
        <v>741</v>
      </c>
      <c r="B213" s="2" t="str">
        <f t="shared" si="33"/>
        <v>Unique</v>
      </c>
      <c r="C213" s="2" t="str">
        <f t="shared" si="37"/>
        <v>May</v>
      </c>
      <c r="D213" s="2">
        <f t="shared" si="38"/>
        <v>2024</v>
      </c>
      <c r="E213" s="4">
        <v>45428</v>
      </c>
      <c r="F213" s="4">
        <v>45429</v>
      </c>
      <c r="G213" s="6">
        <f t="shared" si="34"/>
        <v>1</v>
      </c>
      <c r="H213" s="6" t="str">
        <f t="shared" si="35"/>
        <v>Valid</v>
      </c>
      <c r="I213" t="s">
        <v>742</v>
      </c>
      <c r="J213" t="s">
        <v>142</v>
      </c>
      <c r="K213" t="s">
        <v>91</v>
      </c>
      <c r="L213" t="s">
        <v>39</v>
      </c>
      <c r="M213" t="s">
        <v>100</v>
      </c>
      <c r="O213" t="s">
        <v>75</v>
      </c>
      <c r="P213" t="s">
        <v>81</v>
      </c>
      <c r="Q213" t="s">
        <v>743</v>
      </c>
      <c r="R213" t="s">
        <v>32</v>
      </c>
      <c r="S213">
        <v>8</v>
      </c>
      <c r="T213">
        <v>4221.95</v>
      </c>
      <c r="U213" s="2">
        <f t="shared" si="39"/>
        <v>27020.48</v>
      </c>
      <c r="V213" s="13">
        <v>0.2</v>
      </c>
      <c r="W213" s="2">
        <f t="shared" si="40"/>
        <v>0.2</v>
      </c>
      <c r="X213" s="2" t="str">
        <f t="shared" si="41"/>
        <v>Valid</v>
      </c>
      <c r="Y213" s="2" t="str">
        <f t="shared" si="42"/>
        <v>Clean</v>
      </c>
      <c r="Z213">
        <v>27020.48</v>
      </c>
      <c r="AA213">
        <v>22885.24</v>
      </c>
      <c r="AB213" s="2">
        <f t="shared" si="36"/>
        <v>4135.239999999998</v>
      </c>
      <c r="AC213">
        <v>4135.24</v>
      </c>
      <c r="AD213" s="11">
        <f t="shared" si="43"/>
        <v>0.1530409526403676</v>
      </c>
      <c r="AE213" t="s">
        <v>33</v>
      </c>
      <c r="AF213" t="s">
        <v>34</v>
      </c>
    </row>
    <row r="214" spans="1:32">
      <c r="A214" t="s">
        <v>744</v>
      </c>
      <c r="B214" s="2" t="str">
        <f t="shared" si="33"/>
        <v>Unique</v>
      </c>
      <c r="C214" s="2" t="str">
        <f t="shared" si="37"/>
        <v>Sep</v>
      </c>
      <c r="D214" s="2">
        <f t="shared" si="38"/>
        <v>2024</v>
      </c>
      <c r="E214" s="4">
        <v>45556</v>
      </c>
      <c r="F214" s="4">
        <v>45556</v>
      </c>
      <c r="G214" s="6">
        <f t="shared" si="34"/>
        <v>0</v>
      </c>
      <c r="H214" s="6" t="str">
        <f t="shared" si="35"/>
        <v>Valid</v>
      </c>
      <c r="I214" t="s">
        <v>745</v>
      </c>
      <c r="J214" t="s">
        <v>63</v>
      </c>
      <c r="K214" t="s">
        <v>38</v>
      </c>
      <c r="L214" t="s">
        <v>39</v>
      </c>
      <c r="M214" t="s">
        <v>40</v>
      </c>
      <c r="O214" t="s">
        <v>75</v>
      </c>
      <c r="P214" t="s">
        <v>172</v>
      </c>
      <c r="Q214" t="s">
        <v>746</v>
      </c>
      <c r="R214" t="s">
        <v>45</v>
      </c>
      <c r="S214">
        <v>2</v>
      </c>
      <c r="T214">
        <v>214.5</v>
      </c>
      <c r="U214" s="2">
        <f t="shared" si="39"/>
        <v>364.65</v>
      </c>
      <c r="V214" s="13">
        <v>0.15</v>
      </c>
      <c r="W214" s="2">
        <f t="shared" si="40"/>
        <v>0.15</v>
      </c>
      <c r="X214" s="2" t="str">
        <f t="shared" si="41"/>
        <v>Valid</v>
      </c>
      <c r="Y214" s="2" t="str">
        <f t="shared" si="42"/>
        <v>Clean</v>
      </c>
      <c r="Z214">
        <v>364.65</v>
      </c>
      <c r="AA214">
        <v>280.74</v>
      </c>
      <c r="AB214" s="2">
        <f t="shared" si="36"/>
        <v>83.909999999999968</v>
      </c>
      <c r="AC214">
        <v>83.91</v>
      </c>
      <c r="AD214" s="11">
        <f t="shared" si="43"/>
        <v>0.23011106540518306</v>
      </c>
      <c r="AE214" t="s">
        <v>33</v>
      </c>
      <c r="AF214" t="s">
        <v>34</v>
      </c>
    </row>
    <row r="215" spans="1:32">
      <c r="A215" t="s">
        <v>747</v>
      </c>
      <c r="B215" s="2" t="str">
        <f t="shared" si="33"/>
        <v>Unique</v>
      </c>
      <c r="C215" s="2" t="str">
        <f t="shared" si="37"/>
        <v>May</v>
      </c>
      <c r="D215" s="2">
        <f t="shared" si="38"/>
        <v>2024</v>
      </c>
      <c r="E215" s="4">
        <v>45427</v>
      </c>
      <c r="F215" s="4">
        <v>45433</v>
      </c>
      <c r="G215" s="6">
        <f t="shared" si="34"/>
        <v>6</v>
      </c>
      <c r="H215" s="6" t="str">
        <f t="shared" si="35"/>
        <v>Valid</v>
      </c>
      <c r="I215" t="s">
        <v>748</v>
      </c>
      <c r="J215" t="s">
        <v>48</v>
      </c>
      <c r="K215" t="s">
        <v>38</v>
      </c>
      <c r="L215" t="s">
        <v>39</v>
      </c>
      <c r="M215" t="s">
        <v>146</v>
      </c>
      <c r="O215" t="s">
        <v>75</v>
      </c>
      <c r="P215" t="s">
        <v>76</v>
      </c>
      <c r="Q215" t="s">
        <v>749</v>
      </c>
      <c r="R215" t="s">
        <v>32</v>
      </c>
      <c r="S215">
        <v>4</v>
      </c>
      <c r="T215">
        <v>4332.7299999999996</v>
      </c>
      <c r="U215" s="2">
        <f t="shared" si="39"/>
        <v>13864.735999999999</v>
      </c>
      <c r="V215" s="13">
        <v>0.2</v>
      </c>
      <c r="W215" s="2">
        <f t="shared" si="40"/>
        <v>0.2</v>
      </c>
      <c r="X215" s="2" t="str">
        <f t="shared" si="41"/>
        <v>Valid</v>
      </c>
      <c r="Y215" s="2" t="str">
        <f t="shared" si="42"/>
        <v>Clean</v>
      </c>
      <c r="Z215">
        <v>13864.74</v>
      </c>
      <c r="AA215">
        <v>11294.06</v>
      </c>
      <c r="AB215" s="2">
        <f t="shared" si="36"/>
        <v>2570.6759999999995</v>
      </c>
      <c r="AC215">
        <v>2570.6799999999998</v>
      </c>
      <c r="AD215" s="11">
        <f t="shared" si="43"/>
        <v>0.18541133840230686</v>
      </c>
      <c r="AE215" t="s">
        <v>33</v>
      </c>
      <c r="AF215" t="s">
        <v>34</v>
      </c>
    </row>
    <row r="216" spans="1:32">
      <c r="A216" t="s">
        <v>750</v>
      </c>
      <c r="B216" s="2" t="str">
        <f t="shared" si="33"/>
        <v>Unique</v>
      </c>
      <c r="C216" s="2" t="str">
        <f t="shared" si="37"/>
        <v>Mar</v>
      </c>
      <c r="D216" s="2">
        <f t="shared" si="38"/>
        <v>2024</v>
      </c>
      <c r="E216" s="4">
        <v>45368</v>
      </c>
      <c r="F216" s="4">
        <v>45374</v>
      </c>
      <c r="G216" s="6">
        <f t="shared" si="34"/>
        <v>6</v>
      </c>
      <c r="H216" s="6" t="str">
        <f t="shared" si="35"/>
        <v>Valid</v>
      </c>
      <c r="I216" t="s">
        <v>751</v>
      </c>
      <c r="J216" t="s">
        <v>119</v>
      </c>
      <c r="K216" t="s">
        <v>25</v>
      </c>
      <c r="L216" t="s">
        <v>26</v>
      </c>
      <c r="M216" t="s">
        <v>237</v>
      </c>
      <c r="O216" t="s">
        <v>75</v>
      </c>
      <c r="P216" t="s">
        <v>76</v>
      </c>
      <c r="Q216" t="s">
        <v>752</v>
      </c>
      <c r="R216" t="s">
        <v>51</v>
      </c>
      <c r="S216">
        <v>3</v>
      </c>
      <c r="T216">
        <v>248.18</v>
      </c>
      <c r="U216" s="2">
        <f t="shared" si="39"/>
        <v>707.31299999999999</v>
      </c>
      <c r="V216" s="13">
        <v>0.05</v>
      </c>
      <c r="W216" s="2">
        <f t="shared" si="40"/>
        <v>0.05</v>
      </c>
      <c r="X216" s="2" t="str">
        <f t="shared" si="41"/>
        <v>Valid</v>
      </c>
      <c r="Y216" s="2" t="str">
        <f t="shared" si="42"/>
        <v>Clean</v>
      </c>
      <c r="Z216">
        <v>707.31</v>
      </c>
      <c r="AA216">
        <v>569</v>
      </c>
      <c r="AB216" s="2">
        <f t="shared" si="36"/>
        <v>138.31299999999999</v>
      </c>
      <c r="AC216">
        <v>138.31</v>
      </c>
      <c r="AD216" s="11">
        <f t="shared" si="43"/>
        <v>0.19554367957472679</v>
      </c>
      <c r="AE216" t="s">
        <v>33</v>
      </c>
      <c r="AF216" t="s">
        <v>34</v>
      </c>
    </row>
    <row r="217" spans="1:32">
      <c r="A217" t="s">
        <v>753</v>
      </c>
      <c r="B217" s="2" t="str">
        <f t="shared" si="33"/>
        <v>Unique</v>
      </c>
      <c r="C217" s="2" t="str">
        <f t="shared" si="37"/>
        <v>Mar</v>
      </c>
      <c r="D217" s="2">
        <f t="shared" si="38"/>
        <v>2024</v>
      </c>
      <c r="E217" s="4">
        <v>45352</v>
      </c>
      <c r="F217" s="4">
        <v>45355</v>
      </c>
      <c r="G217" s="6">
        <f t="shared" si="34"/>
        <v>3</v>
      </c>
      <c r="H217" s="6" t="str">
        <f t="shared" si="35"/>
        <v>Valid</v>
      </c>
      <c r="I217" t="s">
        <v>754</v>
      </c>
      <c r="J217" t="s">
        <v>37</v>
      </c>
      <c r="K217" t="s">
        <v>25</v>
      </c>
      <c r="L217" t="s">
        <v>64</v>
      </c>
      <c r="M217" t="s">
        <v>73</v>
      </c>
      <c r="O217" t="s">
        <v>29</v>
      </c>
      <c r="P217" t="s">
        <v>30</v>
      </c>
      <c r="Q217" t="s">
        <v>755</v>
      </c>
      <c r="R217" t="s">
        <v>51</v>
      </c>
      <c r="S217">
        <v>8</v>
      </c>
      <c r="T217">
        <v>3202.4</v>
      </c>
      <c r="U217" s="2">
        <f t="shared" si="39"/>
        <v>19214.400000000001</v>
      </c>
      <c r="V217" s="13">
        <v>0.25</v>
      </c>
      <c r="W217" s="2">
        <f t="shared" si="40"/>
        <v>0.25</v>
      </c>
      <c r="X217" s="2" t="str">
        <f t="shared" si="41"/>
        <v>Valid</v>
      </c>
      <c r="Y217" s="2" t="str">
        <f t="shared" si="42"/>
        <v>Clean</v>
      </c>
      <c r="Z217">
        <v>19214.400000000001</v>
      </c>
      <c r="AA217">
        <v>10916.01</v>
      </c>
      <c r="AB217" s="2">
        <f t="shared" si="36"/>
        <v>8298.3900000000012</v>
      </c>
      <c r="AC217">
        <v>8298.39</v>
      </c>
      <c r="AD217" s="11">
        <f t="shared" si="43"/>
        <v>0.43188389957531848</v>
      </c>
      <c r="AE217" t="s">
        <v>33</v>
      </c>
      <c r="AF217" t="s">
        <v>34</v>
      </c>
    </row>
    <row r="218" spans="1:32">
      <c r="A218" t="s">
        <v>756</v>
      </c>
      <c r="B218" s="2" t="str">
        <f t="shared" si="33"/>
        <v>Unique</v>
      </c>
      <c r="C218" s="2" t="str">
        <f t="shared" si="37"/>
        <v>Apr</v>
      </c>
      <c r="D218" s="2">
        <f t="shared" si="38"/>
        <v>2025</v>
      </c>
      <c r="E218" s="4">
        <v>45757</v>
      </c>
      <c r="F218" s="4">
        <v>45762</v>
      </c>
      <c r="G218" s="6">
        <f t="shared" si="34"/>
        <v>5</v>
      </c>
      <c r="H218" s="6" t="str">
        <f t="shared" si="35"/>
        <v>Valid</v>
      </c>
      <c r="I218" t="s">
        <v>757</v>
      </c>
      <c r="J218" t="s">
        <v>48</v>
      </c>
      <c r="K218" t="s">
        <v>25</v>
      </c>
      <c r="L218" t="s">
        <v>64</v>
      </c>
      <c r="M218" t="s">
        <v>181</v>
      </c>
      <c r="O218" t="s">
        <v>42</v>
      </c>
      <c r="P218" t="s">
        <v>43</v>
      </c>
      <c r="Q218" t="s">
        <v>758</v>
      </c>
      <c r="R218" t="s">
        <v>60</v>
      </c>
      <c r="S218">
        <v>8</v>
      </c>
      <c r="T218">
        <v>1839.87</v>
      </c>
      <c r="U218" s="2">
        <f t="shared" si="39"/>
        <v>11039.22</v>
      </c>
      <c r="V218" s="13">
        <v>0.25</v>
      </c>
      <c r="W218" s="2">
        <f t="shared" si="40"/>
        <v>0.25</v>
      </c>
      <c r="X218" s="2" t="str">
        <f t="shared" si="41"/>
        <v>Valid</v>
      </c>
      <c r="Y218" s="2" t="str">
        <f t="shared" si="42"/>
        <v>Clean</v>
      </c>
      <c r="Z218">
        <v>11039.22</v>
      </c>
      <c r="AA218">
        <v>7642.91</v>
      </c>
      <c r="AB218" s="2">
        <f t="shared" si="36"/>
        <v>3396.3099999999995</v>
      </c>
      <c r="AC218">
        <v>3396.31</v>
      </c>
      <c r="AD218" s="11">
        <f t="shared" si="43"/>
        <v>0.30765851210502193</v>
      </c>
      <c r="AE218" t="s">
        <v>156</v>
      </c>
      <c r="AF218" t="s">
        <v>104</v>
      </c>
    </row>
    <row r="219" spans="1:32">
      <c r="A219" t="s">
        <v>759</v>
      </c>
      <c r="B219" s="2" t="str">
        <f t="shared" si="33"/>
        <v>Unique</v>
      </c>
      <c r="C219" s="2" t="str">
        <f t="shared" si="37"/>
        <v>Apr</v>
      </c>
      <c r="D219" s="2">
        <f t="shared" si="38"/>
        <v>2025</v>
      </c>
      <c r="E219" s="4">
        <v>45748</v>
      </c>
      <c r="F219" s="4">
        <v>45755</v>
      </c>
      <c r="G219" s="6">
        <f t="shared" si="34"/>
        <v>7</v>
      </c>
      <c r="H219" s="6" t="str">
        <f t="shared" si="35"/>
        <v>Valid</v>
      </c>
      <c r="I219" t="s">
        <v>760</v>
      </c>
      <c r="J219" t="s">
        <v>90</v>
      </c>
      <c r="K219" t="s">
        <v>25</v>
      </c>
      <c r="L219" t="s">
        <v>39</v>
      </c>
      <c r="M219" t="s">
        <v>40</v>
      </c>
      <c r="O219" t="s">
        <v>42</v>
      </c>
      <c r="P219" t="s">
        <v>159</v>
      </c>
      <c r="Q219" t="s">
        <v>761</v>
      </c>
      <c r="R219" t="s">
        <v>32</v>
      </c>
      <c r="S219">
        <v>5</v>
      </c>
      <c r="T219">
        <v>1021.28</v>
      </c>
      <c r="U219" s="2">
        <f t="shared" si="39"/>
        <v>4595.76</v>
      </c>
      <c r="V219" s="13">
        <v>0.1</v>
      </c>
      <c r="W219" s="2">
        <f t="shared" si="40"/>
        <v>0.1</v>
      </c>
      <c r="X219" s="2" t="str">
        <f t="shared" si="41"/>
        <v>Valid</v>
      </c>
      <c r="Y219" s="2" t="str">
        <f t="shared" si="42"/>
        <v>Clean</v>
      </c>
      <c r="Z219">
        <v>4595.76</v>
      </c>
      <c r="AA219">
        <v>3396.8</v>
      </c>
      <c r="AB219" s="2">
        <f t="shared" si="36"/>
        <v>1198.96</v>
      </c>
      <c r="AC219">
        <v>1198.96</v>
      </c>
      <c r="AD219" s="11">
        <f t="shared" si="43"/>
        <v>0.26088394520166414</v>
      </c>
      <c r="AE219" t="s">
        <v>103</v>
      </c>
      <c r="AF219" t="s">
        <v>69</v>
      </c>
    </row>
    <row r="220" spans="1:32">
      <c r="A220" t="s">
        <v>762</v>
      </c>
      <c r="B220" s="2" t="str">
        <f t="shared" si="33"/>
        <v>Unique</v>
      </c>
      <c r="C220" s="2" t="str">
        <f t="shared" si="37"/>
        <v>Feb</v>
      </c>
      <c r="D220" s="2">
        <f t="shared" si="38"/>
        <v>2025</v>
      </c>
      <c r="E220" s="4">
        <v>45714</v>
      </c>
      <c r="F220" s="4">
        <v>45715</v>
      </c>
      <c r="G220" s="6">
        <f t="shared" si="34"/>
        <v>1</v>
      </c>
      <c r="H220" s="6" t="str">
        <f t="shared" si="35"/>
        <v>Valid</v>
      </c>
      <c r="I220" t="s">
        <v>763</v>
      </c>
      <c r="J220" t="s">
        <v>115</v>
      </c>
      <c r="K220" t="s">
        <v>91</v>
      </c>
      <c r="L220" t="s">
        <v>64</v>
      </c>
      <c r="M220" t="s">
        <v>181</v>
      </c>
      <c r="O220" t="s">
        <v>42</v>
      </c>
      <c r="P220" t="s">
        <v>159</v>
      </c>
      <c r="Q220" t="s">
        <v>764</v>
      </c>
      <c r="R220" t="s">
        <v>60</v>
      </c>
      <c r="S220">
        <v>5</v>
      </c>
      <c r="T220">
        <v>258.27999999999997</v>
      </c>
      <c r="U220" s="2">
        <f t="shared" si="39"/>
        <v>1291.3999999999999</v>
      </c>
      <c r="V220" s="13">
        <v>0</v>
      </c>
      <c r="W220" s="2">
        <f t="shared" si="40"/>
        <v>0</v>
      </c>
      <c r="X220" s="2" t="str">
        <f t="shared" si="41"/>
        <v>Valid</v>
      </c>
      <c r="Y220" s="2" t="str">
        <f t="shared" si="42"/>
        <v>Clean</v>
      </c>
      <c r="Z220">
        <v>1291.4000000000001</v>
      </c>
      <c r="AA220">
        <v>756.93</v>
      </c>
      <c r="AB220" s="2">
        <f t="shared" si="36"/>
        <v>534.46999999999991</v>
      </c>
      <c r="AC220">
        <v>534.47</v>
      </c>
      <c r="AD220" s="11">
        <f t="shared" si="43"/>
        <v>0.41386866966083319</v>
      </c>
      <c r="AE220" t="s">
        <v>33</v>
      </c>
      <c r="AF220" t="s">
        <v>34</v>
      </c>
    </row>
    <row r="221" spans="1:32">
      <c r="A221" t="s">
        <v>765</v>
      </c>
      <c r="B221" s="2" t="str">
        <f t="shared" si="33"/>
        <v>Unique</v>
      </c>
      <c r="C221" s="2" t="str">
        <f t="shared" si="37"/>
        <v>Jun</v>
      </c>
      <c r="D221" s="2">
        <f t="shared" si="38"/>
        <v>2024</v>
      </c>
      <c r="E221" s="4">
        <v>45461</v>
      </c>
      <c r="F221" s="4">
        <v>45462</v>
      </c>
      <c r="G221" s="6">
        <f t="shared" si="34"/>
        <v>1</v>
      </c>
      <c r="H221" s="6" t="str">
        <f t="shared" si="35"/>
        <v>Valid</v>
      </c>
      <c r="I221" t="s">
        <v>766</v>
      </c>
      <c r="J221" t="s">
        <v>119</v>
      </c>
      <c r="K221" t="s">
        <v>25</v>
      </c>
      <c r="L221" t="s">
        <v>39</v>
      </c>
      <c r="M221" t="s">
        <v>146</v>
      </c>
      <c r="O221" t="s">
        <v>75</v>
      </c>
      <c r="P221" t="s">
        <v>275</v>
      </c>
      <c r="Q221" t="s">
        <v>767</v>
      </c>
      <c r="R221" t="s">
        <v>51</v>
      </c>
      <c r="S221">
        <v>2</v>
      </c>
      <c r="T221">
        <v>121.49</v>
      </c>
      <c r="U221" s="2" t="str">
        <f t="shared" si="39"/>
        <v>Invalid</v>
      </c>
      <c r="V221" s="13" t="s">
        <v>768</v>
      </c>
      <c r="W221" s="2" t="str">
        <f t="shared" si="40"/>
        <v>Invalid</v>
      </c>
      <c r="X221" s="2" t="str">
        <f t="shared" si="41"/>
        <v>Invalid</v>
      </c>
      <c r="Y221" s="2" t="str">
        <f t="shared" si="42"/>
        <v>Invalid</v>
      </c>
      <c r="Z221">
        <v>242.98</v>
      </c>
      <c r="AA221">
        <v>161.41999999999999</v>
      </c>
      <c r="AB221" s="2" t="str">
        <f t="shared" si="36"/>
        <v>Invalid</v>
      </c>
      <c r="AC221">
        <v>81.56</v>
      </c>
      <c r="AD221" s="11">
        <f t="shared" si="43"/>
        <v>0.33566548687134745</v>
      </c>
      <c r="AE221" t="s">
        <v>33</v>
      </c>
      <c r="AF221" t="s">
        <v>34</v>
      </c>
    </row>
    <row r="222" spans="1:32">
      <c r="A222" t="s">
        <v>769</v>
      </c>
      <c r="B222" s="2" t="str">
        <f t="shared" si="33"/>
        <v>Unique</v>
      </c>
      <c r="C222" s="2" t="str">
        <f t="shared" si="37"/>
        <v>Sep</v>
      </c>
      <c r="D222" s="2">
        <f t="shared" si="38"/>
        <v>2024</v>
      </c>
      <c r="E222" s="4">
        <v>45538</v>
      </c>
      <c r="F222" s="4">
        <v>45538</v>
      </c>
      <c r="G222" s="6">
        <f t="shared" si="34"/>
        <v>0</v>
      </c>
      <c r="H222" s="6" t="str">
        <f t="shared" si="35"/>
        <v>Valid</v>
      </c>
      <c r="I222" t="s">
        <v>770</v>
      </c>
      <c r="J222" t="s">
        <v>133</v>
      </c>
      <c r="K222" t="s">
        <v>25</v>
      </c>
      <c r="L222" t="s">
        <v>55</v>
      </c>
      <c r="M222" t="s">
        <v>186</v>
      </c>
      <c r="O222" t="s">
        <v>29</v>
      </c>
      <c r="P222" t="s">
        <v>125</v>
      </c>
      <c r="Q222" t="s">
        <v>771</v>
      </c>
      <c r="R222" t="s">
        <v>51</v>
      </c>
      <c r="S222">
        <v>4</v>
      </c>
      <c r="T222">
        <v>2810.17</v>
      </c>
      <c r="U222" s="2">
        <f t="shared" si="39"/>
        <v>9554.5779999999995</v>
      </c>
      <c r="V222" s="13">
        <v>0.15</v>
      </c>
      <c r="W222" s="2">
        <f t="shared" si="40"/>
        <v>0.15</v>
      </c>
      <c r="X222" s="2" t="str">
        <f t="shared" si="41"/>
        <v>Valid</v>
      </c>
      <c r="Y222" s="2" t="str">
        <f t="shared" si="42"/>
        <v>Clean</v>
      </c>
      <c r="Z222">
        <v>9554.58</v>
      </c>
      <c r="AA222">
        <v>6068.47</v>
      </c>
      <c r="AB222" s="2">
        <f t="shared" si="36"/>
        <v>3486.1079999999993</v>
      </c>
      <c r="AC222">
        <v>3486.11</v>
      </c>
      <c r="AD222" s="11">
        <f t="shared" si="43"/>
        <v>0.36486271505393225</v>
      </c>
      <c r="AE222" t="s">
        <v>103</v>
      </c>
      <c r="AF222" t="s">
        <v>69</v>
      </c>
    </row>
    <row r="223" spans="1:32">
      <c r="A223" t="s">
        <v>772</v>
      </c>
      <c r="B223" s="2" t="str">
        <f t="shared" si="33"/>
        <v>Unique</v>
      </c>
      <c r="C223" s="2" t="str">
        <f t="shared" si="37"/>
        <v>Jan</v>
      </c>
      <c r="D223" s="2">
        <f t="shared" si="38"/>
        <v>2025</v>
      </c>
      <c r="E223" s="4">
        <v>45669</v>
      </c>
      <c r="F223" s="4">
        <v>45672</v>
      </c>
      <c r="G223" s="6">
        <f t="shared" si="34"/>
        <v>3</v>
      </c>
      <c r="H223" s="6" t="str">
        <f t="shared" si="35"/>
        <v>Valid</v>
      </c>
      <c r="I223" t="s">
        <v>773</v>
      </c>
      <c r="J223" t="s">
        <v>37</v>
      </c>
      <c r="K223" t="s">
        <v>91</v>
      </c>
      <c r="L223" t="s">
        <v>55</v>
      </c>
      <c r="M223" t="s">
        <v>176</v>
      </c>
      <c r="O223" t="s">
        <v>42</v>
      </c>
      <c r="P223" t="s">
        <v>67</v>
      </c>
      <c r="Q223" t="s">
        <v>774</v>
      </c>
      <c r="R223" t="s">
        <v>45</v>
      </c>
      <c r="S223">
        <v>4</v>
      </c>
      <c r="T223">
        <v>1531.53</v>
      </c>
      <c r="U223" s="2">
        <f t="shared" si="39"/>
        <v>4900.8959999999997</v>
      </c>
      <c r="V223" s="13">
        <v>0.2</v>
      </c>
      <c r="W223" s="2">
        <f t="shared" si="40"/>
        <v>0.2</v>
      </c>
      <c r="X223" s="2" t="str">
        <f t="shared" si="41"/>
        <v>Valid</v>
      </c>
      <c r="Y223" s="2" t="str">
        <f t="shared" si="42"/>
        <v>Clean</v>
      </c>
      <c r="Z223">
        <v>4900.8999999999996</v>
      </c>
      <c r="AA223">
        <v>3552.69</v>
      </c>
      <c r="AB223" s="2">
        <f t="shared" si="36"/>
        <v>1348.2059999999997</v>
      </c>
      <c r="AC223">
        <v>1348.21</v>
      </c>
      <c r="AD223" s="11">
        <f t="shared" si="43"/>
        <v>0.27509437042175927</v>
      </c>
      <c r="AE223" t="s">
        <v>33</v>
      </c>
      <c r="AF223" t="s">
        <v>34</v>
      </c>
    </row>
    <row r="224" spans="1:32">
      <c r="A224" t="s">
        <v>775</v>
      </c>
      <c r="B224" s="2" t="str">
        <f t="shared" si="33"/>
        <v>Unique</v>
      </c>
      <c r="C224" s="2" t="str">
        <f t="shared" si="37"/>
        <v>Apr</v>
      </c>
      <c r="D224" s="2">
        <f t="shared" si="38"/>
        <v>2025</v>
      </c>
      <c r="E224" s="4">
        <v>45776</v>
      </c>
      <c r="F224" s="4">
        <v>45779</v>
      </c>
      <c r="G224" s="6">
        <f t="shared" si="34"/>
        <v>3</v>
      </c>
      <c r="H224" s="6" t="str">
        <f t="shared" si="35"/>
        <v>Valid</v>
      </c>
      <c r="I224" t="s">
        <v>776</v>
      </c>
      <c r="J224" t="s">
        <v>72</v>
      </c>
      <c r="K224" t="s">
        <v>38</v>
      </c>
      <c r="L224" t="s">
        <v>64</v>
      </c>
      <c r="M224" t="s">
        <v>191</v>
      </c>
      <c r="O224" t="s">
        <v>29</v>
      </c>
      <c r="P224" t="s">
        <v>125</v>
      </c>
      <c r="Q224" t="s">
        <v>777</v>
      </c>
      <c r="R224" t="s">
        <v>51</v>
      </c>
      <c r="S224">
        <v>6</v>
      </c>
      <c r="T224">
        <v>4308.09</v>
      </c>
      <c r="U224" s="2">
        <f t="shared" si="39"/>
        <v>25848.54</v>
      </c>
      <c r="V224" s="13">
        <v>0</v>
      </c>
      <c r="W224" s="2">
        <f t="shared" si="40"/>
        <v>0</v>
      </c>
      <c r="X224" s="2" t="str">
        <f t="shared" si="41"/>
        <v>Valid</v>
      </c>
      <c r="Y224" s="2" t="str">
        <f t="shared" si="42"/>
        <v>Clean</v>
      </c>
      <c r="Z224">
        <v>25848.54</v>
      </c>
      <c r="AA224">
        <v>17729.09</v>
      </c>
      <c r="AB224" s="2">
        <f t="shared" si="36"/>
        <v>8119.4500000000007</v>
      </c>
      <c r="AC224">
        <v>8119.45</v>
      </c>
      <c r="AD224" s="11">
        <f t="shared" si="43"/>
        <v>0.31411638723115504</v>
      </c>
      <c r="AE224" t="s">
        <v>33</v>
      </c>
      <c r="AF224" t="s">
        <v>34</v>
      </c>
    </row>
    <row r="225" spans="1:32">
      <c r="A225" t="s">
        <v>778</v>
      </c>
      <c r="B225" s="2" t="str">
        <f t="shared" si="33"/>
        <v>Unique</v>
      </c>
      <c r="C225" s="2" t="str">
        <f t="shared" si="37"/>
        <v>Feb</v>
      </c>
      <c r="D225" s="2">
        <f t="shared" si="38"/>
        <v>2025</v>
      </c>
      <c r="E225" s="4">
        <v>45707</v>
      </c>
      <c r="F225" s="4">
        <v>45714</v>
      </c>
      <c r="G225" s="6">
        <f t="shared" si="34"/>
        <v>7</v>
      </c>
      <c r="H225" s="6" t="str">
        <f t="shared" si="35"/>
        <v>Valid</v>
      </c>
      <c r="I225" t="s">
        <v>779</v>
      </c>
      <c r="J225" t="s">
        <v>37</v>
      </c>
      <c r="K225" t="s">
        <v>91</v>
      </c>
      <c r="L225" t="s">
        <v>64</v>
      </c>
      <c r="M225" t="s">
        <v>65</v>
      </c>
      <c r="O225" t="s">
        <v>42</v>
      </c>
      <c r="P225" t="s">
        <v>58</v>
      </c>
      <c r="Q225" t="s">
        <v>780</v>
      </c>
      <c r="R225" t="s">
        <v>51</v>
      </c>
      <c r="S225">
        <v>3</v>
      </c>
      <c r="T225">
        <v>490.3</v>
      </c>
      <c r="U225" s="2">
        <f t="shared" si="39"/>
        <v>1176.72</v>
      </c>
      <c r="V225" s="13">
        <v>0.2</v>
      </c>
      <c r="W225" s="2">
        <f t="shared" si="40"/>
        <v>0.2</v>
      </c>
      <c r="X225" s="2" t="str">
        <f t="shared" si="41"/>
        <v>Valid</v>
      </c>
      <c r="Y225" s="2" t="str">
        <f t="shared" si="42"/>
        <v>Clean</v>
      </c>
      <c r="Z225">
        <v>1176.72</v>
      </c>
      <c r="AA225">
        <v>654.33000000000004</v>
      </c>
      <c r="AB225" s="2">
        <f t="shared" si="36"/>
        <v>522.39</v>
      </c>
      <c r="AC225">
        <v>522.39</v>
      </c>
      <c r="AD225" s="11">
        <f t="shared" si="43"/>
        <v>0.44393738527432181</v>
      </c>
      <c r="AE225" t="s">
        <v>112</v>
      </c>
      <c r="AF225" t="s">
        <v>104</v>
      </c>
    </row>
    <row r="226" spans="1:32">
      <c r="A226" t="s">
        <v>781</v>
      </c>
      <c r="B226" s="2" t="str">
        <f t="shared" si="33"/>
        <v>Duplicate Order ID</v>
      </c>
      <c r="C226" s="2" t="str">
        <f t="shared" si="37"/>
        <v>Oct</v>
      </c>
      <c r="D226" s="2">
        <f t="shared" si="38"/>
        <v>2025</v>
      </c>
      <c r="E226" s="4">
        <v>45932</v>
      </c>
      <c r="F226" s="4">
        <v>45938</v>
      </c>
      <c r="G226" s="6">
        <f t="shared" si="34"/>
        <v>6</v>
      </c>
      <c r="H226" s="6" t="str">
        <f t="shared" si="35"/>
        <v>Valid</v>
      </c>
      <c r="I226" t="s">
        <v>782</v>
      </c>
      <c r="J226" t="s">
        <v>48</v>
      </c>
      <c r="K226" t="s">
        <v>38</v>
      </c>
      <c r="L226" t="s">
        <v>26</v>
      </c>
      <c r="M226" t="s">
        <v>123</v>
      </c>
      <c r="O226" t="s">
        <v>42</v>
      </c>
      <c r="P226" t="s">
        <v>58</v>
      </c>
      <c r="Q226" t="s">
        <v>783</v>
      </c>
      <c r="R226" t="s">
        <v>60</v>
      </c>
      <c r="S226">
        <v>4</v>
      </c>
      <c r="T226">
        <v>3944.64</v>
      </c>
      <c r="U226" s="2">
        <f t="shared" si="39"/>
        <v>11833.92</v>
      </c>
      <c r="V226" s="13">
        <v>0.25</v>
      </c>
      <c r="W226" s="2">
        <f t="shared" si="40"/>
        <v>0.25</v>
      </c>
      <c r="X226" s="2" t="str">
        <f t="shared" si="41"/>
        <v>Valid</v>
      </c>
      <c r="Y226" s="2" t="str">
        <f t="shared" si="42"/>
        <v>Clean</v>
      </c>
      <c r="Z226">
        <v>11833.92</v>
      </c>
      <c r="AA226">
        <v>6682.92</v>
      </c>
      <c r="AB226" s="2">
        <f t="shared" si="36"/>
        <v>5151</v>
      </c>
      <c r="AC226">
        <v>5151</v>
      </c>
      <c r="AD226" s="11">
        <f t="shared" si="43"/>
        <v>0.43527419485681834</v>
      </c>
      <c r="AE226" t="s">
        <v>33</v>
      </c>
      <c r="AF226" t="s">
        <v>69</v>
      </c>
    </row>
    <row r="227" spans="1:32">
      <c r="A227" t="s">
        <v>784</v>
      </c>
      <c r="B227" s="2" t="str">
        <f t="shared" si="33"/>
        <v>Unique</v>
      </c>
      <c r="C227" s="2" t="str">
        <f t="shared" si="37"/>
        <v>Sep</v>
      </c>
      <c r="D227" s="2">
        <f t="shared" si="38"/>
        <v>2024</v>
      </c>
      <c r="E227" s="4">
        <v>45537</v>
      </c>
      <c r="F227" s="4">
        <v>45545</v>
      </c>
      <c r="G227" s="6">
        <f t="shared" si="34"/>
        <v>8</v>
      </c>
      <c r="H227" s="6" t="str">
        <f t="shared" si="35"/>
        <v>Valid</v>
      </c>
      <c r="I227" t="s">
        <v>785</v>
      </c>
      <c r="J227" t="s">
        <v>37</v>
      </c>
      <c r="K227" t="s">
        <v>91</v>
      </c>
      <c r="L227" t="s">
        <v>64</v>
      </c>
      <c r="M227" t="s">
        <v>191</v>
      </c>
      <c r="O227" t="s">
        <v>75</v>
      </c>
      <c r="P227" t="s">
        <v>172</v>
      </c>
      <c r="Q227" t="s">
        <v>786</v>
      </c>
      <c r="R227" t="s">
        <v>60</v>
      </c>
      <c r="S227">
        <v>6</v>
      </c>
      <c r="T227">
        <v>1032.47</v>
      </c>
      <c r="U227" s="2">
        <f t="shared" si="39"/>
        <v>5265.5969999999998</v>
      </c>
      <c r="V227" s="13">
        <v>0.15</v>
      </c>
      <c r="W227" s="2">
        <f t="shared" si="40"/>
        <v>0.15</v>
      </c>
      <c r="X227" s="2" t="str">
        <f t="shared" si="41"/>
        <v>Valid</v>
      </c>
      <c r="Y227" s="2" t="str">
        <f t="shared" si="42"/>
        <v>Clean</v>
      </c>
      <c r="Z227">
        <v>5265.6</v>
      </c>
      <c r="AA227">
        <v>4293.1099999999997</v>
      </c>
      <c r="AB227" s="2">
        <f t="shared" si="36"/>
        <v>972.48700000000008</v>
      </c>
      <c r="AC227">
        <v>787.57</v>
      </c>
      <c r="AD227" s="11">
        <f t="shared" si="43"/>
        <v>0.14956890003038589</v>
      </c>
      <c r="AE227" t="s">
        <v>33</v>
      </c>
      <c r="AF227" t="s">
        <v>34</v>
      </c>
    </row>
    <row r="228" spans="1:32">
      <c r="A228" t="s">
        <v>787</v>
      </c>
      <c r="B228" s="2" t="str">
        <f t="shared" si="33"/>
        <v>Unique</v>
      </c>
      <c r="C228" s="2" t="str">
        <f t="shared" si="37"/>
        <v>Apr</v>
      </c>
      <c r="D228" s="2">
        <f t="shared" si="38"/>
        <v>2025</v>
      </c>
      <c r="E228" s="4">
        <v>45757</v>
      </c>
      <c r="F228" s="4">
        <v>45762</v>
      </c>
      <c r="G228" s="6">
        <f t="shared" si="34"/>
        <v>5</v>
      </c>
      <c r="H228" s="6" t="str">
        <f t="shared" si="35"/>
        <v>Valid</v>
      </c>
      <c r="I228" t="s">
        <v>788</v>
      </c>
      <c r="J228" t="s">
        <v>163</v>
      </c>
      <c r="K228" t="s">
        <v>96</v>
      </c>
      <c r="L228" s="2" t="s">
        <v>2793</v>
      </c>
      <c r="M228" t="s">
        <v>186</v>
      </c>
      <c r="O228" t="s">
        <v>75</v>
      </c>
      <c r="P228" t="s">
        <v>81</v>
      </c>
      <c r="Q228" t="s">
        <v>789</v>
      </c>
      <c r="R228" t="s">
        <v>45</v>
      </c>
      <c r="S228">
        <v>1</v>
      </c>
      <c r="T228">
        <v>2208.27</v>
      </c>
      <c r="U228" s="2">
        <f t="shared" si="39"/>
        <v>1987.443</v>
      </c>
      <c r="V228" s="13">
        <v>0.1</v>
      </c>
      <c r="W228" s="2">
        <f t="shared" si="40"/>
        <v>0.1</v>
      </c>
      <c r="X228" s="2" t="str">
        <f t="shared" si="41"/>
        <v>Valid</v>
      </c>
      <c r="Y228" s="2" t="str">
        <f t="shared" si="42"/>
        <v>Clean</v>
      </c>
      <c r="Z228">
        <v>1987.44</v>
      </c>
      <c r="AA228">
        <v>1110.23</v>
      </c>
      <c r="AB228" s="2">
        <f t="shared" si="36"/>
        <v>877.21299999999997</v>
      </c>
      <c r="AC228">
        <v>877.21</v>
      </c>
      <c r="AD228" s="11">
        <f t="shared" si="43"/>
        <v>0.44137684659662685</v>
      </c>
      <c r="AE228" t="s">
        <v>33</v>
      </c>
      <c r="AF228" t="s">
        <v>34</v>
      </c>
    </row>
    <row r="229" spans="1:32">
      <c r="A229" t="s">
        <v>790</v>
      </c>
      <c r="B229" s="2" t="str">
        <f t="shared" si="33"/>
        <v>Unique</v>
      </c>
      <c r="C229" s="2" t="str">
        <f t="shared" si="37"/>
        <v>Jul</v>
      </c>
      <c r="D229" s="2">
        <f t="shared" si="38"/>
        <v>2024</v>
      </c>
      <c r="E229" s="4">
        <v>45478</v>
      </c>
      <c r="F229" s="4">
        <v>45485</v>
      </c>
      <c r="G229" s="6">
        <f t="shared" si="34"/>
        <v>7</v>
      </c>
      <c r="H229" s="6" t="str">
        <f t="shared" si="35"/>
        <v>Valid</v>
      </c>
      <c r="I229" t="s">
        <v>791</v>
      </c>
      <c r="J229" t="s">
        <v>63</v>
      </c>
      <c r="K229" t="s">
        <v>38</v>
      </c>
      <c r="L229" t="s">
        <v>64</v>
      </c>
      <c r="M229" t="s">
        <v>191</v>
      </c>
      <c r="O229" t="s">
        <v>29</v>
      </c>
      <c r="P229" t="s">
        <v>154</v>
      </c>
      <c r="Q229" t="s">
        <v>792</v>
      </c>
      <c r="R229" t="s">
        <v>51</v>
      </c>
      <c r="S229">
        <v>3</v>
      </c>
      <c r="T229">
        <v>577.75</v>
      </c>
      <c r="U229" s="2">
        <f t="shared" si="39"/>
        <v>1473.2625</v>
      </c>
      <c r="V229" s="13">
        <v>0.15</v>
      </c>
      <c r="W229" s="2">
        <f t="shared" si="40"/>
        <v>0.15</v>
      </c>
      <c r="X229" s="2" t="str">
        <f t="shared" si="41"/>
        <v>Valid</v>
      </c>
      <c r="Y229" s="2" t="str">
        <f t="shared" si="42"/>
        <v>Clean</v>
      </c>
      <c r="Z229">
        <v>1473.26</v>
      </c>
      <c r="AA229">
        <v>899.86</v>
      </c>
      <c r="AB229" s="2">
        <f t="shared" si="36"/>
        <v>573.40250000000003</v>
      </c>
      <c r="AC229">
        <v>573.4</v>
      </c>
      <c r="AD229" s="11">
        <f t="shared" si="43"/>
        <v>0.38920489255121293</v>
      </c>
      <c r="AE229" t="s">
        <v>33</v>
      </c>
      <c r="AF229" t="s">
        <v>34</v>
      </c>
    </row>
    <row r="230" spans="1:32">
      <c r="A230" t="s">
        <v>793</v>
      </c>
      <c r="B230" s="2" t="str">
        <f t="shared" si="33"/>
        <v>Unique</v>
      </c>
      <c r="C230" s="2" t="str">
        <f t="shared" si="37"/>
        <v>Apr</v>
      </c>
      <c r="D230" s="2">
        <f t="shared" si="38"/>
        <v>2024</v>
      </c>
      <c r="E230" s="4">
        <v>45406</v>
      </c>
      <c r="F230" s="4">
        <v>45410</v>
      </c>
      <c r="G230" s="6">
        <f t="shared" si="34"/>
        <v>4</v>
      </c>
      <c r="H230" s="6" t="str">
        <f t="shared" si="35"/>
        <v>Valid</v>
      </c>
      <c r="I230" t="s">
        <v>794</v>
      </c>
      <c r="J230" t="s">
        <v>24</v>
      </c>
      <c r="K230" t="s">
        <v>38</v>
      </c>
      <c r="L230" t="s">
        <v>55</v>
      </c>
      <c r="M230" t="s">
        <v>56</v>
      </c>
      <c r="O230" t="s">
        <v>29</v>
      </c>
      <c r="P230" t="s">
        <v>92</v>
      </c>
      <c r="Q230" t="s">
        <v>795</v>
      </c>
      <c r="R230" t="s">
        <v>32</v>
      </c>
      <c r="S230">
        <v>1</v>
      </c>
      <c r="T230">
        <v>3194.37</v>
      </c>
      <c r="U230" s="2">
        <f t="shared" si="39"/>
        <v>2715.2145</v>
      </c>
      <c r="V230" s="13">
        <v>0.15</v>
      </c>
      <c r="W230" s="2">
        <f t="shared" si="40"/>
        <v>0.15</v>
      </c>
      <c r="X230" s="2" t="str">
        <f t="shared" si="41"/>
        <v>Valid</v>
      </c>
      <c r="Y230" s="2" t="str">
        <f t="shared" si="42"/>
        <v>Clean</v>
      </c>
      <c r="Z230">
        <v>2715.21</v>
      </c>
      <c r="AA230">
        <v>1551.55</v>
      </c>
      <c r="AB230" s="2">
        <f t="shared" si="36"/>
        <v>1163.6645000000001</v>
      </c>
      <c r="AC230">
        <v>1163.6600000000001</v>
      </c>
      <c r="AD230" s="11">
        <f t="shared" si="43"/>
        <v>0.4285709024348025</v>
      </c>
      <c r="AE230" t="s">
        <v>33</v>
      </c>
      <c r="AF230" t="s">
        <v>34</v>
      </c>
    </row>
    <row r="231" spans="1:32">
      <c r="A231" t="s">
        <v>796</v>
      </c>
      <c r="B231" s="2" t="str">
        <f t="shared" si="33"/>
        <v>Unique</v>
      </c>
      <c r="C231" s="2" t="str">
        <f t="shared" si="37"/>
        <v>Jun</v>
      </c>
      <c r="D231" s="2">
        <f t="shared" si="38"/>
        <v>2025</v>
      </c>
      <c r="E231" s="4">
        <v>45836</v>
      </c>
      <c r="F231" s="4">
        <v>45842</v>
      </c>
      <c r="G231" s="6">
        <f t="shared" si="34"/>
        <v>6</v>
      </c>
      <c r="H231" s="6" t="str">
        <f t="shared" si="35"/>
        <v>Valid</v>
      </c>
      <c r="I231" t="s">
        <v>797</v>
      </c>
      <c r="J231" t="s">
        <v>142</v>
      </c>
      <c r="K231" t="s">
        <v>25</v>
      </c>
      <c r="L231" t="s">
        <v>55</v>
      </c>
      <c r="M231" t="s">
        <v>56</v>
      </c>
      <c r="O231" t="s">
        <v>42</v>
      </c>
      <c r="P231" t="s">
        <v>159</v>
      </c>
      <c r="Q231" t="s">
        <v>798</v>
      </c>
      <c r="R231" t="s">
        <v>51</v>
      </c>
      <c r="S231">
        <v>3</v>
      </c>
      <c r="T231">
        <v>2886.23</v>
      </c>
      <c r="U231" s="2">
        <f t="shared" si="39"/>
        <v>8658.69</v>
      </c>
      <c r="V231" s="13">
        <v>0</v>
      </c>
      <c r="W231" s="2">
        <f t="shared" si="40"/>
        <v>0</v>
      </c>
      <c r="X231" s="2" t="str">
        <f t="shared" si="41"/>
        <v>Valid</v>
      </c>
      <c r="Y231" s="2" t="str">
        <f t="shared" si="42"/>
        <v>Clean</v>
      </c>
      <c r="Z231">
        <v>8658.69</v>
      </c>
      <c r="AA231">
        <v>5535.94</v>
      </c>
      <c r="AB231" s="2">
        <f t="shared" si="36"/>
        <v>3122.7500000000009</v>
      </c>
      <c r="AC231">
        <v>3122.75</v>
      </c>
      <c r="AD231" s="11">
        <f t="shared" si="43"/>
        <v>0.36064924370776641</v>
      </c>
      <c r="AE231" t="s">
        <v>103</v>
      </c>
      <c r="AF231" t="s">
        <v>104</v>
      </c>
    </row>
    <row r="232" spans="1:32">
      <c r="A232" t="s">
        <v>799</v>
      </c>
      <c r="B232" s="2" t="str">
        <f t="shared" si="33"/>
        <v>Unique</v>
      </c>
      <c r="C232" s="2" t="str">
        <f t="shared" si="37"/>
        <v>May</v>
      </c>
      <c r="D232" s="2">
        <f t="shared" si="38"/>
        <v>2024</v>
      </c>
      <c r="E232" s="4">
        <v>45440</v>
      </c>
      <c r="F232" s="4">
        <v>45446</v>
      </c>
      <c r="G232" s="6">
        <f t="shared" si="34"/>
        <v>6</v>
      </c>
      <c r="H232" s="6" t="str">
        <f t="shared" si="35"/>
        <v>Valid</v>
      </c>
      <c r="I232" t="s">
        <v>800</v>
      </c>
      <c r="J232" t="s">
        <v>80</v>
      </c>
      <c r="K232" t="s">
        <v>38</v>
      </c>
      <c r="L232" t="s">
        <v>26</v>
      </c>
      <c r="M232" t="s">
        <v>27</v>
      </c>
      <c r="O232" t="s">
        <v>29</v>
      </c>
      <c r="P232" t="s">
        <v>30</v>
      </c>
      <c r="Q232" t="s">
        <v>801</v>
      </c>
      <c r="R232" t="s">
        <v>60</v>
      </c>
      <c r="S232">
        <v>8</v>
      </c>
      <c r="T232">
        <v>1540.33</v>
      </c>
      <c r="U232" s="2">
        <f t="shared" si="39"/>
        <v>11090.376</v>
      </c>
      <c r="V232" s="13">
        <v>0.1</v>
      </c>
      <c r="W232" s="2">
        <f t="shared" si="40"/>
        <v>0.1</v>
      </c>
      <c r="X232" s="2" t="str">
        <f t="shared" si="41"/>
        <v>Valid</v>
      </c>
      <c r="Y232" s="2" t="str">
        <f t="shared" si="42"/>
        <v>Clean</v>
      </c>
      <c r="Z232">
        <v>11090.38</v>
      </c>
      <c r="AA232">
        <v>8840.9500000000007</v>
      </c>
      <c r="AB232" s="2">
        <f t="shared" si="36"/>
        <v>2249.4259999999995</v>
      </c>
      <c r="AC232">
        <v>2249.4299999999998</v>
      </c>
      <c r="AD232" s="11">
        <f t="shared" si="43"/>
        <v>0.20282713486823717</v>
      </c>
      <c r="AE232" t="s">
        <v>33</v>
      </c>
      <c r="AF232" t="s">
        <v>34</v>
      </c>
    </row>
    <row r="233" spans="1:32">
      <c r="A233" t="s">
        <v>802</v>
      </c>
      <c r="B233" s="2" t="str">
        <f t="shared" si="33"/>
        <v>Unique</v>
      </c>
      <c r="C233" s="2" t="str">
        <f t="shared" si="37"/>
        <v>May</v>
      </c>
      <c r="D233" s="2">
        <f t="shared" si="38"/>
        <v>2024</v>
      </c>
      <c r="E233" s="4">
        <v>45414</v>
      </c>
      <c r="F233" s="4">
        <v>45414</v>
      </c>
      <c r="G233" s="6">
        <f t="shared" si="34"/>
        <v>0</v>
      </c>
      <c r="H233" s="6" t="str">
        <f t="shared" si="35"/>
        <v>Valid</v>
      </c>
      <c r="I233" t="s">
        <v>803</v>
      </c>
      <c r="J233" t="s">
        <v>63</v>
      </c>
      <c r="K233" t="s">
        <v>91</v>
      </c>
      <c r="L233" t="s">
        <v>26</v>
      </c>
      <c r="M233" t="s">
        <v>27</v>
      </c>
      <c r="O233" t="s">
        <v>29</v>
      </c>
      <c r="P233" t="s">
        <v>92</v>
      </c>
      <c r="Q233" t="s">
        <v>804</v>
      </c>
      <c r="R233" t="s">
        <v>51</v>
      </c>
      <c r="S233">
        <v>7</v>
      </c>
      <c r="T233">
        <v>2183.38</v>
      </c>
      <c r="U233" s="2">
        <f t="shared" si="39"/>
        <v>11462.744999999999</v>
      </c>
      <c r="V233" s="13">
        <v>0.25</v>
      </c>
      <c r="W233" s="2">
        <f t="shared" si="40"/>
        <v>0.25</v>
      </c>
      <c r="X233" s="2" t="str">
        <f t="shared" si="41"/>
        <v>Valid</v>
      </c>
      <c r="Y233" s="2" t="str">
        <f t="shared" si="42"/>
        <v>Clean</v>
      </c>
      <c r="Z233">
        <v>11462.74</v>
      </c>
      <c r="AA233">
        <v>7163.54</v>
      </c>
      <c r="AB233" s="2">
        <f t="shared" si="36"/>
        <v>4299.204999999999</v>
      </c>
      <c r="AC233">
        <v>4299.2</v>
      </c>
      <c r="AD233" s="11">
        <f t="shared" si="43"/>
        <v>0.37505866834631163</v>
      </c>
      <c r="AE233" t="s">
        <v>103</v>
      </c>
      <c r="AF233" t="s">
        <v>69</v>
      </c>
    </row>
    <row r="234" spans="1:32">
      <c r="A234" t="s">
        <v>805</v>
      </c>
      <c r="B234" s="2" t="str">
        <f t="shared" si="33"/>
        <v>Unique</v>
      </c>
      <c r="C234" s="2" t="str">
        <f t="shared" si="37"/>
        <v>Jun</v>
      </c>
      <c r="D234" s="2">
        <f t="shared" si="38"/>
        <v>2025</v>
      </c>
      <c r="E234" s="4">
        <v>45812</v>
      </c>
      <c r="F234" s="4">
        <v>45818</v>
      </c>
      <c r="G234" s="6">
        <f t="shared" si="34"/>
        <v>6</v>
      </c>
      <c r="H234" s="6" t="str">
        <f t="shared" si="35"/>
        <v>Valid</v>
      </c>
      <c r="I234" t="s">
        <v>806</v>
      </c>
      <c r="J234" t="s">
        <v>119</v>
      </c>
      <c r="K234" t="s">
        <v>25</v>
      </c>
      <c r="L234" t="s">
        <v>55</v>
      </c>
      <c r="M234" t="s">
        <v>85</v>
      </c>
      <c r="O234" t="s">
        <v>75</v>
      </c>
      <c r="P234" t="s">
        <v>172</v>
      </c>
      <c r="Q234" t="s">
        <v>807</v>
      </c>
      <c r="R234" t="s">
        <v>60</v>
      </c>
      <c r="S234">
        <v>4</v>
      </c>
      <c r="T234">
        <v>223.37</v>
      </c>
      <c r="U234" s="2">
        <f t="shared" si="39"/>
        <v>670.11</v>
      </c>
      <c r="V234" s="13">
        <v>0.25</v>
      </c>
      <c r="W234" s="2">
        <f t="shared" si="40"/>
        <v>0.25</v>
      </c>
      <c r="X234" s="2" t="str">
        <f t="shared" si="41"/>
        <v>Valid</v>
      </c>
      <c r="Y234" s="2" t="str">
        <f t="shared" si="42"/>
        <v>Clean</v>
      </c>
      <c r="Z234">
        <v>670.11</v>
      </c>
      <c r="AA234">
        <v>559.57000000000005</v>
      </c>
      <c r="AB234" s="2">
        <f t="shared" si="36"/>
        <v>110.53999999999996</v>
      </c>
      <c r="AC234">
        <v>110.54</v>
      </c>
      <c r="AD234" s="11">
        <f t="shared" si="43"/>
        <v>0.16495799197146738</v>
      </c>
      <c r="AE234" t="s">
        <v>33</v>
      </c>
      <c r="AF234" t="s">
        <v>34</v>
      </c>
    </row>
    <row r="235" spans="1:32">
      <c r="A235" t="s">
        <v>808</v>
      </c>
      <c r="B235" s="2" t="str">
        <f t="shared" si="33"/>
        <v>Unique</v>
      </c>
      <c r="C235" s="2" t="str">
        <f t="shared" si="37"/>
        <v>Oct</v>
      </c>
      <c r="D235" s="2">
        <f t="shared" si="38"/>
        <v>2024</v>
      </c>
      <c r="E235" s="4">
        <v>45579</v>
      </c>
      <c r="F235" s="4">
        <v>45579</v>
      </c>
      <c r="G235" s="6">
        <f t="shared" si="34"/>
        <v>0</v>
      </c>
      <c r="H235" s="6" t="str">
        <f t="shared" si="35"/>
        <v>Valid</v>
      </c>
      <c r="I235" t="s">
        <v>809</v>
      </c>
      <c r="J235" t="s">
        <v>72</v>
      </c>
      <c r="K235" t="s">
        <v>91</v>
      </c>
      <c r="L235" t="s">
        <v>55</v>
      </c>
      <c r="M235" t="s">
        <v>176</v>
      </c>
      <c r="O235" t="s">
        <v>42</v>
      </c>
      <c r="P235" t="s">
        <v>159</v>
      </c>
      <c r="Q235" t="s">
        <v>810</v>
      </c>
      <c r="R235" s="2" t="s">
        <v>2793</v>
      </c>
      <c r="S235">
        <v>8</v>
      </c>
      <c r="T235">
        <v>3904.59</v>
      </c>
      <c r="U235" s="2">
        <f t="shared" si="39"/>
        <v>31236.720000000001</v>
      </c>
      <c r="V235" s="13">
        <v>0</v>
      </c>
      <c r="W235" s="2">
        <f t="shared" si="40"/>
        <v>0</v>
      </c>
      <c r="X235" s="2" t="str">
        <f t="shared" si="41"/>
        <v>Valid</v>
      </c>
      <c r="Y235" s="2" t="str">
        <f t="shared" si="42"/>
        <v>Clean</v>
      </c>
      <c r="Z235">
        <v>31236.720000000001</v>
      </c>
      <c r="AA235">
        <v>26377.7</v>
      </c>
      <c r="AB235" s="2">
        <f t="shared" si="36"/>
        <v>4859.0200000000004</v>
      </c>
      <c r="AC235">
        <v>4859.0200000000004</v>
      </c>
      <c r="AD235" s="11">
        <f t="shared" si="43"/>
        <v>0.15555474454424154</v>
      </c>
      <c r="AE235" t="s">
        <v>33</v>
      </c>
      <c r="AF235" t="s">
        <v>34</v>
      </c>
    </row>
    <row r="236" spans="1:32">
      <c r="A236" t="s">
        <v>811</v>
      </c>
      <c r="B236" s="2" t="str">
        <f t="shared" si="33"/>
        <v>Unique</v>
      </c>
      <c r="C236" s="2" t="str">
        <f t="shared" si="37"/>
        <v>Sep</v>
      </c>
      <c r="D236" s="2">
        <f t="shared" si="38"/>
        <v>2024</v>
      </c>
      <c r="E236" s="4">
        <v>45537</v>
      </c>
      <c r="F236" s="4">
        <v>45538</v>
      </c>
      <c r="G236" s="6">
        <f t="shared" si="34"/>
        <v>1</v>
      </c>
      <c r="H236" s="6" t="str">
        <f t="shared" si="35"/>
        <v>Valid</v>
      </c>
      <c r="I236" t="s">
        <v>812</v>
      </c>
      <c r="J236" t="s">
        <v>265</v>
      </c>
      <c r="K236" t="s">
        <v>96</v>
      </c>
      <c r="L236" t="s">
        <v>26</v>
      </c>
      <c r="M236" t="s">
        <v>351</v>
      </c>
      <c r="O236" t="s">
        <v>42</v>
      </c>
      <c r="P236" t="s">
        <v>58</v>
      </c>
      <c r="Q236" t="s">
        <v>813</v>
      </c>
      <c r="R236" t="s">
        <v>51</v>
      </c>
      <c r="S236">
        <v>9</v>
      </c>
      <c r="T236">
        <v>1353.61</v>
      </c>
      <c r="U236" s="2">
        <f t="shared" si="39"/>
        <v>10964.241</v>
      </c>
      <c r="V236" s="13">
        <v>0.1</v>
      </c>
      <c r="W236" s="2">
        <f t="shared" si="40"/>
        <v>0.1</v>
      </c>
      <c r="X236" s="2" t="str">
        <f t="shared" si="41"/>
        <v>Valid</v>
      </c>
      <c r="Y236" s="2" t="str">
        <f t="shared" si="42"/>
        <v>Clean</v>
      </c>
      <c r="Z236">
        <v>10964.24</v>
      </c>
      <c r="AA236">
        <v>9262.4699999999993</v>
      </c>
      <c r="AB236" s="2">
        <f t="shared" si="36"/>
        <v>1701.7710000000006</v>
      </c>
      <c r="AC236">
        <v>1701.77</v>
      </c>
      <c r="AD236" s="11">
        <f t="shared" si="43"/>
        <v>0.15521094029317126</v>
      </c>
      <c r="AE236" t="s">
        <v>33</v>
      </c>
      <c r="AF236" t="s">
        <v>34</v>
      </c>
    </row>
    <row r="237" spans="1:32">
      <c r="A237" t="s">
        <v>814</v>
      </c>
      <c r="B237" s="2" t="str">
        <f t="shared" si="33"/>
        <v>Unique</v>
      </c>
      <c r="C237" s="2" t="str">
        <f t="shared" si="37"/>
        <v>Nov</v>
      </c>
      <c r="D237" s="2">
        <f t="shared" si="38"/>
        <v>2024</v>
      </c>
      <c r="E237" s="4">
        <v>45598</v>
      </c>
      <c r="F237" s="4">
        <v>45599</v>
      </c>
      <c r="G237" s="6">
        <f t="shared" si="34"/>
        <v>1</v>
      </c>
      <c r="H237" s="6" t="str">
        <f t="shared" si="35"/>
        <v>Valid</v>
      </c>
      <c r="I237" t="s">
        <v>815</v>
      </c>
      <c r="J237" t="s">
        <v>119</v>
      </c>
      <c r="K237" t="s">
        <v>38</v>
      </c>
      <c r="L237" t="s">
        <v>64</v>
      </c>
      <c r="M237" t="s">
        <v>27</v>
      </c>
      <c r="O237" t="s">
        <v>29</v>
      </c>
      <c r="P237" t="s">
        <v>125</v>
      </c>
      <c r="Q237" t="s">
        <v>816</v>
      </c>
      <c r="R237" t="s">
        <v>60</v>
      </c>
      <c r="S237">
        <v>6</v>
      </c>
      <c r="T237">
        <v>2671.29</v>
      </c>
      <c r="U237" s="2">
        <f t="shared" si="39"/>
        <v>15226.352999999999</v>
      </c>
      <c r="V237" s="13">
        <v>0.05</v>
      </c>
      <c r="W237" s="2">
        <f t="shared" si="40"/>
        <v>0.05</v>
      </c>
      <c r="X237" s="2" t="str">
        <f t="shared" si="41"/>
        <v>Valid</v>
      </c>
      <c r="Y237" s="2" t="str">
        <f t="shared" si="42"/>
        <v>Clean</v>
      </c>
      <c r="Z237">
        <v>15226.35</v>
      </c>
      <c r="AA237">
        <v>11145.28</v>
      </c>
      <c r="AB237" s="2">
        <f t="shared" si="36"/>
        <v>4081.0729999999985</v>
      </c>
      <c r="AC237">
        <v>4081.07</v>
      </c>
      <c r="AD237" s="11">
        <f t="shared" si="43"/>
        <v>0.26802680878871166</v>
      </c>
      <c r="AE237" t="s">
        <v>33</v>
      </c>
      <c r="AF237" t="s">
        <v>34</v>
      </c>
    </row>
    <row r="238" spans="1:32">
      <c r="A238" t="s">
        <v>817</v>
      </c>
      <c r="B238" s="2" t="str">
        <f t="shared" si="33"/>
        <v>Unique</v>
      </c>
      <c r="C238" s="2" t="str">
        <f t="shared" si="37"/>
        <v>Oct</v>
      </c>
      <c r="D238" s="2">
        <f t="shared" si="38"/>
        <v>2024</v>
      </c>
      <c r="E238" s="4">
        <v>45579</v>
      </c>
      <c r="F238" s="4">
        <v>45586</v>
      </c>
      <c r="G238" s="6">
        <f t="shared" si="34"/>
        <v>7</v>
      </c>
      <c r="H238" s="6" t="str">
        <f t="shared" si="35"/>
        <v>Valid</v>
      </c>
      <c r="I238" t="s">
        <v>818</v>
      </c>
      <c r="J238" t="s">
        <v>115</v>
      </c>
      <c r="K238" t="s">
        <v>91</v>
      </c>
      <c r="L238" t="s">
        <v>26</v>
      </c>
      <c r="M238" t="s">
        <v>137</v>
      </c>
      <c r="O238" t="s">
        <v>42</v>
      </c>
      <c r="P238" t="s">
        <v>159</v>
      </c>
      <c r="Q238" t="s">
        <v>819</v>
      </c>
      <c r="R238" t="s">
        <v>51</v>
      </c>
      <c r="S238">
        <v>6</v>
      </c>
      <c r="T238">
        <v>4062.78</v>
      </c>
      <c r="U238" s="2">
        <f t="shared" si="39"/>
        <v>24376.68</v>
      </c>
      <c r="V238" s="13">
        <v>0</v>
      </c>
      <c r="W238" s="2">
        <f t="shared" si="40"/>
        <v>0</v>
      </c>
      <c r="X238" s="2" t="str">
        <f t="shared" si="41"/>
        <v>Valid</v>
      </c>
      <c r="Y238" s="2" t="str">
        <f t="shared" si="42"/>
        <v>Clean</v>
      </c>
      <c r="Z238">
        <v>24376.68</v>
      </c>
      <c r="AA238">
        <v>18533.39</v>
      </c>
      <c r="AB238" s="2">
        <f t="shared" si="36"/>
        <v>5843.2900000000009</v>
      </c>
      <c r="AC238">
        <v>5843.29</v>
      </c>
      <c r="AD238" s="11">
        <f t="shared" si="43"/>
        <v>0.23970819652224995</v>
      </c>
      <c r="AE238" t="s">
        <v>33</v>
      </c>
      <c r="AF238" t="s">
        <v>34</v>
      </c>
    </row>
    <row r="239" spans="1:32">
      <c r="A239" t="s">
        <v>820</v>
      </c>
      <c r="B239" s="2" t="str">
        <f t="shared" si="33"/>
        <v>Unique</v>
      </c>
      <c r="C239" s="2" t="str">
        <f t="shared" si="37"/>
        <v>Aug</v>
      </c>
      <c r="D239" s="2">
        <f t="shared" si="38"/>
        <v>2024</v>
      </c>
      <c r="E239" s="4">
        <v>45531</v>
      </c>
      <c r="F239" s="4">
        <v>45531</v>
      </c>
      <c r="G239" s="6">
        <f t="shared" si="34"/>
        <v>0</v>
      </c>
      <c r="H239" s="6" t="str">
        <f t="shared" si="35"/>
        <v>Valid</v>
      </c>
      <c r="I239" t="s">
        <v>821</v>
      </c>
      <c r="J239" t="s">
        <v>37</v>
      </c>
      <c r="K239" t="s">
        <v>25</v>
      </c>
      <c r="L239" t="s">
        <v>26</v>
      </c>
      <c r="M239" t="s">
        <v>237</v>
      </c>
      <c r="O239" t="s">
        <v>75</v>
      </c>
      <c r="P239" t="s">
        <v>81</v>
      </c>
      <c r="Q239" t="s">
        <v>822</v>
      </c>
      <c r="R239" t="s">
        <v>60</v>
      </c>
      <c r="S239">
        <v>9</v>
      </c>
      <c r="T239">
        <v>2330.3000000000002</v>
      </c>
      <c r="U239" s="2">
        <f t="shared" si="39"/>
        <v>20972.7</v>
      </c>
      <c r="V239" s="13">
        <v>0</v>
      </c>
      <c r="W239" s="2">
        <f t="shared" si="40"/>
        <v>0</v>
      </c>
      <c r="X239" s="2" t="str">
        <f t="shared" si="41"/>
        <v>Valid</v>
      </c>
      <c r="Y239" s="2" t="str">
        <f t="shared" si="42"/>
        <v>Clean</v>
      </c>
      <c r="Z239">
        <v>20972.7</v>
      </c>
      <c r="AA239">
        <v>13504.88</v>
      </c>
      <c r="AB239" s="2">
        <f t="shared" si="36"/>
        <v>7467.8200000000015</v>
      </c>
      <c r="AC239">
        <v>7467.82</v>
      </c>
      <c r="AD239" s="11">
        <f t="shared" si="43"/>
        <v>0.35607337157352176</v>
      </c>
      <c r="AE239" t="s">
        <v>33</v>
      </c>
      <c r="AF239" t="s">
        <v>34</v>
      </c>
    </row>
    <row r="240" spans="1:32">
      <c r="A240" t="s">
        <v>823</v>
      </c>
      <c r="B240" s="2" t="str">
        <f t="shared" si="33"/>
        <v>Unique</v>
      </c>
      <c r="C240" s="2" t="str">
        <f t="shared" si="37"/>
        <v>Jan</v>
      </c>
      <c r="D240" s="2">
        <f t="shared" si="38"/>
        <v>2024</v>
      </c>
      <c r="E240" s="4">
        <v>45303</v>
      </c>
      <c r="F240" s="4">
        <v>45308</v>
      </c>
      <c r="G240" s="6">
        <f t="shared" si="34"/>
        <v>5</v>
      </c>
      <c r="H240" s="6" t="str">
        <f t="shared" si="35"/>
        <v>Valid</v>
      </c>
      <c r="I240" t="s">
        <v>824</v>
      </c>
      <c r="J240" t="s">
        <v>54</v>
      </c>
      <c r="K240" t="s">
        <v>25</v>
      </c>
      <c r="L240" t="s">
        <v>55</v>
      </c>
      <c r="M240" t="s">
        <v>85</v>
      </c>
      <c r="O240" t="s">
        <v>29</v>
      </c>
      <c r="P240" t="s">
        <v>125</v>
      </c>
      <c r="Q240" t="s">
        <v>825</v>
      </c>
      <c r="R240" t="s">
        <v>51</v>
      </c>
      <c r="S240">
        <v>7</v>
      </c>
      <c r="T240">
        <v>4005.05</v>
      </c>
      <c r="U240" s="2">
        <f t="shared" si="39"/>
        <v>12615.907499999999</v>
      </c>
      <c r="V240" s="13">
        <v>0.55000000000000004</v>
      </c>
      <c r="W240" s="2">
        <f t="shared" si="40"/>
        <v>0.55000000000000004</v>
      </c>
      <c r="X240" s="2" t="str">
        <f t="shared" si="41"/>
        <v>Valid</v>
      </c>
      <c r="Y240" s="2" t="str">
        <f t="shared" si="42"/>
        <v>Clean</v>
      </c>
      <c r="Z240">
        <v>26633.58</v>
      </c>
      <c r="AA240">
        <v>18838.75</v>
      </c>
      <c r="AB240" s="2">
        <f t="shared" si="36"/>
        <v>-6222.8425000000007</v>
      </c>
      <c r="AC240">
        <v>7794.83</v>
      </c>
      <c r="AD240" s="11">
        <f t="shared" si="43"/>
        <v>0.29266925437736868</v>
      </c>
      <c r="AE240" t="s">
        <v>33</v>
      </c>
      <c r="AF240" t="s">
        <v>34</v>
      </c>
    </row>
    <row r="241" spans="1:32">
      <c r="A241" t="s">
        <v>826</v>
      </c>
      <c r="B241" s="2" t="str">
        <f t="shared" si="33"/>
        <v>Unique</v>
      </c>
      <c r="C241" s="2" t="str">
        <f t="shared" si="37"/>
        <v>Sep</v>
      </c>
      <c r="D241" s="2">
        <f t="shared" si="38"/>
        <v>2024</v>
      </c>
      <c r="E241" s="4">
        <v>45556</v>
      </c>
      <c r="F241" s="4">
        <v>45556</v>
      </c>
      <c r="G241" s="6">
        <f t="shared" si="34"/>
        <v>0</v>
      </c>
      <c r="H241" s="6" t="str">
        <f t="shared" si="35"/>
        <v>Valid</v>
      </c>
      <c r="I241" t="s">
        <v>827</v>
      </c>
      <c r="J241" t="s">
        <v>265</v>
      </c>
      <c r="K241" t="s">
        <v>91</v>
      </c>
      <c r="L241" t="s">
        <v>55</v>
      </c>
      <c r="M241" t="s">
        <v>176</v>
      </c>
      <c r="O241" t="s">
        <v>75</v>
      </c>
      <c r="P241" t="s">
        <v>275</v>
      </c>
      <c r="Q241" t="s">
        <v>828</v>
      </c>
      <c r="R241" t="s">
        <v>51</v>
      </c>
      <c r="S241">
        <v>2</v>
      </c>
      <c r="T241">
        <v>1960.06</v>
      </c>
      <c r="U241" s="2">
        <f t="shared" si="39"/>
        <v>3136.096</v>
      </c>
      <c r="V241" s="13">
        <v>0.2</v>
      </c>
      <c r="W241" s="2">
        <f t="shared" si="40"/>
        <v>0.2</v>
      </c>
      <c r="X241" s="2" t="str">
        <f t="shared" si="41"/>
        <v>Valid</v>
      </c>
      <c r="Y241" s="2" t="str">
        <f t="shared" si="42"/>
        <v>Clean</v>
      </c>
      <c r="Z241">
        <v>3136.1</v>
      </c>
      <c r="AA241">
        <v>2279.4899999999998</v>
      </c>
      <c r="AB241" s="2">
        <f t="shared" si="36"/>
        <v>856.60600000000022</v>
      </c>
      <c r="AC241">
        <v>856.61</v>
      </c>
      <c r="AD241" s="11">
        <f t="shared" si="43"/>
        <v>0.2731449889990753</v>
      </c>
      <c r="AE241" t="s">
        <v>33</v>
      </c>
      <c r="AF241" t="s">
        <v>34</v>
      </c>
    </row>
    <row r="242" spans="1:32">
      <c r="A242" t="s">
        <v>829</v>
      </c>
      <c r="B242" s="2" t="str">
        <f t="shared" si="33"/>
        <v>Unique</v>
      </c>
      <c r="C242" s="2" t="str">
        <f t="shared" si="37"/>
        <v>Dec</v>
      </c>
      <c r="D242" s="2">
        <f t="shared" si="38"/>
        <v>2024</v>
      </c>
      <c r="E242" s="4">
        <v>45643</v>
      </c>
      <c r="F242" s="4">
        <v>45649</v>
      </c>
      <c r="G242" s="6">
        <f t="shared" si="34"/>
        <v>6</v>
      </c>
      <c r="H242" s="6" t="str">
        <f t="shared" si="35"/>
        <v>Valid</v>
      </c>
      <c r="I242" t="s">
        <v>830</v>
      </c>
      <c r="J242" t="s">
        <v>129</v>
      </c>
      <c r="K242" t="s">
        <v>91</v>
      </c>
      <c r="L242" t="s">
        <v>55</v>
      </c>
      <c r="M242" t="s">
        <v>56</v>
      </c>
      <c r="O242" t="s">
        <v>29</v>
      </c>
      <c r="P242" t="s">
        <v>154</v>
      </c>
      <c r="Q242" t="s">
        <v>831</v>
      </c>
      <c r="R242" t="s">
        <v>51</v>
      </c>
      <c r="S242">
        <v>9</v>
      </c>
      <c r="T242">
        <v>2315.1</v>
      </c>
      <c r="U242" s="2">
        <f t="shared" si="39"/>
        <v>20835.899999999998</v>
      </c>
      <c r="V242" s="13">
        <v>0</v>
      </c>
      <c r="W242" s="2">
        <f t="shared" si="40"/>
        <v>0</v>
      </c>
      <c r="X242" s="2" t="str">
        <f t="shared" si="41"/>
        <v>Valid</v>
      </c>
      <c r="Y242" s="2" t="str">
        <f t="shared" si="42"/>
        <v>Clean</v>
      </c>
      <c r="Z242">
        <v>20835.900000000001</v>
      </c>
      <c r="AA242">
        <v>13928.19</v>
      </c>
      <c r="AB242" s="2">
        <f t="shared" si="36"/>
        <v>6907.7099999999973</v>
      </c>
      <c r="AC242">
        <v>6907.71</v>
      </c>
      <c r="AD242" s="11">
        <f t="shared" si="43"/>
        <v>0.33152923559817427</v>
      </c>
      <c r="AE242" t="s">
        <v>33</v>
      </c>
      <c r="AF242" t="s">
        <v>34</v>
      </c>
    </row>
    <row r="243" spans="1:32">
      <c r="A243" t="s">
        <v>832</v>
      </c>
      <c r="B243" s="2" t="str">
        <f t="shared" si="33"/>
        <v>Unique</v>
      </c>
      <c r="C243" s="2" t="str">
        <f t="shared" si="37"/>
        <v>Jul</v>
      </c>
      <c r="D243" s="2">
        <f t="shared" si="38"/>
        <v>2025</v>
      </c>
      <c r="E243" s="4">
        <v>45844</v>
      </c>
      <c r="F243" s="4">
        <v>45844</v>
      </c>
      <c r="G243" s="6">
        <f t="shared" si="34"/>
        <v>0</v>
      </c>
      <c r="H243" s="6" t="str">
        <f t="shared" si="35"/>
        <v>Valid</v>
      </c>
      <c r="I243" t="s">
        <v>833</v>
      </c>
      <c r="J243" t="s">
        <v>133</v>
      </c>
      <c r="K243" t="s">
        <v>91</v>
      </c>
      <c r="L243" t="s">
        <v>26</v>
      </c>
      <c r="M243" t="s">
        <v>237</v>
      </c>
      <c r="O243" t="s">
        <v>29</v>
      </c>
      <c r="P243" t="s">
        <v>125</v>
      </c>
      <c r="Q243" t="s">
        <v>834</v>
      </c>
      <c r="R243" t="s">
        <v>60</v>
      </c>
      <c r="S243">
        <v>1</v>
      </c>
      <c r="T243">
        <v>1617.2</v>
      </c>
      <c r="U243" s="2">
        <f t="shared" si="39"/>
        <v>1212.9000000000001</v>
      </c>
      <c r="V243" s="13">
        <v>0.25</v>
      </c>
      <c r="W243" s="2">
        <f t="shared" si="40"/>
        <v>0.25</v>
      </c>
      <c r="X243" s="2" t="str">
        <f t="shared" si="41"/>
        <v>Valid</v>
      </c>
      <c r="Y243" s="2" t="str">
        <f t="shared" si="42"/>
        <v>Clean</v>
      </c>
      <c r="Z243">
        <v>1212.9000000000001</v>
      </c>
      <c r="AA243">
        <v>690.52</v>
      </c>
      <c r="AB243" s="2">
        <f t="shared" si="36"/>
        <v>522.38000000000011</v>
      </c>
      <c r="AC243">
        <v>522.38</v>
      </c>
      <c r="AD243" s="11">
        <f t="shared" si="43"/>
        <v>0.43068678374144609</v>
      </c>
      <c r="AE243" t="s">
        <v>112</v>
      </c>
      <c r="AF243" t="s">
        <v>104</v>
      </c>
    </row>
    <row r="244" spans="1:32">
      <c r="A244" t="s">
        <v>835</v>
      </c>
      <c r="B244" s="2" t="str">
        <f t="shared" si="33"/>
        <v>Unique</v>
      </c>
      <c r="C244" s="2" t="str">
        <f t="shared" si="37"/>
        <v>Feb</v>
      </c>
      <c r="D244" s="2">
        <f t="shared" si="38"/>
        <v>2025</v>
      </c>
      <c r="E244" s="4">
        <v>45695</v>
      </c>
      <c r="F244" s="4">
        <v>45695</v>
      </c>
      <c r="G244" s="6">
        <f t="shared" si="34"/>
        <v>0</v>
      </c>
      <c r="H244" s="6" t="str">
        <f t="shared" si="35"/>
        <v>Valid</v>
      </c>
      <c r="I244" t="s">
        <v>836</v>
      </c>
      <c r="J244" t="s">
        <v>54</v>
      </c>
      <c r="K244" t="s">
        <v>25</v>
      </c>
      <c r="L244" t="s">
        <v>26</v>
      </c>
      <c r="M244" t="s">
        <v>137</v>
      </c>
      <c r="O244" t="s">
        <v>29</v>
      </c>
      <c r="P244" t="s">
        <v>49</v>
      </c>
      <c r="Q244" t="s">
        <v>837</v>
      </c>
      <c r="R244" t="s">
        <v>32</v>
      </c>
      <c r="S244">
        <v>3</v>
      </c>
      <c r="T244">
        <v>1999.24</v>
      </c>
      <c r="U244" s="2">
        <f t="shared" si="39"/>
        <v>5697.8339999999998</v>
      </c>
      <c r="V244" s="13">
        <v>0.05</v>
      </c>
      <c r="W244" s="2">
        <f t="shared" si="40"/>
        <v>0.05</v>
      </c>
      <c r="X244" s="2" t="str">
        <f t="shared" si="41"/>
        <v>Valid</v>
      </c>
      <c r="Y244" s="2" t="str">
        <f t="shared" si="42"/>
        <v>Clean</v>
      </c>
      <c r="Z244">
        <v>5697.83</v>
      </c>
      <c r="AA244">
        <v>4251.5</v>
      </c>
      <c r="AB244" s="2">
        <f t="shared" si="36"/>
        <v>1446.3339999999998</v>
      </c>
      <c r="AC244">
        <v>1446.33</v>
      </c>
      <c r="AD244" s="11">
        <f t="shared" si="43"/>
        <v>0.2538387421176132</v>
      </c>
      <c r="AE244" t="s">
        <v>33</v>
      </c>
      <c r="AF244" t="s">
        <v>34</v>
      </c>
    </row>
    <row r="245" spans="1:32">
      <c r="A245" t="s">
        <v>838</v>
      </c>
      <c r="B245" s="2" t="str">
        <f t="shared" si="33"/>
        <v>Unique</v>
      </c>
      <c r="C245" s="2" t="str">
        <f t="shared" si="37"/>
        <v>Jul</v>
      </c>
      <c r="D245" s="2">
        <f t="shared" si="38"/>
        <v>2025</v>
      </c>
      <c r="E245" s="4">
        <v>45867</v>
      </c>
      <c r="F245" s="4">
        <v>45871</v>
      </c>
      <c r="G245" s="6">
        <f t="shared" si="34"/>
        <v>4</v>
      </c>
      <c r="H245" s="6" t="str">
        <f t="shared" si="35"/>
        <v>Valid</v>
      </c>
      <c r="I245" t="s">
        <v>839</v>
      </c>
      <c r="J245" t="s">
        <v>133</v>
      </c>
      <c r="K245" t="s">
        <v>38</v>
      </c>
      <c r="L245" s="2" t="s">
        <v>2793</v>
      </c>
      <c r="M245" t="s">
        <v>73</v>
      </c>
      <c r="O245" t="s">
        <v>75</v>
      </c>
      <c r="P245" t="s">
        <v>76</v>
      </c>
      <c r="Q245" t="s">
        <v>840</v>
      </c>
      <c r="R245" t="s">
        <v>51</v>
      </c>
      <c r="S245">
        <v>1</v>
      </c>
      <c r="T245">
        <v>4499.46</v>
      </c>
      <c r="U245" s="2">
        <f t="shared" si="39"/>
        <v>4049.5140000000001</v>
      </c>
      <c r="V245" s="13">
        <v>0.1</v>
      </c>
      <c r="W245" s="2">
        <f t="shared" si="40"/>
        <v>0.1</v>
      </c>
      <c r="X245" s="2" t="str">
        <f t="shared" si="41"/>
        <v>Valid</v>
      </c>
      <c r="Y245" s="2" t="str">
        <f t="shared" si="42"/>
        <v>Clean</v>
      </c>
      <c r="Z245">
        <v>4049.51</v>
      </c>
      <c r="AA245">
        <v>2509.1999999999998</v>
      </c>
      <c r="AB245" s="2">
        <f t="shared" si="36"/>
        <v>1540.3140000000003</v>
      </c>
      <c r="AC245">
        <v>1540.31</v>
      </c>
      <c r="AD245" s="11">
        <f t="shared" si="43"/>
        <v>0.38036947680089689</v>
      </c>
      <c r="AE245" t="s">
        <v>33</v>
      </c>
      <c r="AF245" t="s">
        <v>34</v>
      </c>
    </row>
    <row r="246" spans="1:32">
      <c r="A246" t="s">
        <v>841</v>
      </c>
      <c r="B246" s="2" t="str">
        <f t="shared" si="33"/>
        <v>Unique</v>
      </c>
      <c r="C246" s="2" t="str">
        <f t="shared" si="37"/>
        <v>Aug</v>
      </c>
      <c r="D246" s="2">
        <f t="shared" si="38"/>
        <v>2024</v>
      </c>
      <c r="E246" s="4">
        <v>45527</v>
      </c>
      <c r="F246" s="4">
        <v>45528</v>
      </c>
      <c r="G246" s="6">
        <f t="shared" si="34"/>
        <v>1</v>
      </c>
      <c r="H246" s="6" t="str">
        <f t="shared" si="35"/>
        <v>Valid</v>
      </c>
      <c r="I246" t="s">
        <v>842</v>
      </c>
      <c r="J246" t="s">
        <v>80</v>
      </c>
      <c r="K246" t="s">
        <v>25</v>
      </c>
      <c r="L246" t="s">
        <v>55</v>
      </c>
      <c r="M246" t="s">
        <v>56</v>
      </c>
      <c r="O246" t="s">
        <v>42</v>
      </c>
      <c r="P246" t="s">
        <v>159</v>
      </c>
      <c r="Q246" t="s">
        <v>843</v>
      </c>
      <c r="R246" t="s">
        <v>45</v>
      </c>
      <c r="S246">
        <v>6</v>
      </c>
      <c r="T246">
        <v>1021.89</v>
      </c>
      <c r="U246" s="2">
        <f t="shared" si="39"/>
        <v>6131.34</v>
      </c>
      <c r="V246" s="13">
        <v>0</v>
      </c>
      <c r="W246" s="2">
        <f t="shared" si="40"/>
        <v>0</v>
      </c>
      <c r="X246" s="2" t="str">
        <f t="shared" si="41"/>
        <v>Valid</v>
      </c>
      <c r="Y246" s="2" t="str">
        <f t="shared" si="42"/>
        <v>Clean</v>
      </c>
      <c r="Z246">
        <v>6131.34</v>
      </c>
      <c r="AA246">
        <v>4060.88</v>
      </c>
      <c r="AB246" s="2">
        <f t="shared" si="36"/>
        <v>2070.46</v>
      </c>
      <c r="AC246">
        <v>2070.46</v>
      </c>
      <c r="AD246" s="11">
        <f t="shared" si="43"/>
        <v>0.33768474754295147</v>
      </c>
      <c r="AE246" t="s">
        <v>33</v>
      </c>
      <c r="AF246" t="s">
        <v>34</v>
      </c>
    </row>
    <row r="247" spans="1:32">
      <c r="A247" t="s">
        <v>844</v>
      </c>
      <c r="B247" s="2" t="str">
        <f t="shared" si="33"/>
        <v>Unique</v>
      </c>
      <c r="C247" s="2" t="str">
        <f t="shared" si="37"/>
        <v>Oct</v>
      </c>
      <c r="D247" s="2">
        <f t="shared" si="38"/>
        <v>2024</v>
      </c>
      <c r="E247" s="4">
        <v>45583</v>
      </c>
      <c r="F247" s="4">
        <v>45589</v>
      </c>
      <c r="G247" s="6">
        <f t="shared" si="34"/>
        <v>6</v>
      </c>
      <c r="H247" s="6" t="str">
        <f t="shared" si="35"/>
        <v>Valid</v>
      </c>
      <c r="I247" t="s">
        <v>845</v>
      </c>
      <c r="J247" t="s">
        <v>80</v>
      </c>
      <c r="K247" t="s">
        <v>96</v>
      </c>
      <c r="L247" t="s">
        <v>55</v>
      </c>
      <c r="M247" t="s">
        <v>186</v>
      </c>
      <c r="O247" t="s">
        <v>42</v>
      </c>
      <c r="P247" t="s">
        <v>67</v>
      </c>
      <c r="Q247" t="s">
        <v>846</v>
      </c>
      <c r="R247" t="s">
        <v>32</v>
      </c>
      <c r="S247">
        <v>3</v>
      </c>
      <c r="T247">
        <v>3275.93</v>
      </c>
      <c r="U247" s="2">
        <f t="shared" si="39"/>
        <v>9827.7899999999991</v>
      </c>
      <c r="V247" s="13">
        <v>0</v>
      </c>
      <c r="W247" s="2">
        <f t="shared" si="40"/>
        <v>0</v>
      </c>
      <c r="X247" s="2" t="str">
        <f t="shared" si="41"/>
        <v>Valid</v>
      </c>
      <c r="Y247" s="2" t="str">
        <f t="shared" si="42"/>
        <v>Clean</v>
      </c>
      <c r="Z247">
        <v>9827.7900000000009</v>
      </c>
      <c r="AA247">
        <v>5478.28</v>
      </c>
      <c r="AB247" s="2">
        <f t="shared" si="36"/>
        <v>4349.5099999999993</v>
      </c>
      <c r="AC247">
        <v>4349.51</v>
      </c>
      <c r="AD247" s="11">
        <f t="shared" si="43"/>
        <v>0.44257254174132737</v>
      </c>
      <c r="AE247" t="s">
        <v>33</v>
      </c>
      <c r="AF247" t="s">
        <v>34</v>
      </c>
    </row>
    <row r="248" spans="1:32">
      <c r="A248" t="s">
        <v>847</v>
      </c>
      <c r="B248" s="2" t="str">
        <f t="shared" si="33"/>
        <v>Unique</v>
      </c>
      <c r="C248" s="2" t="str">
        <f t="shared" si="37"/>
        <v>May</v>
      </c>
      <c r="D248" s="2">
        <f t="shared" si="38"/>
        <v>2024</v>
      </c>
      <c r="E248" s="4">
        <v>45416</v>
      </c>
      <c r="F248" s="4">
        <v>45421</v>
      </c>
      <c r="G248" s="6">
        <f t="shared" si="34"/>
        <v>5</v>
      </c>
      <c r="H248" s="6" t="str">
        <f t="shared" si="35"/>
        <v>Valid</v>
      </c>
      <c r="I248" t="s">
        <v>848</v>
      </c>
      <c r="J248" t="s">
        <v>63</v>
      </c>
      <c r="K248" t="s">
        <v>91</v>
      </c>
      <c r="L248" t="s">
        <v>26</v>
      </c>
      <c r="M248" t="s">
        <v>123</v>
      </c>
      <c r="O248" t="s">
        <v>75</v>
      </c>
      <c r="P248" t="s">
        <v>275</v>
      </c>
      <c r="Q248" t="s">
        <v>849</v>
      </c>
      <c r="R248" t="s">
        <v>45</v>
      </c>
      <c r="S248">
        <v>3</v>
      </c>
      <c r="T248">
        <v>231.95</v>
      </c>
      <c r="U248" s="2">
        <f t="shared" si="39"/>
        <v>521.88749999999993</v>
      </c>
      <c r="V248" s="13">
        <v>0.25</v>
      </c>
      <c r="W248" s="2">
        <f t="shared" si="40"/>
        <v>0.25</v>
      </c>
      <c r="X248" s="2" t="str">
        <f t="shared" si="41"/>
        <v>Valid</v>
      </c>
      <c r="Y248" s="2" t="str">
        <f t="shared" si="42"/>
        <v>Clean</v>
      </c>
      <c r="Z248">
        <v>521.89</v>
      </c>
      <c r="AA248">
        <v>444.52</v>
      </c>
      <c r="AB248" s="2">
        <f t="shared" si="36"/>
        <v>77.36749999999995</v>
      </c>
      <c r="AC248">
        <v>77.37</v>
      </c>
      <c r="AD248" s="11">
        <f t="shared" si="43"/>
        <v>0.14824963114832629</v>
      </c>
      <c r="AE248" t="s">
        <v>103</v>
      </c>
      <c r="AF248" t="s">
        <v>69</v>
      </c>
    </row>
    <row r="249" spans="1:32">
      <c r="A249" t="s">
        <v>850</v>
      </c>
      <c r="B249" s="2" t="str">
        <f t="shared" si="33"/>
        <v>Unique</v>
      </c>
      <c r="C249" s="2" t="str">
        <f t="shared" si="37"/>
        <v>Jul</v>
      </c>
      <c r="D249" s="2">
        <f t="shared" si="38"/>
        <v>2024</v>
      </c>
      <c r="E249" s="4">
        <v>45498</v>
      </c>
      <c r="F249" s="4">
        <v>45505</v>
      </c>
      <c r="G249" s="6">
        <f t="shared" si="34"/>
        <v>7</v>
      </c>
      <c r="H249" s="6" t="str">
        <f t="shared" si="35"/>
        <v>Valid</v>
      </c>
      <c r="I249" t="s">
        <v>851</v>
      </c>
      <c r="J249" t="s">
        <v>119</v>
      </c>
      <c r="K249" t="s">
        <v>91</v>
      </c>
      <c r="L249" t="s">
        <v>26</v>
      </c>
      <c r="M249" t="s">
        <v>27</v>
      </c>
      <c r="O249" t="s">
        <v>75</v>
      </c>
      <c r="P249" t="s">
        <v>76</v>
      </c>
      <c r="Q249" t="s">
        <v>852</v>
      </c>
      <c r="R249" t="s">
        <v>32</v>
      </c>
      <c r="S249">
        <v>8</v>
      </c>
      <c r="T249">
        <v>2493.4</v>
      </c>
      <c r="U249" s="2">
        <f t="shared" si="39"/>
        <v>14960.400000000001</v>
      </c>
      <c r="V249" s="13">
        <v>0.25</v>
      </c>
      <c r="W249" s="2">
        <f t="shared" si="40"/>
        <v>0.25</v>
      </c>
      <c r="X249" s="2" t="str">
        <f t="shared" si="41"/>
        <v>Valid</v>
      </c>
      <c r="Y249" s="2" t="str">
        <f t="shared" si="42"/>
        <v>Clean</v>
      </c>
      <c r="Z249">
        <v>14960.4</v>
      </c>
      <c r="AA249">
        <v>12500.84</v>
      </c>
      <c r="AB249" s="2">
        <f t="shared" si="36"/>
        <v>2459.5600000000013</v>
      </c>
      <c r="AC249">
        <v>2459.56</v>
      </c>
      <c r="AD249" s="11">
        <f t="shared" si="43"/>
        <v>0.16440469506162936</v>
      </c>
      <c r="AE249" t="s">
        <v>33</v>
      </c>
      <c r="AF249" t="s">
        <v>34</v>
      </c>
    </row>
    <row r="250" spans="1:32">
      <c r="A250" t="s">
        <v>853</v>
      </c>
      <c r="B250" s="2" t="str">
        <f t="shared" si="33"/>
        <v>Unique</v>
      </c>
      <c r="C250" s="2" t="str">
        <f t="shared" si="37"/>
        <v>Jun</v>
      </c>
      <c r="D250" s="2">
        <f t="shared" si="38"/>
        <v>2024</v>
      </c>
      <c r="E250" s="4">
        <v>45445</v>
      </c>
      <c r="F250" s="4">
        <v>45450</v>
      </c>
      <c r="G250" s="6">
        <f t="shared" si="34"/>
        <v>5</v>
      </c>
      <c r="H250" s="6" t="str">
        <f t="shared" si="35"/>
        <v>Valid</v>
      </c>
      <c r="I250" t="s">
        <v>854</v>
      </c>
      <c r="J250" t="s">
        <v>142</v>
      </c>
      <c r="K250" t="s">
        <v>96</v>
      </c>
      <c r="L250" t="s">
        <v>39</v>
      </c>
      <c r="M250" t="s">
        <v>40</v>
      </c>
      <c r="O250" t="s">
        <v>29</v>
      </c>
      <c r="P250" t="s">
        <v>92</v>
      </c>
      <c r="Q250" t="s">
        <v>855</v>
      </c>
      <c r="R250" t="s">
        <v>32</v>
      </c>
      <c r="S250">
        <v>9</v>
      </c>
      <c r="T250">
        <v>787.91</v>
      </c>
      <c r="U250" s="2">
        <f t="shared" si="39"/>
        <v>6027.5114999999996</v>
      </c>
      <c r="V250" s="13">
        <v>0.15</v>
      </c>
      <c r="W250" s="2">
        <f t="shared" si="40"/>
        <v>0.15</v>
      </c>
      <c r="X250" s="2" t="str">
        <f t="shared" si="41"/>
        <v>Valid</v>
      </c>
      <c r="Y250" s="2" t="str">
        <f t="shared" si="42"/>
        <v>Clean</v>
      </c>
      <c r="Z250">
        <v>6027.51</v>
      </c>
      <c r="AA250">
        <v>4883.82</v>
      </c>
      <c r="AB250" s="2">
        <f t="shared" si="36"/>
        <v>1143.6914999999999</v>
      </c>
      <c r="AC250">
        <v>1143.69</v>
      </c>
      <c r="AD250" s="11">
        <f t="shared" si="43"/>
        <v>0.1897450190874839</v>
      </c>
      <c r="AE250" t="s">
        <v>33</v>
      </c>
      <c r="AF250" t="s">
        <v>34</v>
      </c>
    </row>
    <row r="251" spans="1:32">
      <c r="A251" t="s">
        <v>856</v>
      </c>
      <c r="B251" s="2" t="str">
        <f t="shared" si="33"/>
        <v>Unique</v>
      </c>
      <c r="C251" s="2" t="str">
        <f t="shared" si="37"/>
        <v>Aug</v>
      </c>
      <c r="D251" s="2">
        <f t="shared" si="38"/>
        <v>2025</v>
      </c>
      <c r="E251" s="4">
        <v>45870</v>
      </c>
      <c r="F251" s="4">
        <v>45871</v>
      </c>
      <c r="G251" s="6">
        <f t="shared" si="34"/>
        <v>1</v>
      </c>
      <c r="H251" s="6" t="str">
        <f t="shared" si="35"/>
        <v>Valid</v>
      </c>
      <c r="I251" t="s">
        <v>857</v>
      </c>
      <c r="J251" t="s">
        <v>37</v>
      </c>
      <c r="K251" t="s">
        <v>91</v>
      </c>
      <c r="L251" t="s">
        <v>26</v>
      </c>
      <c r="M251" t="s">
        <v>27</v>
      </c>
      <c r="O251" t="s">
        <v>42</v>
      </c>
      <c r="P251" t="s">
        <v>58</v>
      </c>
      <c r="Q251" t="s">
        <v>858</v>
      </c>
      <c r="R251" t="s">
        <v>51</v>
      </c>
      <c r="S251">
        <v>4</v>
      </c>
      <c r="T251">
        <v>2790.29</v>
      </c>
      <c r="U251" s="2">
        <f t="shared" si="39"/>
        <v>8928.9279999999999</v>
      </c>
      <c r="V251" s="13">
        <v>0.2</v>
      </c>
      <c r="W251" s="2">
        <f t="shared" si="40"/>
        <v>0.2</v>
      </c>
      <c r="X251" s="2" t="str">
        <f t="shared" si="41"/>
        <v>Valid</v>
      </c>
      <c r="Y251" s="2" t="str">
        <f t="shared" si="42"/>
        <v>Clean</v>
      </c>
      <c r="Z251">
        <v>8928.93</v>
      </c>
      <c r="AA251">
        <v>5634.38</v>
      </c>
      <c r="AB251" s="2">
        <f t="shared" si="36"/>
        <v>3294.5479999999998</v>
      </c>
      <c r="AC251">
        <v>3294.55</v>
      </c>
      <c r="AD251" s="11">
        <f t="shared" si="43"/>
        <v>0.36897478197275596</v>
      </c>
      <c r="AE251" t="s">
        <v>33</v>
      </c>
      <c r="AF251" t="s">
        <v>34</v>
      </c>
    </row>
    <row r="252" spans="1:32">
      <c r="A252" t="s">
        <v>859</v>
      </c>
      <c r="B252" s="2" t="str">
        <f t="shared" si="33"/>
        <v>Unique</v>
      </c>
      <c r="C252" s="2" t="str">
        <f t="shared" si="37"/>
        <v>Feb</v>
      </c>
      <c r="D252" s="2">
        <f t="shared" si="38"/>
        <v>2024</v>
      </c>
      <c r="E252" s="4">
        <v>45343</v>
      </c>
      <c r="F252" s="4">
        <v>45349</v>
      </c>
      <c r="G252" s="6">
        <f t="shared" si="34"/>
        <v>6</v>
      </c>
      <c r="H252" s="6" t="str">
        <f t="shared" si="35"/>
        <v>Valid</v>
      </c>
      <c r="I252" t="s">
        <v>860</v>
      </c>
      <c r="J252" t="s">
        <v>54</v>
      </c>
      <c r="K252" t="s">
        <v>38</v>
      </c>
      <c r="L252" t="s">
        <v>39</v>
      </c>
      <c r="M252" t="s">
        <v>100</v>
      </c>
      <c r="O252" t="s">
        <v>42</v>
      </c>
      <c r="P252" t="s">
        <v>58</v>
      </c>
      <c r="Q252" t="s">
        <v>861</v>
      </c>
      <c r="R252" t="s">
        <v>60</v>
      </c>
      <c r="S252">
        <v>5</v>
      </c>
      <c r="T252">
        <v>3373.86</v>
      </c>
      <c r="U252" s="2">
        <f t="shared" si="39"/>
        <v>14338.904999999999</v>
      </c>
      <c r="V252" s="13">
        <v>0.15</v>
      </c>
      <c r="W252" s="2">
        <f t="shared" si="40"/>
        <v>0.15</v>
      </c>
      <c r="X252" s="2" t="str">
        <f t="shared" si="41"/>
        <v>Valid</v>
      </c>
      <c r="Y252" s="2" t="str">
        <f t="shared" si="42"/>
        <v>Clean</v>
      </c>
      <c r="Z252">
        <v>14338.9</v>
      </c>
      <c r="AA252">
        <v>11897.65</v>
      </c>
      <c r="AB252" s="2">
        <f t="shared" si="36"/>
        <v>2441.2549999999992</v>
      </c>
      <c r="AC252">
        <v>2441.25</v>
      </c>
      <c r="AD252" s="11">
        <f t="shared" si="43"/>
        <v>0.17025364567714399</v>
      </c>
      <c r="AE252" t="s">
        <v>112</v>
      </c>
      <c r="AF252" t="s">
        <v>104</v>
      </c>
    </row>
    <row r="253" spans="1:32">
      <c r="A253" t="s">
        <v>862</v>
      </c>
      <c r="B253" s="2" t="str">
        <f t="shared" si="33"/>
        <v>Unique</v>
      </c>
      <c r="C253" s="2" t="str">
        <f t="shared" si="37"/>
        <v>Apr</v>
      </c>
      <c r="D253" s="2">
        <f t="shared" si="38"/>
        <v>2025</v>
      </c>
      <c r="E253" s="4">
        <v>45753</v>
      </c>
      <c r="F253" s="4">
        <v>45757</v>
      </c>
      <c r="G253" s="6">
        <f t="shared" si="34"/>
        <v>4</v>
      </c>
      <c r="H253" s="6" t="str">
        <f t="shared" si="35"/>
        <v>Valid</v>
      </c>
      <c r="I253" t="s">
        <v>863</v>
      </c>
      <c r="J253" t="s">
        <v>63</v>
      </c>
      <c r="K253" t="s">
        <v>91</v>
      </c>
      <c r="L253" t="s">
        <v>64</v>
      </c>
      <c r="M253" t="s">
        <v>181</v>
      </c>
      <c r="O253" t="s">
        <v>42</v>
      </c>
      <c r="P253" t="s">
        <v>43</v>
      </c>
      <c r="Q253" t="s">
        <v>864</v>
      </c>
      <c r="R253" t="s">
        <v>32</v>
      </c>
      <c r="S253">
        <v>6</v>
      </c>
      <c r="T253">
        <v>1022.16</v>
      </c>
      <c r="U253" s="2">
        <f t="shared" si="39"/>
        <v>6132.96</v>
      </c>
      <c r="V253" s="13">
        <v>0</v>
      </c>
      <c r="W253" s="2">
        <f t="shared" si="40"/>
        <v>0</v>
      </c>
      <c r="X253" s="2" t="str">
        <f t="shared" si="41"/>
        <v>Valid</v>
      </c>
      <c r="Y253" s="2" t="str">
        <f t="shared" si="42"/>
        <v>Clean</v>
      </c>
      <c r="Z253">
        <v>6132.96</v>
      </c>
      <c r="AA253">
        <v>4881.1000000000004</v>
      </c>
      <c r="AB253" s="2">
        <f t="shared" si="36"/>
        <v>1251.8599999999997</v>
      </c>
      <c r="AC253">
        <v>1251.8599999999999</v>
      </c>
      <c r="AD253" s="11">
        <f t="shared" si="43"/>
        <v>0.20412003339333698</v>
      </c>
      <c r="AE253" t="s">
        <v>33</v>
      </c>
      <c r="AF253" t="s">
        <v>34</v>
      </c>
    </row>
    <row r="254" spans="1:32">
      <c r="A254" t="s">
        <v>865</v>
      </c>
      <c r="B254" s="2" t="str">
        <f t="shared" si="33"/>
        <v>Unique</v>
      </c>
      <c r="C254" s="2" t="str">
        <f t="shared" si="37"/>
        <v>Jun</v>
      </c>
      <c r="D254" s="2">
        <f t="shared" si="38"/>
        <v>2025</v>
      </c>
      <c r="E254" s="4">
        <v>45833</v>
      </c>
      <c r="F254" s="4">
        <v>45836</v>
      </c>
      <c r="G254" s="6">
        <f t="shared" si="34"/>
        <v>3</v>
      </c>
      <c r="H254" s="6" t="str">
        <f t="shared" si="35"/>
        <v>Valid</v>
      </c>
      <c r="I254" t="s">
        <v>866</v>
      </c>
      <c r="J254" t="s">
        <v>54</v>
      </c>
      <c r="K254" t="s">
        <v>91</v>
      </c>
      <c r="L254" t="s">
        <v>26</v>
      </c>
      <c r="M254" t="s">
        <v>237</v>
      </c>
      <c r="O254" t="s">
        <v>29</v>
      </c>
      <c r="P254" t="s">
        <v>125</v>
      </c>
      <c r="Q254" t="s">
        <v>867</v>
      </c>
      <c r="R254" t="s">
        <v>51</v>
      </c>
      <c r="S254">
        <v>2</v>
      </c>
      <c r="T254">
        <v>1455.92</v>
      </c>
      <c r="U254" s="2">
        <f t="shared" si="39"/>
        <v>2329.4720000000002</v>
      </c>
      <c r="V254" s="13">
        <v>0.2</v>
      </c>
      <c r="W254" s="2">
        <f t="shared" si="40"/>
        <v>0.2</v>
      </c>
      <c r="X254" s="2" t="str">
        <f t="shared" si="41"/>
        <v>Valid</v>
      </c>
      <c r="Y254" s="2" t="str">
        <f t="shared" si="42"/>
        <v>Clean</v>
      </c>
      <c r="Z254">
        <v>2329.4699999999998</v>
      </c>
      <c r="AA254">
        <v>1603.62</v>
      </c>
      <c r="AB254" s="2">
        <f t="shared" si="36"/>
        <v>725.85200000000032</v>
      </c>
      <c r="AC254">
        <v>725.85</v>
      </c>
      <c r="AD254" s="11">
        <f t="shared" si="43"/>
        <v>0.31159448286520114</v>
      </c>
      <c r="AE254" t="s">
        <v>112</v>
      </c>
      <c r="AF254" t="s">
        <v>104</v>
      </c>
    </row>
    <row r="255" spans="1:32">
      <c r="A255" t="s">
        <v>868</v>
      </c>
      <c r="B255" s="2" t="str">
        <f t="shared" si="33"/>
        <v>Unique</v>
      </c>
      <c r="C255" s="2" t="str">
        <f t="shared" si="37"/>
        <v>Sep</v>
      </c>
      <c r="D255" s="2">
        <f t="shared" si="38"/>
        <v>2024</v>
      </c>
      <c r="E255" s="4">
        <v>45547</v>
      </c>
      <c r="F255" s="4">
        <v>45548</v>
      </c>
      <c r="G255" s="6">
        <f t="shared" si="34"/>
        <v>1</v>
      </c>
      <c r="H255" s="6" t="str">
        <f t="shared" si="35"/>
        <v>Valid</v>
      </c>
      <c r="I255" t="s">
        <v>869</v>
      </c>
      <c r="J255" t="s">
        <v>115</v>
      </c>
      <c r="K255" t="s">
        <v>38</v>
      </c>
      <c r="L255" t="s">
        <v>26</v>
      </c>
      <c r="M255" t="s">
        <v>27</v>
      </c>
      <c r="O255" t="s">
        <v>75</v>
      </c>
      <c r="P255" t="s">
        <v>172</v>
      </c>
      <c r="Q255" t="s">
        <v>870</v>
      </c>
      <c r="R255" t="s">
        <v>45</v>
      </c>
      <c r="S255">
        <v>6</v>
      </c>
      <c r="T255">
        <v>832.79</v>
      </c>
      <c r="U255" s="2">
        <f t="shared" si="39"/>
        <v>4746.9029999999993</v>
      </c>
      <c r="V255" s="13">
        <v>0.05</v>
      </c>
      <c r="W255" s="2">
        <f t="shared" si="40"/>
        <v>0.05</v>
      </c>
      <c r="X255" s="2" t="str">
        <f t="shared" si="41"/>
        <v>Valid</v>
      </c>
      <c r="Y255" s="2" t="str">
        <f t="shared" si="42"/>
        <v>Clean</v>
      </c>
      <c r="Z255">
        <v>4746.8999999999996</v>
      </c>
      <c r="AA255">
        <v>2825.38</v>
      </c>
      <c r="AB255" s="2">
        <f t="shared" si="36"/>
        <v>1921.5229999999992</v>
      </c>
      <c r="AC255">
        <v>1472.89</v>
      </c>
      <c r="AD255" s="11">
        <f t="shared" si="43"/>
        <v>0.31028460679601427</v>
      </c>
      <c r="AE255" t="s">
        <v>103</v>
      </c>
      <c r="AF255" t="s">
        <v>69</v>
      </c>
    </row>
    <row r="256" spans="1:32">
      <c r="A256" t="s">
        <v>871</v>
      </c>
      <c r="B256" s="2" t="str">
        <f t="shared" si="33"/>
        <v>Unique</v>
      </c>
      <c r="C256" s="2" t="str">
        <f t="shared" si="37"/>
        <v>Jan</v>
      </c>
      <c r="D256" s="2">
        <f t="shared" si="38"/>
        <v>2025</v>
      </c>
      <c r="E256" s="4">
        <v>45658</v>
      </c>
      <c r="F256" s="4">
        <v>45660</v>
      </c>
      <c r="G256" s="6">
        <f t="shared" si="34"/>
        <v>2</v>
      </c>
      <c r="H256" s="6" t="str">
        <f t="shared" si="35"/>
        <v>Valid</v>
      </c>
      <c r="I256" t="s">
        <v>872</v>
      </c>
      <c r="J256" t="s">
        <v>63</v>
      </c>
      <c r="K256" t="s">
        <v>25</v>
      </c>
      <c r="L256" t="s">
        <v>64</v>
      </c>
      <c r="M256" t="s">
        <v>73</v>
      </c>
      <c r="O256" t="s">
        <v>75</v>
      </c>
      <c r="P256" t="s">
        <v>76</v>
      </c>
      <c r="Q256" t="s">
        <v>873</v>
      </c>
      <c r="R256" t="s">
        <v>45</v>
      </c>
      <c r="S256">
        <v>7</v>
      </c>
      <c r="T256">
        <v>1000.55</v>
      </c>
      <c r="U256" s="2">
        <f t="shared" si="39"/>
        <v>5603.08</v>
      </c>
      <c r="V256" s="13">
        <v>0.2</v>
      </c>
      <c r="W256" s="2">
        <f t="shared" si="40"/>
        <v>0.2</v>
      </c>
      <c r="X256" s="2" t="str">
        <f t="shared" si="41"/>
        <v>Valid</v>
      </c>
      <c r="Y256" s="2" t="str">
        <f t="shared" si="42"/>
        <v>Clean</v>
      </c>
      <c r="Z256">
        <v>5603.08</v>
      </c>
      <c r="AA256">
        <v>3132.52</v>
      </c>
      <c r="AB256" s="2">
        <f t="shared" si="36"/>
        <v>2470.56</v>
      </c>
      <c r="AC256">
        <v>2470.56</v>
      </c>
      <c r="AD256" s="11">
        <f t="shared" si="43"/>
        <v>0.44092891766671188</v>
      </c>
      <c r="AE256" t="s">
        <v>33</v>
      </c>
      <c r="AF256" t="s">
        <v>104</v>
      </c>
    </row>
    <row r="257" spans="1:32">
      <c r="A257" t="s">
        <v>874</v>
      </c>
      <c r="B257" s="2" t="str">
        <f t="shared" si="33"/>
        <v>Unique</v>
      </c>
      <c r="C257" s="2" t="str">
        <f t="shared" si="37"/>
        <v>Feb</v>
      </c>
      <c r="D257" s="2">
        <f t="shared" si="38"/>
        <v>2025</v>
      </c>
      <c r="E257" s="4">
        <v>45692</v>
      </c>
      <c r="F257" s="4">
        <v>45698</v>
      </c>
      <c r="G257" s="6">
        <f t="shared" si="34"/>
        <v>6</v>
      </c>
      <c r="H257" s="6" t="str">
        <f t="shared" si="35"/>
        <v>Valid</v>
      </c>
      <c r="I257" t="s">
        <v>875</v>
      </c>
      <c r="J257" t="s">
        <v>48</v>
      </c>
      <c r="K257" t="s">
        <v>91</v>
      </c>
      <c r="L257" t="s">
        <v>64</v>
      </c>
      <c r="M257" t="s">
        <v>65</v>
      </c>
      <c r="O257" t="s">
        <v>75</v>
      </c>
      <c r="P257" t="s">
        <v>172</v>
      </c>
      <c r="Q257" t="s">
        <v>876</v>
      </c>
      <c r="R257" t="s">
        <v>51</v>
      </c>
      <c r="S257">
        <v>7</v>
      </c>
      <c r="T257">
        <v>1830</v>
      </c>
      <c r="U257" s="2">
        <f t="shared" si="39"/>
        <v>12810</v>
      </c>
      <c r="V257" s="13">
        <v>0</v>
      </c>
      <c r="W257" s="2">
        <f t="shared" si="40"/>
        <v>0</v>
      </c>
      <c r="X257" s="2" t="str">
        <f t="shared" si="41"/>
        <v>Valid</v>
      </c>
      <c r="Y257" s="2" t="str">
        <f t="shared" si="42"/>
        <v>Clean</v>
      </c>
      <c r="Z257">
        <v>12810</v>
      </c>
      <c r="AA257">
        <v>9334.1200000000008</v>
      </c>
      <c r="AB257" s="2">
        <f t="shared" si="36"/>
        <v>3475.8799999999992</v>
      </c>
      <c r="AC257">
        <v>3475.88</v>
      </c>
      <c r="AD257" s="11">
        <f t="shared" si="43"/>
        <v>0.27134113973458235</v>
      </c>
      <c r="AE257" t="s">
        <v>33</v>
      </c>
      <c r="AF257" t="s">
        <v>34</v>
      </c>
    </row>
    <row r="258" spans="1:32">
      <c r="A258" t="s">
        <v>877</v>
      </c>
      <c r="B258" s="2" t="str">
        <f t="shared" ref="B258:B321" si="44">IF(COUNTIF($A:$A,A258)&gt;1,"Duplicate Order ID","Unique")</f>
        <v>Unique</v>
      </c>
      <c r="C258" s="2" t="str">
        <f t="shared" si="37"/>
        <v>Nov</v>
      </c>
      <c r="D258" s="2">
        <f t="shared" si="38"/>
        <v>2024</v>
      </c>
      <c r="E258" s="4">
        <v>45601</v>
      </c>
      <c r="F258" s="4">
        <v>45599</v>
      </c>
      <c r="G258" s="6">
        <f t="shared" ref="G258:G321" si="45">F258-E258</f>
        <v>-2</v>
      </c>
      <c r="H258" s="6" t="str">
        <f t="shared" ref="H258:H321" si="46">IF(G258&lt;0,"Invalid: Ship Date Before Order Date","Valid")</f>
        <v>Invalid: Ship Date Before Order Date</v>
      </c>
      <c r="I258" t="s">
        <v>878</v>
      </c>
      <c r="J258" t="s">
        <v>63</v>
      </c>
      <c r="K258" t="s">
        <v>25</v>
      </c>
      <c r="L258" t="s">
        <v>39</v>
      </c>
      <c r="M258" t="s">
        <v>100</v>
      </c>
      <c r="O258" t="s">
        <v>42</v>
      </c>
      <c r="P258" t="s">
        <v>43</v>
      </c>
      <c r="Q258" t="s">
        <v>879</v>
      </c>
      <c r="R258" t="s">
        <v>51</v>
      </c>
      <c r="S258">
        <v>9</v>
      </c>
      <c r="T258">
        <v>2260.61</v>
      </c>
      <c r="U258" s="2">
        <f t="shared" si="39"/>
        <v>19328.215500000002</v>
      </c>
      <c r="V258" s="13">
        <v>0.05</v>
      </c>
      <c r="W258" s="2">
        <f t="shared" si="40"/>
        <v>0.05</v>
      </c>
      <c r="X258" s="2" t="str">
        <f t="shared" si="41"/>
        <v>Valid</v>
      </c>
      <c r="Y258" s="2" t="str">
        <f t="shared" si="42"/>
        <v>Invalid</v>
      </c>
      <c r="Z258">
        <v>19328.22</v>
      </c>
      <c r="AA258">
        <v>12039.5</v>
      </c>
      <c r="AB258" s="2">
        <f t="shared" ref="AB258:AB321" si="47">IF(ISNUMBER(U258),U258-AA258,"Invalid")</f>
        <v>7288.7155000000021</v>
      </c>
      <c r="AC258">
        <v>7288.72</v>
      </c>
      <c r="AD258" s="11">
        <f t="shared" si="43"/>
        <v>0.37710249572904281</v>
      </c>
      <c r="AE258" t="s">
        <v>33</v>
      </c>
      <c r="AF258" t="s">
        <v>34</v>
      </c>
    </row>
    <row r="259" spans="1:32">
      <c r="A259" t="s">
        <v>880</v>
      </c>
      <c r="B259" s="2" t="str">
        <f t="shared" si="44"/>
        <v>Unique</v>
      </c>
      <c r="C259" s="2" t="str">
        <f t="shared" ref="C259:C322" si="48">TEXT(E259,"mmm")</f>
        <v>Aug</v>
      </c>
      <c r="D259" s="2">
        <f t="shared" ref="D259:D322" si="49">YEAR(E259)</f>
        <v>2025</v>
      </c>
      <c r="E259" s="4">
        <v>45878</v>
      </c>
      <c r="F259" s="4">
        <v>45881</v>
      </c>
      <c r="G259" s="6">
        <f t="shared" si="45"/>
        <v>3</v>
      </c>
      <c r="H259" s="6" t="str">
        <f t="shared" si="46"/>
        <v>Valid</v>
      </c>
      <c r="I259" t="s">
        <v>881</v>
      </c>
      <c r="J259" t="s">
        <v>163</v>
      </c>
      <c r="K259" t="s">
        <v>91</v>
      </c>
      <c r="L259" t="s">
        <v>55</v>
      </c>
      <c r="M259" t="s">
        <v>176</v>
      </c>
      <c r="O259" t="s">
        <v>75</v>
      </c>
      <c r="P259" t="s">
        <v>76</v>
      </c>
      <c r="Q259" t="s">
        <v>882</v>
      </c>
      <c r="R259" t="s">
        <v>32</v>
      </c>
      <c r="S259">
        <v>2</v>
      </c>
      <c r="T259">
        <v>3237.27</v>
      </c>
      <c r="U259" s="2">
        <f t="shared" ref="U259:U322" si="50">IF(ISNUMBER(W259),S259*T259*(1-W259),"Invalid")</f>
        <v>6474.54</v>
      </c>
      <c r="V259" s="13">
        <v>0</v>
      </c>
      <c r="W259" s="2">
        <f t="shared" ref="W259:W322" si="51">IF(OR(V259&lt;0,V259&gt;1),"Invalid",V259)</f>
        <v>0</v>
      </c>
      <c r="X259" s="2" t="str">
        <f t="shared" ref="X259:X322" si="52">IF(OR(V259&lt;0,V259&gt;1),"Invalid","Valid")</f>
        <v>Valid</v>
      </c>
      <c r="Y259" s="2" t="str">
        <f t="shared" ref="Y259:Y322" si="53">IF(AND(H259="Valid",X259="Valid"),"Clean","Invalid")</f>
        <v>Clean</v>
      </c>
      <c r="Z259">
        <v>6474.54</v>
      </c>
      <c r="AA259">
        <v>5095.91</v>
      </c>
      <c r="AB259" s="2">
        <f t="shared" si="47"/>
        <v>1378.63</v>
      </c>
      <c r="AC259">
        <v>1378.63</v>
      </c>
      <c r="AD259" s="11">
        <f t="shared" ref="AD259:AD322" si="54">AC259/Z259</f>
        <v>0.21293095725719513</v>
      </c>
      <c r="AE259" t="s">
        <v>33</v>
      </c>
      <c r="AF259" t="s">
        <v>69</v>
      </c>
    </row>
    <row r="260" spans="1:32">
      <c r="A260" t="s">
        <v>883</v>
      </c>
      <c r="B260" s="2" t="str">
        <f t="shared" si="44"/>
        <v>Unique</v>
      </c>
      <c r="C260" s="2" t="str">
        <f t="shared" si="48"/>
        <v>Dec</v>
      </c>
      <c r="D260" s="2">
        <f t="shared" si="49"/>
        <v>2024</v>
      </c>
      <c r="E260" s="4">
        <v>45656</v>
      </c>
      <c r="F260" s="4">
        <v>45661</v>
      </c>
      <c r="G260" s="6">
        <f t="shared" si="45"/>
        <v>5</v>
      </c>
      <c r="H260" s="6" t="str">
        <f t="shared" si="46"/>
        <v>Valid</v>
      </c>
      <c r="I260" t="s">
        <v>884</v>
      </c>
      <c r="J260" t="s">
        <v>133</v>
      </c>
      <c r="K260" t="s">
        <v>91</v>
      </c>
      <c r="L260" t="s">
        <v>55</v>
      </c>
      <c r="M260" t="s">
        <v>248</v>
      </c>
      <c r="O260" t="s">
        <v>42</v>
      </c>
      <c r="P260" t="s">
        <v>43</v>
      </c>
      <c r="Q260" t="s">
        <v>885</v>
      </c>
      <c r="R260" t="s">
        <v>45</v>
      </c>
      <c r="S260">
        <v>2</v>
      </c>
      <c r="T260">
        <v>3720.07</v>
      </c>
      <c r="U260" s="2">
        <f t="shared" si="50"/>
        <v>5580.1050000000005</v>
      </c>
      <c r="V260" s="13">
        <v>0.25</v>
      </c>
      <c r="W260" s="2">
        <f t="shared" si="51"/>
        <v>0.25</v>
      </c>
      <c r="X260" s="2" t="str">
        <f t="shared" si="52"/>
        <v>Valid</v>
      </c>
      <c r="Y260" s="2" t="str">
        <f t="shared" si="53"/>
        <v>Clean</v>
      </c>
      <c r="Z260">
        <v>5580.11</v>
      </c>
      <c r="AA260">
        <v>4307.01</v>
      </c>
      <c r="AB260" s="2">
        <f t="shared" si="47"/>
        <v>1273.0950000000003</v>
      </c>
      <c r="AC260">
        <v>1273.0999999999999</v>
      </c>
      <c r="AD260" s="11">
        <f t="shared" si="54"/>
        <v>0.22814962429056057</v>
      </c>
      <c r="AE260" t="s">
        <v>33</v>
      </c>
      <c r="AF260" t="s">
        <v>34</v>
      </c>
    </row>
    <row r="261" spans="1:32">
      <c r="A261" t="s">
        <v>886</v>
      </c>
      <c r="B261" s="2" t="str">
        <f t="shared" si="44"/>
        <v>Unique</v>
      </c>
      <c r="C261" s="2" t="str">
        <f t="shared" si="48"/>
        <v>Jun</v>
      </c>
      <c r="D261" s="2">
        <f t="shared" si="49"/>
        <v>2024</v>
      </c>
      <c r="E261" s="4">
        <v>45464</v>
      </c>
      <c r="F261" s="4">
        <v>45472</v>
      </c>
      <c r="G261" s="6">
        <f t="shared" si="45"/>
        <v>8</v>
      </c>
      <c r="H261" s="6" t="str">
        <f t="shared" si="46"/>
        <v>Valid</v>
      </c>
      <c r="I261" t="s">
        <v>887</v>
      </c>
      <c r="J261" t="s">
        <v>80</v>
      </c>
      <c r="K261" t="s">
        <v>25</v>
      </c>
      <c r="L261" t="s">
        <v>55</v>
      </c>
      <c r="M261" t="s">
        <v>248</v>
      </c>
      <c r="O261" t="s">
        <v>75</v>
      </c>
      <c r="P261" t="s">
        <v>275</v>
      </c>
      <c r="Q261" t="s">
        <v>888</v>
      </c>
      <c r="R261" t="s">
        <v>60</v>
      </c>
      <c r="S261">
        <v>8</v>
      </c>
      <c r="T261">
        <v>2853.92</v>
      </c>
      <c r="U261" s="2">
        <f t="shared" si="50"/>
        <v>18265.088</v>
      </c>
      <c r="V261" s="13">
        <v>0.2</v>
      </c>
      <c r="W261" s="2">
        <f t="shared" si="51"/>
        <v>0.2</v>
      </c>
      <c r="X261" s="2" t="str">
        <f t="shared" si="52"/>
        <v>Valid</v>
      </c>
      <c r="Y261" s="2" t="str">
        <f t="shared" si="53"/>
        <v>Clean</v>
      </c>
      <c r="Z261">
        <v>18265.09</v>
      </c>
      <c r="AA261">
        <v>10437.14</v>
      </c>
      <c r="AB261" s="2">
        <f t="shared" si="47"/>
        <v>7827.9480000000003</v>
      </c>
      <c r="AC261">
        <v>7827.95</v>
      </c>
      <c r="AD261" s="11">
        <f t="shared" si="54"/>
        <v>0.42857440067363478</v>
      </c>
      <c r="AE261" t="s">
        <v>33</v>
      </c>
      <c r="AF261" t="s">
        <v>34</v>
      </c>
    </row>
    <row r="262" spans="1:32">
      <c r="A262" t="s">
        <v>889</v>
      </c>
      <c r="B262" s="2" t="str">
        <f t="shared" si="44"/>
        <v>Unique</v>
      </c>
      <c r="C262" s="2" t="str">
        <f t="shared" si="48"/>
        <v>Sep</v>
      </c>
      <c r="D262" s="2">
        <f t="shared" si="49"/>
        <v>2025</v>
      </c>
      <c r="E262" s="4">
        <v>45923</v>
      </c>
      <c r="F262" s="4">
        <v>45927</v>
      </c>
      <c r="G262" s="6">
        <f t="shared" si="45"/>
        <v>4</v>
      </c>
      <c r="H262" s="6" t="str">
        <f t="shared" si="46"/>
        <v>Valid</v>
      </c>
      <c r="I262" t="s">
        <v>890</v>
      </c>
      <c r="J262" t="s">
        <v>90</v>
      </c>
      <c r="K262" t="s">
        <v>91</v>
      </c>
      <c r="L262" t="s">
        <v>39</v>
      </c>
      <c r="M262" t="s">
        <v>100</v>
      </c>
      <c r="O262" t="s">
        <v>29</v>
      </c>
      <c r="P262" t="s">
        <v>154</v>
      </c>
      <c r="Q262" t="s">
        <v>891</v>
      </c>
      <c r="R262" t="s">
        <v>45</v>
      </c>
      <c r="S262">
        <v>7</v>
      </c>
      <c r="T262">
        <v>2897.12</v>
      </c>
      <c r="U262" s="2">
        <f t="shared" si="50"/>
        <v>15209.880000000001</v>
      </c>
      <c r="V262" s="13">
        <v>0.25</v>
      </c>
      <c r="W262" s="2">
        <f t="shared" si="51"/>
        <v>0.25</v>
      </c>
      <c r="X262" s="2" t="str">
        <f t="shared" si="52"/>
        <v>Valid</v>
      </c>
      <c r="Y262" s="2" t="str">
        <f t="shared" si="53"/>
        <v>Clean</v>
      </c>
      <c r="Z262">
        <v>15209.88</v>
      </c>
      <c r="AA262">
        <v>10891.15</v>
      </c>
      <c r="AB262" s="2">
        <f t="shared" si="47"/>
        <v>4318.7300000000014</v>
      </c>
      <c r="AC262">
        <v>4318.7299999999996</v>
      </c>
      <c r="AD262" s="11">
        <f t="shared" si="54"/>
        <v>0.28394241111698448</v>
      </c>
      <c r="AE262" t="s">
        <v>156</v>
      </c>
      <c r="AF262" t="s">
        <v>104</v>
      </c>
    </row>
    <row r="263" spans="1:32">
      <c r="A263" t="s">
        <v>892</v>
      </c>
      <c r="B263" s="2" t="str">
        <f t="shared" si="44"/>
        <v>Unique</v>
      </c>
      <c r="C263" s="2" t="str">
        <f t="shared" si="48"/>
        <v>Jun</v>
      </c>
      <c r="D263" s="2">
        <f t="shared" si="49"/>
        <v>2025</v>
      </c>
      <c r="E263" s="4">
        <v>45826</v>
      </c>
      <c r="F263" s="4">
        <v>45832</v>
      </c>
      <c r="G263" s="6">
        <f t="shared" si="45"/>
        <v>6</v>
      </c>
      <c r="H263" s="6" t="str">
        <f t="shared" si="46"/>
        <v>Valid</v>
      </c>
      <c r="I263" t="s">
        <v>893</v>
      </c>
      <c r="J263" t="s">
        <v>133</v>
      </c>
      <c r="K263" t="s">
        <v>91</v>
      </c>
      <c r="L263" t="s">
        <v>26</v>
      </c>
      <c r="M263" t="s">
        <v>27</v>
      </c>
      <c r="O263" t="s">
        <v>29</v>
      </c>
      <c r="P263" t="s">
        <v>92</v>
      </c>
      <c r="Q263" t="s">
        <v>894</v>
      </c>
      <c r="R263" t="s">
        <v>60</v>
      </c>
      <c r="S263">
        <v>3</v>
      </c>
      <c r="T263">
        <v>686.74</v>
      </c>
      <c r="U263" s="2">
        <f t="shared" si="50"/>
        <v>1648.1760000000004</v>
      </c>
      <c r="V263" s="13">
        <v>0.2</v>
      </c>
      <c r="W263" s="2">
        <f t="shared" si="51"/>
        <v>0.2</v>
      </c>
      <c r="X263" s="2" t="str">
        <f t="shared" si="52"/>
        <v>Valid</v>
      </c>
      <c r="Y263" s="2" t="str">
        <f t="shared" si="53"/>
        <v>Clean</v>
      </c>
      <c r="Z263">
        <v>1648.18</v>
      </c>
      <c r="AA263">
        <v>987.91</v>
      </c>
      <c r="AB263" s="2">
        <f t="shared" si="47"/>
        <v>660.26600000000042</v>
      </c>
      <c r="AC263">
        <v>660.27</v>
      </c>
      <c r="AD263" s="11">
        <f t="shared" si="54"/>
        <v>0.40060551638777314</v>
      </c>
      <c r="AE263" t="s">
        <v>156</v>
      </c>
      <c r="AF263" t="s">
        <v>69</v>
      </c>
    </row>
    <row r="264" spans="1:32">
      <c r="A264" t="s">
        <v>895</v>
      </c>
      <c r="B264" s="2" t="str">
        <f t="shared" si="44"/>
        <v>Unique</v>
      </c>
      <c r="C264" s="2" t="str">
        <f t="shared" si="48"/>
        <v>May</v>
      </c>
      <c r="D264" s="2">
        <f t="shared" si="49"/>
        <v>2025</v>
      </c>
      <c r="E264" s="4">
        <v>45803</v>
      </c>
      <c r="F264" s="4">
        <v>45809</v>
      </c>
      <c r="G264" s="6">
        <f t="shared" si="45"/>
        <v>6</v>
      </c>
      <c r="H264" s="6" t="str">
        <f t="shared" si="46"/>
        <v>Valid</v>
      </c>
      <c r="I264" t="s">
        <v>630</v>
      </c>
      <c r="J264" t="s">
        <v>54</v>
      </c>
      <c r="K264" t="s">
        <v>38</v>
      </c>
      <c r="L264" t="s">
        <v>26</v>
      </c>
      <c r="M264" t="s">
        <v>351</v>
      </c>
      <c r="O264" t="s">
        <v>75</v>
      </c>
      <c r="P264" t="s">
        <v>172</v>
      </c>
      <c r="Q264" t="s">
        <v>896</v>
      </c>
      <c r="R264" t="s">
        <v>45</v>
      </c>
      <c r="S264">
        <v>4</v>
      </c>
      <c r="T264">
        <v>3349.86</v>
      </c>
      <c r="U264" s="2">
        <f t="shared" si="50"/>
        <v>13399.44</v>
      </c>
      <c r="V264" s="13">
        <v>0</v>
      </c>
      <c r="W264" s="2">
        <f t="shared" si="51"/>
        <v>0</v>
      </c>
      <c r="X264" s="2" t="str">
        <f t="shared" si="52"/>
        <v>Valid</v>
      </c>
      <c r="Y264" s="2" t="str">
        <f t="shared" si="53"/>
        <v>Clean</v>
      </c>
      <c r="Z264">
        <v>13399.44</v>
      </c>
      <c r="AA264">
        <v>8581.35</v>
      </c>
      <c r="AB264" s="2">
        <f t="shared" si="47"/>
        <v>4818.09</v>
      </c>
      <c r="AC264">
        <v>4818.09</v>
      </c>
      <c r="AD264" s="11">
        <f t="shared" si="54"/>
        <v>0.3595739821962709</v>
      </c>
      <c r="AE264" t="s">
        <v>112</v>
      </c>
      <c r="AF264" t="s">
        <v>104</v>
      </c>
    </row>
    <row r="265" spans="1:32">
      <c r="A265" t="s">
        <v>897</v>
      </c>
      <c r="B265" s="2" t="str">
        <f t="shared" si="44"/>
        <v>Unique</v>
      </c>
      <c r="C265" s="2" t="str">
        <f t="shared" si="48"/>
        <v>Aug</v>
      </c>
      <c r="D265" s="2">
        <f t="shared" si="49"/>
        <v>2025</v>
      </c>
      <c r="E265" s="4">
        <v>45875</v>
      </c>
      <c r="F265" s="4">
        <v>45879</v>
      </c>
      <c r="G265" s="6">
        <f t="shared" si="45"/>
        <v>4</v>
      </c>
      <c r="H265" s="6" t="str">
        <f t="shared" si="46"/>
        <v>Valid</v>
      </c>
      <c r="I265" t="s">
        <v>898</v>
      </c>
      <c r="J265" t="s">
        <v>142</v>
      </c>
      <c r="K265" t="s">
        <v>38</v>
      </c>
      <c r="L265" t="s">
        <v>26</v>
      </c>
      <c r="M265" t="s">
        <v>351</v>
      </c>
      <c r="O265" t="s">
        <v>29</v>
      </c>
      <c r="P265" t="s">
        <v>154</v>
      </c>
      <c r="Q265" t="s">
        <v>899</v>
      </c>
      <c r="R265" t="s">
        <v>32</v>
      </c>
      <c r="S265">
        <v>9</v>
      </c>
      <c r="T265">
        <v>4042.45</v>
      </c>
      <c r="U265" s="2">
        <f t="shared" si="50"/>
        <v>32743.844999999998</v>
      </c>
      <c r="V265" s="13">
        <v>0.1</v>
      </c>
      <c r="W265" s="2">
        <f t="shared" si="51"/>
        <v>0.1</v>
      </c>
      <c r="X265" s="2" t="str">
        <f t="shared" si="52"/>
        <v>Valid</v>
      </c>
      <c r="Y265" s="2" t="str">
        <f t="shared" si="53"/>
        <v>Clean</v>
      </c>
      <c r="Z265">
        <v>32743.84</v>
      </c>
      <c r="AA265">
        <v>22452.05</v>
      </c>
      <c r="AB265" s="2">
        <f t="shared" si="47"/>
        <v>10291.794999999998</v>
      </c>
      <c r="AC265">
        <v>10291.790000000001</v>
      </c>
      <c r="AD265" s="11">
        <f t="shared" si="54"/>
        <v>0.31431224926581613</v>
      </c>
      <c r="AE265" t="s">
        <v>112</v>
      </c>
      <c r="AF265" t="s">
        <v>104</v>
      </c>
    </row>
    <row r="266" spans="1:32">
      <c r="A266" t="s">
        <v>900</v>
      </c>
      <c r="B266" s="2" t="str">
        <f t="shared" si="44"/>
        <v>Unique</v>
      </c>
      <c r="C266" s="2" t="str">
        <f t="shared" si="48"/>
        <v>May</v>
      </c>
      <c r="D266" s="2">
        <f t="shared" si="49"/>
        <v>2024</v>
      </c>
      <c r="E266" s="4">
        <v>45428</v>
      </c>
      <c r="F266" s="4">
        <v>45433</v>
      </c>
      <c r="G266" s="6">
        <f t="shared" si="45"/>
        <v>5</v>
      </c>
      <c r="H266" s="6" t="str">
        <f t="shared" si="46"/>
        <v>Valid</v>
      </c>
      <c r="I266" t="s">
        <v>901</v>
      </c>
      <c r="J266" t="s">
        <v>163</v>
      </c>
      <c r="K266" t="s">
        <v>38</v>
      </c>
      <c r="L266" t="s">
        <v>39</v>
      </c>
      <c r="M266" t="s">
        <v>146</v>
      </c>
      <c r="O266" t="s">
        <v>75</v>
      </c>
      <c r="P266" t="s">
        <v>81</v>
      </c>
      <c r="Q266" t="s">
        <v>902</v>
      </c>
      <c r="R266" t="s">
        <v>60</v>
      </c>
      <c r="S266">
        <v>4</v>
      </c>
      <c r="T266">
        <v>1503.07</v>
      </c>
      <c r="U266" s="2">
        <f t="shared" si="50"/>
        <v>6012.28</v>
      </c>
      <c r="V266" s="13">
        <v>0</v>
      </c>
      <c r="W266" s="2">
        <f t="shared" si="51"/>
        <v>0</v>
      </c>
      <c r="X266" s="2" t="str">
        <f t="shared" si="52"/>
        <v>Valid</v>
      </c>
      <c r="Y266" s="2" t="str">
        <f t="shared" si="53"/>
        <v>Clean</v>
      </c>
      <c r="Z266">
        <v>6012.28</v>
      </c>
      <c r="AA266">
        <v>3927.64</v>
      </c>
      <c r="AB266" s="2">
        <f t="shared" si="47"/>
        <v>2084.64</v>
      </c>
      <c r="AC266">
        <v>2084.64</v>
      </c>
      <c r="AD266" s="11">
        <f t="shared" si="54"/>
        <v>0.34673035853286938</v>
      </c>
      <c r="AE266" t="s">
        <v>33</v>
      </c>
      <c r="AF266" t="s">
        <v>34</v>
      </c>
    </row>
    <row r="267" spans="1:32">
      <c r="A267" t="s">
        <v>903</v>
      </c>
      <c r="B267" s="2" t="str">
        <f t="shared" si="44"/>
        <v>Unique</v>
      </c>
      <c r="C267" s="2" t="str">
        <f t="shared" si="48"/>
        <v>Nov</v>
      </c>
      <c r="D267" s="2">
        <f t="shared" si="49"/>
        <v>2024</v>
      </c>
      <c r="E267" s="4">
        <v>45610</v>
      </c>
      <c r="F267" s="4">
        <v>45618</v>
      </c>
      <c r="G267" s="6">
        <f t="shared" si="45"/>
        <v>8</v>
      </c>
      <c r="H267" s="6" t="str">
        <f t="shared" si="46"/>
        <v>Valid</v>
      </c>
      <c r="I267" t="s">
        <v>904</v>
      </c>
      <c r="J267" t="s">
        <v>115</v>
      </c>
      <c r="K267" t="s">
        <v>91</v>
      </c>
      <c r="L267" t="s">
        <v>39</v>
      </c>
      <c r="M267" t="s">
        <v>146</v>
      </c>
      <c r="O267" t="s">
        <v>42</v>
      </c>
      <c r="P267" t="s">
        <v>159</v>
      </c>
      <c r="Q267" t="s">
        <v>905</v>
      </c>
      <c r="R267" t="s">
        <v>45</v>
      </c>
      <c r="S267">
        <v>1</v>
      </c>
      <c r="T267">
        <v>582.37</v>
      </c>
      <c r="U267" s="2">
        <f t="shared" si="50"/>
        <v>495.0145</v>
      </c>
      <c r="V267" s="13">
        <v>0.15</v>
      </c>
      <c r="W267" s="2">
        <f t="shared" si="51"/>
        <v>0.15</v>
      </c>
      <c r="X267" s="2" t="str">
        <f t="shared" si="52"/>
        <v>Valid</v>
      </c>
      <c r="Y267" s="2" t="str">
        <f t="shared" si="53"/>
        <v>Clean</v>
      </c>
      <c r="Z267">
        <v>495.01</v>
      </c>
      <c r="AA267">
        <v>285.13</v>
      </c>
      <c r="AB267" s="2">
        <f t="shared" si="47"/>
        <v>209.8845</v>
      </c>
      <c r="AC267">
        <v>209.88</v>
      </c>
      <c r="AD267" s="11">
        <f t="shared" si="54"/>
        <v>0.42399143451647442</v>
      </c>
      <c r="AE267" t="s">
        <v>103</v>
      </c>
      <c r="AF267" t="s">
        <v>69</v>
      </c>
    </row>
    <row r="268" spans="1:32">
      <c r="A268" t="s">
        <v>906</v>
      </c>
      <c r="B268" s="2" t="str">
        <f t="shared" si="44"/>
        <v>Unique</v>
      </c>
      <c r="C268" s="2" t="str">
        <f t="shared" si="48"/>
        <v>May</v>
      </c>
      <c r="D268" s="2">
        <f t="shared" si="49"/>
        <v>2025</v>
      </c>
      <c r="E268" s="4">
        <v>45780</v>
      </c>
      <c r="F268" s="4">
        <v>45787</v>
      </c>
      <c r="G268" s="6">
        <f t="shared" si="45"/>
        <v>7</v>
      </c>
      <c r="H268" s="6" t="str">
        <f t="shared" si="46"/>
        <v>Valid</v>
      </c>
      <c r="I268" t="s">
        <v>907</v>
      </c>
      <c r="J268" t="s">
        <v>80</v>
      </c>
      <c r="K268" t="s">
        <v>96</v>
      </c>
      <c r="L268" t="s">
        <v>64</v>
      </c>
      <c r="M268" t="s">
        <v>65</v>
      </c>
      <c r="O268" t="s">
        <v>29</v>
      </c>
      <c r="P268" t="s">
        <v>125</v>
      </c>
      <c r="Q268" t="s">
        <v>908</v>
      </c>
      <c r="R268" t="s">
        <v>32</v>
      </c>
      <c r="S268">
        <v>3</v>
      </c>
      <c r="T268">
        <v>4339.24</v>
      </c>
      <c r="U268" s="2">
        <f t="shared" si="50"/>
        <v>13017.72</v>
      </c>
      <c r="V268" s="13">
        <v>0</v>
      </c>
      <c r="W268" s="2">
        <f t="shared" si="51"/>
        <v>0</v>
      </c>
      <c r="X268" s="2" t="str">
        <f t="shared" si="52"/>
        <v>Valid</v>
      </c>
      <c r="Y268" s="2" t="str">
        <f t="shared" si="53"/>
        <v>Clean</v>
      </c>
      <c r="Z268">
        <v>13017.72</v>
      </c>
      <c r="AA268">
        <v>10170.57</v>
      </c>
      <c r="AB268" s="2">
        <f t="shared" si="47"/>
        <v>2847.1499999999996</v>
      </c>
      <c r="AC268">
        <v>2847.15</v>
      </c>
      <c r="AD268" s="11">
        <f t="shared" si="54"/>
        <v>0.21871341525244054</v>
      </c>
      <c r="AE268" t="s">
        <v>33</v>
      </c>
      <c r="AF268" t="s">
        <v>34</v>
      </c>
    </row>
    <row r="269" spans="1:32">
      <c r="A269" t="s">
        <v>909</v>
      </c>
      <c r="B269" s="2" t="str">
        <f t="shared" si="44"/>
        <v>Unique</v>
      </c>
      <c r="C269" s="2" t="str">
        <f t="shared" si="48"/>
        <v>May</v>
      </c>
      <c r="D269" s="2">
        <f t="shared" si="49"/>
        <v>2025</v>
      </c>
      <c r="E269" s="4">
        <v>45805</v>
      </c>
      <c r="F269" s="4">
        <v>45812</v>
      </c>
      <c r="G269" s="6">
        <f t="shared" si="45"/>
        <v>7</v>
      </c>
      <c r="H269" s="6" t="str">
        <f t="shared" si="46"/>
        <v>Valid</v>
      </c>
      <c r="I269" t="s">
        <v>910</v>
      </c>
      <c r="J269" t="s">
        <v>163</v>
      </c>
      <c r="K269" t="s">
        <v>91</v>
      </c>
      <c r="L269" t="s">
        <v>39</v>
      </c>
      <c r="M269" t="s">
        <v>229</v>
      </c>
      <c r="O269" t="s">
        <v>42</v>
      </c>
      <c r="P269" t="s">
        <v>58</v>
      </c>
      <c r="Q269" t="s">
        <v>911</v>
      </c>
      <c r="R269" t="s">
        <v>51</v>
      </c>
      <c r="S269">
        <v>4</v>
      </c>
      <c r="T269">
        <v>261.8</v>
      </c>
      <c r="U269" s="2">
        <f t="shared" si="50"/>
        <v>785.40000000000009</v>
      </c>
      <c r="V269" s="13">
        <v>0.25</v>
      </c>
      <c r="W269" s="2">
        <f t="shared" si="51"/>
        <v>0.25</v>
      </c>
      <c r="X269" s="2" t="str">
        <f t="shared" si="52"/>
        <v>Valid</v>
      </c>
      <c r="Y269" s="2" t="str">
        <f t="shared" si="53"/>
        <v>Clean</v>
      </c>
      <c r="Z269">
        <v>785.4</v>
      </c>
      <c r="AA269">
        <v>557.22</v>
      </c>
      <c r="AB269" s="2">
        <f t="shared" si="47"/>
        <v>228.18000000000006</v>
      </c>
      <c r="AC269">
        <v>228.18</v>
      </c>
      <c r="AD269" s="11">
        <f t="shared" si="54"/>
        <v>0.29052711993888464</v>
      </c>
      <c r="AE269" t="s">
        <v>33</v>
      </c>
      <c r="AF269" t="s">
        <v>34</v>
      </c>
    </row>
    <row r="270" spans="1:32">
      <c r="A270" t="s">
        <v>912</v>
      </c>
      <c r="B270" s="2" t="str">
        <f t="shared" si="44"/>
        <v>Unique</v>
      </c>
      <c r="C270" s="2" t="str">
        <f t="shared" si="48"/>
        <v>Aug</v>
      </c>
      <c r="D270" s="2">
        <f t="shared" si="49"/>
        <v>2025</v>
      </c>
      <c r="E270" s="4">
        <v>45886</v>
      </c>
      <c r="F270" s="4">
        <v>45886</v>
      </c>
      <c r="G270" s="6">
        <f t="shared" si="45"/>
        <v>0</v>
      </c>
      <c r="H270" s="6" t="str">
        <f t="shared" si="46"/>
        <v>Valid</v>
      </c>
      <c r="I270" t="s">
        <v>913</v>
      </c>
      <c r="J270" t="s">
        <v>129</v>
      </c>
      <c r="K270" t="s">
        <v>96</v>
      </c>
      <c r="L270" t="s">
        <v>26</v>
      </c>
      <c r="M270" t="s">
        <v>123</v>
      </c>
      <c r="O270" t="s">
        <v>75</v>
      </c>
      <c r="P270" t="s">
        <v>76</v>
      </c>
      <c r="Q270" t="s">
        <v>914</v>
      </c>
      <c r="R270" t="s">
        <v>51</v>
      </c>
      <c r="S270">
        <v>7</v>
      </c>
      <c r="T270">
        <v>632.20000000000005</v>
      </c>
      <c r="U270" s="2">
        <f t="shared" si="50"/>
        <v>3319.05</v>
      </c>
      <c r="V270" s="13">
        <v>0.25</v>
      </c>
      <c r="W270" s="2">
        <f t="shared" si="51"/>
        <v>0.25</v>
      </c>
      <c r="X270" s="2" t="str">
        <f t="shared" si="52"/>
        <v>Valid</v>
      </c>
      <c r="Y270" s="2" t="str">
        <f t="shared" si="53"/>
        <v>Clean</v>
      </c>
      <c r="Z270">
        <v>3319.05</v>
      </c>
      <c r="AA270">
        <v>2124.6</v>
      </c>
      <c r="AB270" s="2">
        <f t="shared" si="47"/>
        <v>1194.4500000000003</v>
      </c>
      <c r="AC270">
        <v>1194.45</v>
      </c>
      <c r="AD270" s="11">
        <f t="shared" si="54"/>
        <v>0.35987707325891444</v>
      </c>
      <c r="AE270" t="s">
        <v>33</v>
      </c>
      <c r="AF270" t="s">
        <v>34</v>
      </c>
    </row>
    <row r="271" spans="1:32">
      <c r="A271" t="s">
        <v>915</v>
      </c>
      <c r="B271" s="2" t="str">
        <f t="shared" si="44"/>
        <v>Unique</v>
      </c>
      <c r="C271" s="2" t="str">
        <f t="shared" si="48"/>
        <v>Feb</v>
      </c>
      <c r="D271" s="2">
        <f t="shared" si="49"/>
        <v>2025</v>
      </c>
      <c r="E271" s="4">
        <v>45698</v>
      </c>
      <c r="F271" s="4">
        <v>45700</v>
      </c>
      <c r="G271" s="6">
        <f t="shared" si="45"/>
        <v>2</v>
      </c>
      <c r="H271" s="6" t="str">
        <f t="shared" si="46"/>
        <v>Valid</v>
      </c>
      <c r="I271" t="s">
        <v>916</v>
      </c>
      <c r="J271" t="s">
        <v>119</v>
      </c>
      <c r="K271" t="s">
        <v>38</v>
      </c>
      <c r="L271" t="s">
        <v>64</v>
      </c>
      <c r="M271" t="s">
        <v>27</v>
      </c>
      <c r="O271" t="s">
        <v>42</v>
      </c>
      <c r="P271" t="s">
        <v>43</v>
      </c>
      <c r="Q271" t="s">
        <v>917</v>
      </c>
      <c r="R271" t="s">
        <v>45</v>
      </c>
      <c r="S271">
        <v>1</v>
      </c>
      <c r="T271">
        <v>1925.86</v>
      </c>
      <c r="U271" s="2">
        <f t="shared" si="50"/>
        <v>1925.86</v>
      </c>
      <c r="V271" s="13">
        <v>0</v>
      </c>
      <c r="W271" s="2">
        <f t="shared" si="51"/>
        <v>0</v>
      </c>
      <c r="X271" s="2" t="str">
        <f t="shared" si="52"/>
        <v>Valid</v>
      </c>
      <c r="Y271" s="2" t="str">
        <f t="shared" si="53"/>
        <v>Clean</v>
      </c>
      <c r="Z271">
        <v>1925.86</v>
      </c>
      <c r="AA271">
        <v>1321.89</v>
      </c>
      <c r="AB271" s="2">
        <f t="shared" si="47"/>
        <v>603.9699999999998</v>
      </c>
      <c r="AC271">
        <v>603.97</v>
      </c>
      <c r="AD271" s="11">
        <f t="shared" si="54"/>
        <v>0.3136105428224274</v>
      </c>
      <c r="AE271" t="s">
        <v>33</v>
      </c>
      <c r="AF271" t="s">
        <v>34</v>
      </c>
    </row>
    <row r="272" spans="1:32">
      <c r="A272" t="s">
        <v>918</v>
      </c>
      <c r="B272" s="2" t="str">
        <f t="shared" si="44"/>
        <v>Unique</v>
      </c>
      <c r="C272" s="2" t="str">
        <f t="shared" si="48"/>
        <v>Jan</v>
      </c>
      <c r="D272" s="2">
        <f t="shared" si="49"/>
        <v>2024</v>
      </c>
      <c r="E272" s="4">
        <v>45303</v>
      </c>
      <c r="F272" s="4">
        <v>45304</v>
      </c>
      <c r="G272" s="6">
        <f t="shared" si="45"/>
        <v>1</v>
      </c>
      <c r="H272" s="6" t="str">
        <f t="shared" si="46"/>
        <v>Valid</v>
      </c>
      <c r="I272" t="s">
        <v>919</v>
      </c>
      <c r="J272" t="s">
        <v>90</v>
      </c>
      <c r="K272" t="s">
        <v>91</v>
      </c>
      <c r="L272" t="s">
        <v>26</v>
      </c>
      <c r="M272" t="s">
        <v>137</v>
      </c>
      <c r="O272" t="s">
        <v>75</v>
      </c>
      <c r="P272" t="s">
        <v>275</v>
      </c>
      <c r="Q272" t="s">
        <v>920</v>
      </c>
      <c r="R272" t="s">
        <v>45</v>
      </c>
      <c r="S272">
        <v>3</v>
      </c>
      <c r="T272">
        <v>827.44</v>
      </c>
      <c r="U272" s="2">
        <f t="shared" si="50"/>
        <v>2482.3200000000002</v>
      </c>
      <c r="V272" s="13">
        <v>0</v>
      </c>
      <c r="W272" s="2">
        <f t="shared" si="51"/>
        <v>0</v>
      </c>
      <c r="X272" s="2" t="str">
        <f t="shared" si="52"/>
        <v>Valid</v>
      </c>
      <c r="Y272" s="2" t="str">
        <f t="shared" si="53"/>
        <v>Clean</v>
      </c>
      <c r="Z272">
        <v>2482.3200000000002</v>
      </c>
      <c r="AA272">
        <v>1520.21</v>
      </c>
      <c r="AB272" s="2">
        <f t="shared" si="47"/>
        <v>962.11000000000013</v>
      </c>
      <c r="AC272">
        <v>962.11</v>
      </c>
      <c r="AD272" s="11">
        <f t="shared" si="54"/>
        <v>0.38758500112797706</v>
      </c>
      <c r="AE272" t="s">
        <v>33</v>
      </c>
      <c r="AF272" t="s">
        <v>34</v>
      </c>
    </row>
    <row r="273" spans="1:32">
      <c r="A273" t="s">
        <v>921</v>
      </c>
      <c r="B273" s="2" t="str">
        <f t="shared" si="44"/>
        <v>Unique</v>
      </c>
      <c r="C273" s="2" t="str">
        <f t="shared" si="48"/>
        <v>Dec</v>
      </c>
      <c r="D273" s="2">
        <f t="shared" si="49"/>
        <v>2024</v>
      </c>
      <c r="E273" s="4">
        <v>45647</v>
      </c>
      <c r="F273" s="4">
        <v>45651</v>
      </c>
      <c r="G273" s="6">
        <f t="shared" si="45"/>
        <v>4</v>
      </c>
      <c r="H273" s="6" t="str">
        <f t="shared" si="46"/>
        <v>Valid</v>
      </c>
      <c r="I273" t="s">
        <v>922</v>
      </c>
      <c r="J273" t="s">
        <v>90</v>
      </c>
      <c r="K273" t="s">
        <v>25</v>
      </c>
      <c r="L273" t="s">
        <v>55</v>
      </c>
      <c r="M273" t="s">
        <v>56</v>
      </c>
      <c r="O273" t="s">
        <v>29</v>
      </c>
      <c r="P273" t="s">
        <v>154</v>
      </c>
      <c r="Q273" t="s">
        <v>923</v>
      </c>
      <c r="R273" t="s">
        <v>60</v>
      </c>
      <c r="S273">
        <v>7</v>
      </c>
      <c r="T273">
        <v>1667.75</v>
      </c>
      <c r="U273" s="2">
        <f t="shared" si="50"/>
        <v>11674.25</v>
      </c>
      <c r="V273" s="13">
        <v>0</v>
      </c>
      <c r="W273" s="2">
        <f t="shared" si="51"/>
        <v>0</v>
      </c>
      <c r="X273" s="2" t="str">
        <f t="shared" si="52"/>
        <v>Valid</v>
      </c>
      <c r="Y273" s="2" t="str">
        <f t="shared" si="53"/>
        <v>Clean</v>
      </c>
      <c r="Z273">
        <v>11674.25</v>
      </c>
      <c r="AA273">
        <v>9621.19</v>
      </c>
      <c r="AB273" s="2">
        <f t="shared" si="47"/>
        <v>2053.0599999999995</v>
      </c>
      <c r="AC273">
        <v>2053.06</v>
      </c>
      <c r="AD273" s="11">
        <f t="shared" si="54"/>
        <v>0.17586226095894811</v>
      </c>
      <c r="AE273" t="s">
        <v>156</v>
      </c>
      <c r="AF273" t="s">
        <v>69</v>
      </c>
    </row>
    <row r="274" spans="1:32">
      <c r="A274" t="s">
        <v>924</v>
      </c>
      <c r="B274" s="2" t="str">
        <f t="shared" si="44"/>
        <v>Duplicate Order ID</v>
      </c>
      <c r="C274" s="2" t="str">
        <f t="shared" si="48"/>
        <v>Aug</v>
      </c>
      <c r="D274" s="2">
        <f t="shared" si="49"/>
        <v>2024</v>
      </c>
      <c r="E274" s="4">
        <v>45522</v>
      </c>
      <c r="F274" s="4">
        <v>45528</v>
      </c>
      <c r="G274" s="6">
        <f t="shared" si="45"/>
        <v>6</v>
      </c>
      <c r="H274" s="6" t="str">
        <f t="shared" si="46"/>
        <v>Valid</v>
      </c>
      <c r="I274" t="s">
        <v>925</v>
      </c>
      <c r="J274" t="s">
        <v>54</v>
      </c>
      <c r="K274" t="s">
        <v>25</v>
      </c>
      <c r="L274" t="s">
        <v>55</v>
      </c>
      <c r="M274" t="s">
        <v>85</v>
      </c>
      <c r="O274" t="s">
        <v>42</v>
      </c>
      <c r="P274" t="s">
        <v>67</v>
      </c>
      <c r="Q274" t="s">
        <v>926</v>
      </c>
      <c r="R274" t="s">
        <v>51</v>
      </c>
      <c r="S274">
        <v>7</v>
      </c>
      <c r="T274">
        <v>557.21</v>
      </c>
      <c r="U274" s="2">
        <f t="shared" si="50"/>
        <v>3510.4230000000002</v>
      </c>
      <c r="V274" s="13">
        <v>0.1</v>
      </c>
      <c r="W274" s="2">
        <f t="shared" si="51"/>
        <v>0.1</v>
      </c>
      <c r="X274" s="2" t="str">
        <f t="shared" si="52"/>
        <v>Valid</v>
      </c>
      <c r="Y274" s="2" t="str">
        <f t="shared" si="53"/>
        <v>Clean</v>
      </c>
      <c r="Z274">
        <v>3510.42</v>
      </c>
      <c r="AA274">
        <v>2191.5</v>
      </c>
      <c r="AB274" s="2">
        <f t="shared" si="47"/>
        <v>1318.9230000000002</v>
      </c>
      <c r="AC274">
        <v>1213.48</v>
      </c>
      <c r="AD274" s="11">
        <f t="shared" si="54"/>
        <v>0.34567943436967657</v>
      </c>
      <c r="AE274" t="s">
        <v>33</v>
      </c>
      <c r="AF274" t="s">
        <v>34</v>
      </c>
    </row>
    <row r="275" spans="1:32">
      <c r="A275" t="s">
        <v>927</v>
      </c>
      <c r="B275" s="2" t="str">
        <f t="shared" si="44"/>
        <v>Unique</v>
      </c>
      <c r="C275" s="2" t="str">
        <f t="shared" si="48"/>
        <v>Feb</v>
      </c>
      <c r="D275" s="2">
        <f t="shared" si="49"/>
        <v>2025</v>
      </c>
      <c r="E275" s="4">
        <v>45701</v>
      </c>
      <c r="F275" s="4">
        <v>45701</v>
      </c>
      <c r="G275" s="6">
        <f t="shared" si="45"/>
        <v>0</v>
      </c>
      <c r="H275" s="6" t="str">
        <f t="shared" si="46"/>
        <v>Valid</v>
      </c>
      <c r="I275" t="s">
        <v>928</v>
      </c>
      <c r="J275" t="s">
        <v>48</v>
      </c>
      <c r="K275" t="s">
        <v>25</v>
      </c>
      <c r="L275" t="s">
        <v>39</v>
      </c>
      <c r="M275" t="s">
        <v>146</v>
      </c>
      <c r="O275" t="s">
        <v>29</v>
      </c>
      <c r="P275" t="s">
        <v>30</v>
      </c>
      <c r="Q275" t="s">
        <v>929</v>
      </c>
      <c r="R275" t="s">
        <v>32</v>
      </c>
      <c r="S275">
        <v>9</v>
      </c>
      <c r="T275">
        <v>2521.63</v>
      </c>
      <c r="U275" s="2">
        <f t="shared" si="50"/>
        <v>22694.670000000002</v>
      </c>
      <c r="V275" s="13">
        <v>0</v>
      </c>
      <c r="W275" s="2">
        <f t="shared" si="51"/>
        <v>0</v>
      </c>
      <c r="X275" s="2" t="str">
        <f t="shared" si="52"/>
        <v>Valid</v>
      </c>
      <c r="Y275" s="2" t="str">
        <f t="shared" si="53"/>
        <v>Clean</v>
      </c>
      <c r="Z275">
        <v>22694.67</v>
      </c>
      <c r="AA275">
        <v>15405.36</v>
      </c>
      <c r="AB275" s="2">
        <f t="shared" si="47"/>
        <v>7289.3100000000013</v>
      </c>
      <c r="AC275">
        <v>7289.31</v>
      </c>
      <c r="AD275" s="11">
        <f t="shared" si="54"/>
        <v>0.32119039404406413</v>
      </c>
      <c r="AE275" t="s">
        <v>33</v>
      </c>
      <c r="AF275" t="s">
        <v>104</v>
      </c>
    </row>
    <row r="276" spans="1:32">
      <c r="A276" t="s">
        <v>930</v>
      </c>
      <c r="B276" s="2" t="str">
        <f t="shared" si="44"/>
        <v>Unique</v>
      </c>
      <c r="C276" s="2" t="str">
        <f t="shared" si="48"/>
        <v>Apr</v>
      </c>
      <c r="D276" s="2">
        <f t="shared" si="49"/>
        <v>2024</v>
      </c>
      <c r="E276" s="4">
        <v>45389</v>
      </c>
      <c r="F276" s="4">
        <v>45396</v>
      </c>
      <c r="G276" s="6">
        <f t="shared" si="45"/>
        <v>7</v>
      </c>
      <c r="H276" s="6" t="str">
        <f t="shared" si="46"/>
        <v>Valid</v>
      </c>
      <c r="I276" t="s">
        <v>931</v>
      </c>
      <c r="J276" t="s">
        <v>142</v>
      </c>
      <c r="K276" t="s">
        <v>25</v>
      </c>
      <c r="L276" t="s">
        <v>55</v>
      </c>
      <c r="M276" t="s">
        <v>186</v>
      </c>
      <c r="O276" t="s">
        <v>75</v>
      </c>
      <c r="P276" t="s">
        <v>81</v>
      </c>
      <c r="Q276" t="s">
        <v>932</v>
      </c>
      <c r="R276" t="s">
        <v>60</v>
      </c>
      <c r="S276">
        <v>6</v>
      </c>
      <c r="T276">
        <v>4246.71</v>
      </c>
      <c r="U276" s="2">
        <f t="shared" si="50"/>
        <v>21658.221000000001</v>
      </c>
      <c r="V276" s="13">
        <v>0.15</v>
      </c>
      <c r="W276" s="2">
        <f t="shared" si="51"/>
        <v>0.15</v>
      </c>
      <c r="X276" s="2" t="str">
        <f t="shared" si="52"/>
        <v>Valid</v>
      </c>
      <c r="Y276" s="2" t="str">
        <f t="shared" si="53"/>
        <v>Clean</v>
      </c>
      <c r="Z276">
        <v>21658.22</v>
      </c>
      <c r="AA276">
        <v>15490.69</v>
      </c>
      <c r="AB276" s="2">
        <f t="shared" si="47"/>
        <v>6167.5310000000009</v>
      </c>
      <c r="AC276">
        <v>6167.53</v>
      </c>
      <c r="AD276" s="11">
        <f t="shared" si="54"/>
        <v>0.28476624579489906</v>
      </c>
      <c r="AE276" t="s">
        <v>156</v>
      </c>
      <c r="AF276" t="s">
        <v>104</v>
      </c>
    </row>
    <row r="277" spans="1:32">
      <c r="A277" t="s">
        <v>933</v>
      </c>
      <c r="B277" s="2" t="str">
        <f t="shared" si="44"/>
        <v>Unique</v>
      </c>
      <c r="C277" s="2" t="str">
        <f t="shared" si="48"/>
        <v>Feb</v>
      </c>
      <c r="D277" s="2">
        <f t="shared" si="49"/>
        <v>2024</v>
      </c>
      <c r="E277" s="4">
        <v>45337</v>
      </c>
      <c r="F277" s="4">
        <v>45344</v>
      </c>
      <c r="G277" s="6">
        <f t="shared" si="45"/>
        <v>7</v>
      </c>
      <c r="H277" s="6" t="str">
        <f t="shared" si="46"/>
        <v>Valid</v>
      </c>
      <c r="I277" t="s">
        <v>934</v>
      </c>
      <c r="J277" t="s">
        <v>115</v>
      </c>
      <c r="K277" t="s">
        <v>38</v>
      </c>
      <c r="L277" t="s">
        <v>39</v>
      </c>
      <c r="M277" t="s">
        <v>100</v>
      </c>
      <c r="O277" t="s">
        <v>42</v>
      </c>
      <c r="P277" t="s">
        <v>58</v>
      </c>
      <c r="Q277" t="s">
        <v>935</v>
      </c>
      <c r="R277" t="s">
        <v>45</v>
      </c>
      <c r="S277">
        <v>1</v>
      </c>
      <c r="T277">
        <v>980.51</v>
      </c>
      <c r="U277" s="2">
        <f t="shared" si="50"/>
        <v>980.51</v>
      </c>
      <c r="V277" s="13">
        <v>0</v>
      </c>
      <c r="W277" s="2">
        <f t="shared" si="51"/>
        <v>0</v>
      </c>
      <c r="X277" s="2" t="str">
        <f t="shared" si="52"/>
        <v>Valid</v>
      </c>
      <c r="Y277" s="2" t="str">
        <f t="shared" si="53"/>
        <v>Clean</v>
      </c>
      <c r="Z277">
        <v>980.51</v>
      </c>
      <c r="AA277">
        <v>660.92</v>
      </c>
      <c r="AB277" s="2">
        <f t="shared" si="47"/>
        <v>319.59000000000003</v>
      </c>
      <c r="AC277">
        <v>319.58999999999997</v>
      </c>
      <c r="AD277" s="11">
        <f t="shared" si="54"/>
        <v>0.32594262169687199</v>
      </c>
      <c r="AE277" t="s">
        <v>33</v>
      </c>
      <c r="AF277" t="s">
        <v>34</v>
      </c>
    </row>
    <row r="278" spans="1:32">
      <c r="A278" t="s">
        <v>936</v>
      </c>
      <c r="B278" s="2" t="str">
        <f t="shared" si="44"/>
        <v>Unique</v>
      </c>
      <c r="C278" s="2" t="str">
        <f t="shared" si="48"/>
        <v>Jan</v>
      </c>
      <c r="D278" s="2">
        <f t="shared" si="49"/>
        <v>2024</v>
      </c>
      <c r="E278" s="4">
        <v>45313</v>
      </c>
      <c r="F278" s="4">
        <v>45314</v>
      </c>
      <c r="G278" s="6">
        <f t="shared" si="45"/>
        <v>1</v>
      </c>
      <c r="H278" s="6" t="str">
        <f t="shared" si="46"/>
        <v>Valid</v>
      </c>
      <c r="I278" t="s">
        <v>937</v>
      </c>
      <c r="J278" t="s">
        <v>129</v>
      </c>
      <c r="K278" t="s">
        <v>38</v>
      </c>
      <c r="L278" s="2" t="s">
        <v>2793</v>
      </c>
      <c r="M278" t="s">
        <v>167</v>
      </c>
      <c r="O278" t="s">
        <v>42</v>
      </c>
      <c r="P278" t="s">
        <v>67</v>
      </c>
      <c r="Q278" t="s">
        <v>938</v>
      </c>
      <c r="R278" t="s">
        <v>32</v>
      </c>
      <c r="S278">
        <v>6</v>
      </c>
      <c r="T278">
        <v>3391.53</v>
      </c>
      <c r="U278" s="2" t="str">
        <f t="shared" si="50"/>
        <v>Invalid</v>
      </c>
      <c r="V278" s="13">
        <v>-0.14000000000000001</v>
      </c>
      <c r="W278" s="2" t="str">
        <f t="shared" si="51"/>
        <v>Invalid</v>
      </c>
      <c r="X278" s="2" t="str">
        <f t="shared" si="52"/>
        <v>Invalid</v>
      </c>
      <c r="Y278" s="2" t="str">
        <f t="shared" si="53"/>
        <v>Invalid</v>
      </c>
      <c r="Z278">
        <v>15261.89</v>
      </c>
      <c r="AA278">
        <v>8413.5300000000007</v>
      </c>
      <c r="AB278" s="2" t="str">
        <f t="shared" si="47"/>
        <v>Invalid</v>
      </c>
      <c r="AC278">
        <v>6848.36</v>
      </c>
      <c r="AD278" s="11">
        <f t="shared" si="54"/>
        <v>0.44872293012202291</v>
      </c>
      <c r="AE278" t="s">
        <v>33</v>
      </c>
      <c r="AF278" t="s">
        <v>34</v>
      </c>
    </row>
    <row r="279" spans="1:32">
      <c r="A279" t="s">
        <v>939</v>
      </c>
      <c r="B279" s="2" t="str">
        <f t="shared" si="44"/>
        <v>Unique</v>
      </c>
      <c r="C279" s="2" t="str">
        <f t="shared" si="48"/>
        <v>Jun</v>
      </c>
      <c r="D279" s="2">
        <f t="shared" si="49"/>
        <v>2025</v>
      </c>
      <c r="E279" s="4">
        <v>45812</v>
      </c>
      <c r="F279" s="4">
        <v>45812</v>
      </c>
      <c r="G279" s="6">
        <f t="shared" si="45"/>
        <v>0</v>
      </c>
      <c r="H279" s="6" t="str">
        <f t="shared" si="46"/>
        <v>Valid</v>
      </c>
      <c r="I279" t="s">
        <v>791</v>
      </c>
      <c r="J279" t="s">
        <v>48</v>
      </c>
      <c r="K279" t="s">
        <v>91</v>
      </c>
      <c r="L279" t="s">
        <v>26</v>
      </c>
      <c r="M279" t="s">
        <v>237</v>
      </c>
      <c r="O279" t="s">
        <v>75</v>
      </c>
      <c r="P279" t="s">
        <v>76</v>
      </c>
      <c r="Q279" t="s">
        <v>940</v>
      </c>
      <c r="R279" t="s">
        <v>32</v>
      </c>
      <c r="S279">
        <v>1</v>
      </c>
      <c r="T279">
        <v>2133.73</v>
      </c>
      <c r="U279" s="2">
        <f t="shared" si="50"/>
        <v>1813.6704999999999</v>
      </c>
      <c r="V279" s="13">
        <v>0.15</v>
      </c>
      <c r="W279" s="2">
        <f t="shared" si="51"/>
        <v>0.15</v>
      </c>
      <c r="X279" s="2" t="str">
        <f t="shared" si="52"/>
        <v>Valid</v>
      </c>
      <c r="Y279" s="2" t="str">
        <f t="shared" si="53"/>
        <v>Clean</v>
      </c>
      <c r="Z279">
        <v>2008.39</v>
      </c>
      <c r="AA279">
        <v>1002.57</v>
      </c>
      <c r="AB279" s="2">
        <f t="shared" si="47"/>
        <v>811.1004999999999</v>
      </c>
      <c r="AC279">
        <v>811.1</v>
      </c>
      <c r="AD279" s="11">
        <f t="shared" si="54"/>
        <v>0.40385582481490145</v>
      </c>
      <c r="AE279" t="s">
        <v>112</v>
      </c>
      <c r="AF279" t="s">
        <v>69</v>
      </c>
    </row>
    <row r="280" spans="1:32">
      <c r="A280" t="s">
        <v>941</v>
      </c>
      <c r="B280" s="2" t="str">
        <f t="shared" si="44"/>
        <v>Unique</v>
      </c>
      <c r="C280" s="2" t="str">
        <f t="shared" si="48"/>
        <v>Mar</v>
      </c>
      <c r="D280" s="2">
        <f t="shared" si="49"/>
        <v>2025</v>
      </c>
      <c r="E280" s="4">
        <v>45723</v>
      </c>
      <c r="F280" s="4">
        <v>45730</v>
      </c>
      <c r="G280" s="6">
        <f t="shared" si="45"/>
        <v>7</v>
      </c>
      <c r="H280" s="6" t="str">
        <f t="shared" si="46"/>
        <v>Valid</v>
      </c>
      <c r="I280" t="s">
        <v>942</v>
      </c>
      <c r="J280" t="s">
        <v>115</v>
      </c>
      <c r="K280" t="s">
        <v>38</v>
      </c>
      <c r="L280" t="s">
        <v>26</v>
      </c>
      <c r="M280" t="s">
        <v>351</v>
      </c>
      <c r="O280" t="s">
        <v>75</v>
      </c>
      <c r="P280" t="s">
        <v>76</v>
      </c>
      <c r="Q280" t="s">
        <v>943</v>
      </c>
      <c r="R280" t="s">
        <v>45</v>
      </c>
      <c r="S280">
        <v>1</v>
      </c>
      <c r="T280">
        <v>3979.64</v>
      </c>
      <c r="U280" s="2">
        <f t="shared" si="50"/>
        <v>3780.6579999999999</v>
      </c>
      <c r="V280" s="13">
        <v>0.05</v>
      </c>
      <c r="W280" s="2">
        <f t="shared" si="51"/>
        <v>0.05</v>
      </c>
      <c r="X280" s="2" t="str">
        <f t="shared" si="52"/>
        <v>Valid</v>
      </c>
      <c r="Y280" s="2" t="str">
        <f t="shared" si="53"/>
        <v>Clean</v>
      </c>
      <c r="Z280">
        <v>3780.66</v>
      </c>
      <c r="AA280">
        <v>2148.31</v>
      </c>
      <c r="AB280" s="2">
        <f t="shared" si="47"/>
        <v>1632.348</v>
      </c>
      <c r="AC280">
        <v>1632.35</v>
      </c>
      <c r="AD280" s="11">
        <f t="shared" si="54"/>
        <v>0.43176323710674858</v>
      </c>
      <c r="AE280" t="s">
        <v>33</v>
      </c>
      <c r="AF280" t="s">
        <v>104</v>
      </c>
    </row>
    <row r="281" spans="1:32">
      <c r="A281" t="s">
        <v>944</v>
      </c>
      <c r="B281" s="2" t="str">
        <f t="shared" si="44"/>
        <v>Unique</v>
      </c>
      <c r="C281" s="2" t="str">
        <f t="shared" si="48"/>
        <v>Apr</v>
      </c>
      <c r="D281" s="2">
        <f t="shared" si="49"/>
        <v>2024</v>
      </c>
      <c r="E281" s="4">
        <v>45391</v>
      </c>
      <c r="F281" s="4">
        <v>45392</v>
      </c>
      <c r="G281" s="6">
        <f t="shared" si="45"/>
        <v>1</v>
      </c>
      <c r="H281" s="6" t="str">
        <f t="shared" si="46"/>
        <v>Valid</v>
      </c>
      <c r="I281" t="s">
        <v>945</v>
      </c>
      <c r="J281" t="s">
        <v>142</v>
      </c>
      <c r="K281" t="s">
        <v>38</v>
      </c>
      <c r="L281" t="s">
        <v>64</v>
      </c>
      <c r="M281" t="s">
        <v>65</v>
      </c>
      <c r="O281" t="s">
        <v>29</v>
      </c>
      <c r="P281" t="s">
        <v>125</v>
      </c>
      <c r="Q281" t="s">
        <v>946</v>
      </c>
      <c r="R281" t="s">
        <v>51</v>
      </c>
      <c r="S281">
        <v>1</v>
      </c>
      <c r="T281">
        <v>4359.12</v>
      </c>
      <c r="U281" s="2">
        <f t="shared" si="50"/>
        <v>4141.1639999999998</v>
      </c>
      <c r="V281" s="13">
        <v>0.05</v>
      </c>
      <c r="W281" s="2">
        <f t="shared" si="51"/>
        <v>0.05</v>
      </c>
      <c r="X281" s="2" t="str">
        <f t="shared" si="52"/>
        <v>Valid</v>
      </c>
      <c r="Y281" s="2" t="str">
        <f t="shared" si="53"/>
        <v>Clean</v>
      </c>
      <c r="Z281">
        <v>4141.16</v>
      </c>
      <c r="AA281">
        <v>2754.17</v>
      </c>
      <c r="AB281" s="2">
        <f t="shared" si="47"/>
        <v>1386.9939999999997</v>
      </c>
      <c r="AC281">
        <v>1386.99</v>
      </c>
      <c r="AD281" s="11">
        <f t="shared" si="54"/>
        <v>0.33492789459958083</v>
      </c>
      <c r="AE281" t="s">
        <v>33</v>
      </c>
      <c r="AF281" t="s">
        <v>34</v>
      </c>
    </row>
    <row r="282" spans="1:32">
      <c r="A282" t="s">
        <v>947</v>
      </c>
      <c r="B282" s="2" t="str">
        <f t="shared" si="44"/>
        <v>Unique</v>
      </c>
      <c r="C282" s="2" t="str">
        <f t="shared" si="48"/>
        <v>Dec</v>
      </c>
      <c r="D282" s="2">
        <f t="shared" si="49"/>
        <v>2024</v>
      </c>
      <c r="E282" s="4">
        <v>45649</v>
      </c>
      <c r="F282" s="4">
        <v>45652</v>
      </c>
      <c r="G282" s="6">
        <f t="shared" si="45"/>
        <v>3</v>
      </c>
      <c r="H282" s="6" t="str">
        <f t="shared" si="46"/>
        <v>Valid</v>
      </c>
      <c r="I282" t="s">
        <v>948</v>
      </c>
      <c r="J282" t="s">
        <v>90</v>
      </c>
      <c r="K282" t="s">
        <v>25</v>
      </c>
      <c r="L282" t="s">
        <v>55</v>
      </c>
      <c r="M282" t="s">
        <v>176</v>
      </c>
      <c r="O282" t="s">
        <v>75</v>
      </c>
      <c r="P282" t="s">
        <v>81</v>
      </c>
      <c r="Q282" t="s">
        <v>949</v>
      </c>
      <c r="R282" t="s">
        <v>60</v>
      </c>
      <c r="S282">
        <v>9</v>
      </c>
      <c r="T282">
        <v>993.67</v>
      </c>
      <c r="U282" s="2">
        <f t="shared" si="50"/>
        <v>8943.0299999999988</v>
      </c>
      <c r="V282" s="13">
        <v>0</v>
      </c>
      <c r="W282" s="2">
        <f t="shared" si="51"/>
        <v>0</v>
      </c>
      <c r="X282" s="2" t="str">
        <f t="shared" si="52"/>
        <v>Valid</v>
      </c>
      <c r="Y282" s="2" t="str">
        <f t="shared" si="53"/>
        <v>Clean</v>
      </c>
      <c r="Z282">
        <v>8943.0300000000007</v>
      </c>
      <c r="AA282">
        <v>5165.38</v>
      </c>
      <c r="AB282" s="2">
        <f t="shared" si="47"/>
        <v>3777.6499999999987</v>
      </c>
      <c r="AC282">
        <v>3777.65</v>
      </c>
      <c r="AD282" s="11">
        <f t="shared" si="54"/>
        <v>0.42241276167026165</v>
      </c>
      <c r="AE282" t="s">
        <v>33</v>
      </c>
      <c r="AF282" t="s">
        <v>34</v>
      </c>
    </row>
    <row r="283" spans="1:32">
      <c r="A283" t="s">
        <v>950</v>
      </c>
      <c r="B283" s="2" t="str">
        <f t="shared" si="44"/>
        <v>Unique</v>
      </c>
      <c r="C283" s="2" t="str">
        <f t="shared" si="48"/>
        <v>Jul</v>
      </c>
      <c r="D283" s="2">
        <f t="shared" si="49"/>
        <v>2025</v>
      </c>
      <c r="E283" s="4">
        <v>45863</v>
      </c>
      <c r="F283" s="4">
        <v>45865</v>
      </c>
      <c r="G283" s="6">
        <f t="shared" si="45"/>
        <v>2</v>
      </c>
      <c r="H283" s="6" t="str">
        <f t="shared" si="46"/>
        <v>Valid</v>
      </c>
      <c r="I283" t="s">
        <v>951</v>
      </c>
      <c r="J283" t="s">
        <v>265</v>
      </c>
      <c r="K283" t="s">
        <v>25</v>
      </c>
      <c r="L283" t="s">
        <v>39</v>
      </c>
      <c r="M283" t="s">
        <v>229</v>
      </c>
      <c r="O283" t="s">
        <v>29</v>
      </c>
      <c r="P283" t="s">
        <v>154</v>
      </c>
      <c r="Q283" t="s">
        <v>952</v>
      </c>
      <c r="R283" t="s">
        <v>32</v>
      </c>
      <c r="S283">
        <v>6</v>
      </c>
      <c r="T283">
        <v>3438.38</v>
      </c>
      <c r="U283" s="2">
        <f t="shared" si="50"/>
        <v>16504.223999999998</v>
      </c>
      <c r="V283" s="13">
        <v>0.2</v>
      </c>
      <c r="W283" s="2">
        <f t="shared" si="51"/>
        <v>0.2</v>
      </c>
      <c r="X283" s="2" t="str">
        <f t="shared" si="52"/>
        <v>Valid</v>
      </c>
      <c r="Y283" s="2" t="str">
        <f t="shared" si="53"/>
        <v>Clean</v>
      </c>
      <c r="Z283">
        <v>16504.22</v>
      </c>
      <c r="AA283">
        <v>11262.71</v>
      </c>
      <c r="AB283" s="2">
        <f t="shared" si="47"/>
        <v>5241.5139999999992</v>
      </c>
      <c r="AC283">
        <v>5241.51</v>
      </c>
      <c r="AD283" s="11">
        <f t="shared" si="54"/>
        <v>0.31758604768962118</v>
      </c>
      <c r="AE283" t="s">
        <v>33</v>
      </c>
      <c r="AF283" t="s">
        <v>34</v>
      </c>
    </row>
    <row r="284" spans="1:32">
      <c r="A284" t="s">
        <v>953</v>
      </c>
      <c r="B284" s="2" t="str">
        <f t="shared" si="44"/>
        <v>Unique</v>
      </c>
      <c r="C284" s="2" t="str">
        <f t="shared" si="48"/>
        <v>Oct</v>
      </c>
      <c r="D284" s="2">
        <f t="shared" si="49"/>
        <v>2024</v>
      </c>
      <c r="E284" s="4">
        <v>45566</v>
      </c>
      <c r="F284" s="4">
        <v>45567</v>
      </c>
      <c r="G284" s="6">
        <f t="shared" si="45"/>
        <v>1</v>
      </c>
      <c r="H284" s="6" t="str">
        <f t="shared" si="46"/>
        <v>Valid</v>
      </c>
      <c r="I284" t="s">
        <v>954</v>
      </c>
      <c r="J284" t="s">
        <v>24</v>
      </c>
      <c r="K284" t="s">
        <v>96</v>
      </c>
      <c r="L284" t="s">
        <v>39</v>
      </c>
      <c r="M284" t="s">
        <v>167</v>
      </c>
      <c r="O284" t="s">
        <v>42</v>
      </c>
      <c r="P284" t="s">
        <v>43</v>
      </c>
      <c r="Q284" t="s">
        <v>955</v>
      </c>
      <c r="R284" t="s">
        <v>32</v>
      </c>
      <c r="S284">
        <v>2</v>
      </c>
      <c r="T284">
        <v>2298</v>
      </c>
      <c r="U284" s="2">
        <f t="shared" si="50"/>
        <v>4596</v>
      </c>
      <c r="V284" s="13">
        <v>0</v>
      </c>
      <c r="W284" s="2">
        <f t="shared" si="51"/>
        <v>0</v>
      </c>
      <c r="X284" s="2" t="str">
        <f t="shared" si="52"/>
        <v>Valid</v>
      </c>
      <c r="Y284" s="2" t="str">
        <f t="shared" si="53"/>
        <v>Clean</v>
      </c>
      <c r="Z284">
        <v>4596</v>
      </c>
      <c r="AA284">
        <v>3220.33</v>
      </c>
      <c r="AB284" s="2">
        <f t="shared" si="47"/>
        <v>1375.67</v>
      </c>
      <c r="AC284">
        <v>1375.67</v>
      </c>
      <c r="AD284" s="11">
        <f t="shared" si="54"/>
        <v>0.29931897302001742</v>
      </c>
      <c r="AE284" t="s">
        <v>33</v>
      </c>
      <c r="AF284" t="s">
        <v>34</v>
      </c>
    </row>
    <row r="285" spans="1:32">
      <c r="A285" t="s">
        <v>956</v>
      </c>
      <c r="B285" s="2" t="str">
        <f t="shared" si="44"/>
        <v>Unique</v>
      </c>
      <c r="C285" s="2" t="str">
        <f t="shared" si="48"/>
        <v>Mar</v>
      </c>
      <c r="D285" s="2">
        <f t="shared" si="49"/>
        <v>2025</v>
      </c>
      <c r="E285" s="4">
        <v>45729</v>
      </c>
      <c r="F285" s="4">
        <v>45736</v>
      </c>
      <c r="G285" s="6">
        <f t="shared" si="45"/>
        <v>7</v>
      </c>
      <c r="H285" s="6" t="str">
        <f t="shared" si="46"/>
        <v>Valid</v>
      </c>
      <c r="I285" t="s">
        <v>957</v>
      </c>
      <c r="J285" t="s">
        <v>72</v>
      </c>
      <c r="K285" t="s">
        <v>25</v>
      </c>
      <c r="L285" t="s">
        <v>64</v>
      </c>
      <c r="M285" t="s">
        <v>65</v>
      </c>
      <c r="O285" t="s">
        <v>42</v>
      </c>
      <c r="P285" t="s">
        <v>58</v>
      </c>
      <c r="Q285" t="s">
        <v>958</v>
      </c>
      <c r="R285" t="s">
        <v>51</v>
      </c>
      <c r="S285">
        <v>1</v>
      </c>
      <c r="T285">
        <v>1814.01</v>
      </c>
      <c r="U285" s="2">
        <f t="shared" si="50"/>
        <v>1814.01</v>
      </c>
      <c r="V285" s="13">
        <v>0</v>
      </c>
      <c r="W285" s="2">
        <f t="shared" si="51"/>
        <v>0</v>
      </c>
      <c r="X285" s="2" t="str">
        <f t="shared" si="52"/>
        <v>Valid</v>
      </c>
      <c r="Y285" s="2" t="str">
        <f t="shared" si="53"/>
        <v>Clean</v>
      </c>
      <c r="Z285">
        <v>1814.01</v>
      </c>
      <c r="AA285">
        <v>1033.47</v>
      </c>
      <c r="AB285" s="2">
        <f t="shared" si="47"/>
        <v>780.54</v>
      </c>
      <c r="AC285">
        <v>780.54</v>
      </c>
      <c r="AD285" s="11">
        <f t="shared" si="54"/>
        <v>0.43028428729720342</v>
      </c>
      <c r="AE285" t="s">
        <v>33</v>
      </c>
      <c r="AF285" t="s">
        <v>34</v>
      </c>
    </row>
    <row r="286" spans="1:32">
      <c r="A286" t="s">
        <v>959</v>
      </c>
      <c r="B286" s="2" t="str">
        <f t="shared" si="44"/>
        <v>Unique</v>
      </c>
      <c r="C286" s="2" t="str">
        <f t="shared" si="48"/>
        <v>Dec</v>
      </c>
      <c r="D286" s="2">
        <f t="shared" si="49"/>
        <v>2024</v>
      </c>
      <c r="E286" s="4">
        <v>45634</v>
      </c>
      <c r="F286" s="4">
        <v>45640</v>
      </c>
      <c r="G286" s="6">
        <f t="shared" si="45"/>
        <v>6</v>
      </c>
      <c r="H286" s="6" t="str">
        <f t="shared" si="46"/>
        <v>Valid</v>
      </c>
      <c r="I286" t="s">
        <v>960</v>
      </c>
      <c r="J286" t="s">
        <v>24</v>
      </c>
      <c r="K286" t="s">
        <v>25</v>
      </c>
      <c r="L286" t="s">
        <v>39</v>
      </c>
      <c r="M286" t="s">
        <v>40</v>
      </c>
      <c r="O286" t="s">
        <v>42</v>
      </c>
      <c r="P286" t="s">
        <v>43</v>
      </c>
      <c r="Q286" t="s">
        <v>961</v>
      </c>
      <c r="R286" t="s">
        <v>45</v>
      </c>
      <c r="S286">
        <v>3</v>
      </c>
      <c r="T286">
        <v>1576.92</v>
      </c>
      <c r="U286" s="2">
        <f t="shared" si="50"/>
        <v>4730.76</v>
      </c>
      <c r="V286" s="13">
        <v>0</v>
      </c>
      <c r="W286" s="2">
        <f t="shared" si="51"/>
        <v>0</v>
      </c>
      <c r="X286" s="2" t="str">
        <f t="shared" si="52"/>
        <v>Valid</v>
      </c>
      <c r="Y286" s="2" t="str">
        <f t="shared" si="53"/>
        <v>Clean</v>
      </c>
      <c r="Z286">
        <v>4730.76</v>
      </c>
      <c r="AA286">
        <v>3139.73</v>
      </c>
      <c r="AB286" s="2">
        <f t="shared" si="47"/>
        <v>1591.0300000000002</v>
      </c>
      <c r="AC286">
        <v>1591.03</v>
      </c>
      <c r="AD286" s="11">
        <f t="shared" si="54"/>
        <v>0.3363159407790714</v>
      </c>
      <c r="AE286" t="s">
        <v>33</v>
      </c>
      <c r="AF286" t="s">
        <v>104</v>
      </c>
    </row>
    <row r="287" spans="1:32">
      <c r="A287" t="s">
        <v>962</v>
      </c>
      <c r="B287" s="2" t="str">
        <f t="shared" si="44"/>
        <v>Unique</v>
      </c>
      <c r="C287" s="2" t="str">
        <f t="shared" si="48"/>
        <v>Aug</v>
      </c>
      <c r="D287" s="2">
        <f t="shared" si="49"/>
        <v>2025</v>
      </c>
      <c r="E287" s="4">
        <v>45884</v>
      </c>
      <c r="F287" s="4">
        <v>45889</v>
      </c>
      <c r="G287" s="6">
        <f t="shared" si="45"/>
        <v>5</v>
      </c>
      <c r="H287" s="6" t="str">
        <f t="shared" si="46"/>
        <v>Valid</v>
      </c>
      <c r="I287" t="s">
        <v>963</v>
      </c>
      <c r="J287" t="s">
        <v>80</v>
      </c>
      <c r="K287" t="s">
        <v>96</v>
      </c>
      <c r="L287" t="s">
        <v>26</v>
      </c>
      <c r="M287" t="s">
        <v>27</v>
      </c>
      <c r="O287" t="s">
        <v>29</v>
      </c>
      <c r="P287" t="s">
        <v>125</v>
      </c>
      <c r="Q287" t="s">
        <v>964</v>
      </c>
      <c r="R287" t="s">
        <v>60</v>
      </c>
      <c r="S287">
        <v>9</v>
      </c>
      <c r="T287">
        <v>4081.77</v>
      </c>
      <c r="U287" s="2">
        <f t="shared" si="50"/>
        <v>36735.93</v>
      </c>
      <c r="V287" s="13">
        <v>0</v>
      </c>
      <c r="W287" s="2">
        <f t="shared" si="51"/>
        <v>0</v>
      </c>
      <c r="X287" s="2" t="str">
        <f t="shared" si="52"/>
        <v>Valid</v>
      </c>
      <c r="Y287" s="2" t="str">
        <f t="shared" si="53"/>
        <v>Clean</v>
      </c>
      <c r="Z287">
        <v>36735.93</v>
      </c>
      <c r="AA287">
        <v>30820.84</v>
      </c>
      <c r="AB287" s="2">
        <f t="shared" si="47"/>
        <v>5915.09</v>
      </c>
      <c r="AC287">
        <v>5915.09</v>
      </c>
      <c r="AD287" s="11">
        <f t="shared" si="54"/>
        <v>0.16101647624001897</v>
      </c>
      <c r="AE287" t="s">
        <v>33</v>
      </c>
      <c r="AF287" t="s">
        <v>34</v>
      </c>
    </row>
    <row r="288" spans="1:32">
      <c r="A288" t="s">
        <v>965</v>
      </c>
      <c r="B288" s="2" t="str">
        <f t="shared" si="44"/>
        <v>Unique</v>
      </c>
      <c r="C288" s="2" t="str">
        <f t="shared" si="48"/>
        <v>Feb</v>
      </c>
      <c r="D288" s="2">
        <f t="shared" si="49"/>
        <v>2024</v>
      </c>
      <c r="E288" s="4">
        <v>45350</v>
      </c>
      <c r="F288" s="4">
        <v>45353</v>
      </c>
      <c r="G288" s="6">
        <f t="shared" si="45"/>
        <v>3</v>
      </c>
      <c r="H288" s="6" t="str">
        <f t="shared" si="46"/>
        <v>Valid</v>
      </c>
      <c r="I288" t="s">
        <v>966</v>
      </c>
      <c r="J288" t="s">
        <v>115</v>
      </c>
      <c r="K288" t="s">
        <v>38</v>
      </c>
      <c r="L288" t="s">
        <v>26</v>
      </c>
      <c r="M288" t="s">
        <v>351</v>
      </c>
      <c r="O288" t="s">
        <v>42</v>
      </c>
      <c r="P288" t="s">
        <v>58</v>
      </c>
      <c r="Q288" t="s">
        <v>967</v>
      </c>
      <c r="R288" t="s">
        <v>51</v>
      </c>
      <c r="S288">
        <v>7</v>
      </c>
      <c r="T288">
        <v>701.8</v>
      </c>
      <c r="U288" s="2">
        <f t="shared" si="50"/>
        <v>4421.3399999999992</v>
      </c>
      <c r="V288" s="13">
        <v>0.1</v>
      </c>
      <c r="W288" s="2">
        <f t="shared" si="51"/>
        <v>0.1</v>
      </c>
      <c r="X288" s="2" t="str">
        <f t="shared" si="52"/>
        <v>Valid</v>
      </c>
      <c r="Y288" s="2" t="str">
        <f t="shared" si="53"/>
        <v>Clean</v>
      </c>
      <c r="Z288">
        <v>4421.34</v>
      </c>
      <c r="AA288">
        <v>2489.98</v>
      </c>
      <c r="AB288" s="2">
        <f t="shared" si="47"/>
        <v>1931.3599999999992</v>
      </c>
      <c r="AC288">
        <v>1931.36</v>
      </c>
      <c r="AD288" s="11">
        <f t="shared" si="54"/>
        <v>0.43682684435035529</v>
      </c>
      <c r="AE288" t="s">
        <v>112</v>
      </c>
      <c r="AF288" t="s">
        <v>104</v>
      </c>
    </row>
    <row r="289" spans="1:32">
      <c r="A289" t="s">
        <v>968</v>
      </c>
      <c r="B289" s="2" t="str">
        <f t="shared" si="44"/>
        <v>Unique</v>
      </c>
      <c r="C289" s="2" t="str">
        <f t="shared" si="48"/>
        <v>Sep</v>
      </c>
      <c r="D289" s="2">
        <f t="shared" si="49"/>
        <v>2024</v>
      </c>
      <c r="E289" s="4">
        <v>45540</v>
      </c>
      <c r="F289" s="4">
        <v>45542</v>
      </c>
      <c r="G289" s="6">
        <f t="shared" si="45"/>
        <v>2</v>
      </c>
      <c r="H289" s="6" t="str">
        <f t="shared" si="46"/>
        <v>Valid</v>
      </c>
      <c r="I289" t="s">
        <v>969</v>
      </c>
      <c r="J289" t="s">
        <v>80</v>
      </c>
      <c r="K289" t="s">
        <v>38</v>
      </c>
      <c r="L289" t="s">
        <v>55</v>
      </c>
      <c r="M289" t="s">
        <v>248</v>
      </c>
      <c r="O289" t="s">
        <v>75</v>
      </c>
      <c r="P289" t="s">
        <v>81</v>
      </c>
      <c r="Q289" t="s">
        <v>970</v>
      </c>
      <c r="R289" t="s">
        <v>60</v>
      </c>
      <c r="S289">
        <v>3</v>
      </c>
      <c r="T289">
        <v>2555.66</v>
      </c>
      <c r="U289" s="2">
        <f t="shared" si="50"/>
        <v>6516.9329999999991</v>
      </c>
      <c r="V289" s="13">
        <v>0.15</v>
      </c>
      <c r="W289" s="2">
        <f t="shared" si="51"/>
        <v>0.15</v>
      </c>
      <c r="X289" s="2" t="str">
        <f t="shared" si="52"/>
        <v>Valid</v>
      </c>
      <c r="Y289" s="2" t="str">
        <f t="shared" si="53"/>
        <v>Clean</v>
      </c>
      <c r="Z289">
        <v>6516.93</v>
      </c>
      <c r="AA289">
        <v>4511.54</v>
      </c>
      <c r="AB289" s="2">
        <f t="shared" si="47"/>
        <v>2005.3929999999991</v>
      </c>
      <c r="AC289">
        <v>2005.39</v>
      </c>
      <c r="AD289" s="11">
        <f t="shared" si="54"/>
        <v>0.30772004609532405</v>
      </c>
      <c r="AE289" t="s">
        <v>33</v>
      </c>
      <c r="AF289" t="s">
        <v>69</v>
      </c>
    </row>
    <row r="290" spans="1:32">
      <c r="A290" t="s">
        <v>971</v>
      </c>
      <c r="B290" s="2" t="str">
        <f t="shared" si="44"/>
        <v>Unique</v>
      </c>
      <c r="C290" s="2" t="str">
        <f t="shared" si="48"/>
        <v>Jun</v>
      </c>
      <c r="D290" s="2">
        <f t="shared" si="49"/>
        <v>2024</v>
      </c>
      <c r="E290" s="4">
        <v>45467</v>
      </c>
      <c r="F290" s="4">
        <v>45467</v>
      </c>
      <c r="G290" s="6">
        <f t="shared" si="45"/>
        <v>0</v>
      </c>
      <c r="H290" s="6" t="str">
        <f t="shared" si="46"/>
        <v>Valid</v>
      </c>
      <c r="I290" t="s">
        <v>972</v>
      </c>
      <c r="J290" t="s">
        <v>142</v>
      </c>
      <c r="K290" t="s">
        <v>38</v>
      </c>
      <c r="L290" t="s">
        <v>39</v>
      </c>
      <c r="M290" t="s">
        <v>146</v>
      </c>
      <c r="O290" t="s">
        <v>29</v>
      </c>
      <c r="P290" t="s">
        <v>154</v>
      </c>
      <c r="Q290" t="s">
        <v>973</v>
      </c>
      <c r="R290" t="s">
        <v>45</v>
      </c>
      <c r="S290">
        <v>2</v>
      </c>
      <c r="T290">
        <v>4359.8999999999996</v>
      </c>
      <c r="U290" s="2">
        <f t="shared" si="50"/>
        <v>7411.829999999999</v>
      </c>
      <c r="V290" s="13">
        <v>0.15</v>
      </c>
      <c r="W290" s="2">
        <f t="shared" si="51"/>
        <v>0.15</v>
      </c>
      <c r="X290" s="2" t="str">
        <f t="shared" si="52"/>
        <v>Valid</v>
      </c>
      <c r="Y290" s="2" t="str">
        <f t="shared" si="53"/>
        <v>Clean</v>
      </c>
      <c r="Z290">
        <v>7411.83</v>
      </c>
      <c r="AA290">
        <v>4904.63</v>
      </c>
      <c r="AB290" s="2">
        <f t="shared" si="47"/>
        <v>2507.1999999999989</v>
      </c>
      <c r="AC290">
        <v>2507.1999999999998</v>
      </c>
      <c r="AD290" s="11">
        <f t="shared" si="54"/>
        <v>0.33827003587508075</v>
      </c>
      <c r="AE290" t="s">
        <v>33</v>
      </c>
      <c r="AF290" t="s">
        <v>34</v>
      </c>
    </row>
    <row r="291" spans="1:32">
      <c r="A291" t="s">
        <v>974</v>
      </c>
      <c r="B291" s="2" t="str">
        <f t="shared" si="44"/>
        <v>Unique</v>
      </c>
      <c r="C291" s="2" t="str">
        <f t="shared" si="48"/>
        <v>Jun</v>
      </c>
      <c r="D291" s="2">
        <f t="shared" si="49"/>
        <v>2025</v>
      </c>
      <c r="E291" s="4">
        <v>45827</v>
      </c>
      <c r="F291" s="4">
        <v>45835</v>
      </c>
      <c r="G291" s="6">
        <f t="shared" si="45"/>
        <v>8</v>
      </c>
      <c r="H291" s="6" t="str">
        <f t="shared" si="46"/>
        <v>Valid</v>
      </c>
      <c r="I291" t="s">
        <v>975</v>
      </c>
      <c r="J291" t="s">
        <v>24</v>
      </c>
      <c r="K291" t="s">
        <v>96</v>
      </c>
      <c r="L291" t="s">
        <v>55</v>
      </c>
      <c r="M291" t="s">
        <v>248</v>
      </c>
      <c r="O291" t="s">
        <v>42</v>
      </c>
      <c r="P291" t="s">
        <v>159</v>
      </c>
      <c r="Q291" t="s">
        <v>976</v>
      </c>
      <c r="R291" t="s">
        <v>51</v>
      </c>
      <c r="S291">
        <v>2</v>
      </c>
      <c r="T291">
        <v>4346.6899999999996</v>
      </c>
      <c r="U291" s="2">
        <f t="shared" si="50"/>
        <v>8258.7109999999993</v>
      </c>
      <c r="V291" s="13">
        <v>0.05</v>
      </c>
      <c r="W291" s="2">
        <f t="shared" si="51"/>
        <v>0.05</v>
      </c>
      <c r="X291" s="2" t="str">
        <f t="shared" si="52"/>
        <v>Valid</v>
      </c>
      <c r="Y291" s="2" t="str">
        <f t="shared" si="53"/>
        <v>Clean</v>
      </c>
      <c r="Z291">
        <v>8258.7099999999991</v>
      </c>
      <c r="AA291">
        <v>7018.97</v>
      </c>
      <c r="AB291" s="2">
        <f t="shared" si="47"/>
        <v>1239.7409999999991</v>
      </c>
      <c r="AC291">
        <v>1239.74</v>
      </c>
      <c r="AD291" s="11">
        <f t="shared" si="54"/>
        <v>0.15011303218057059</v>
      </c>
      <c r="AE291" t="s">
        <v>33</v>
      </c>
      <c r="AF291" t="s">
        <v>34</v>
      </c>
    </row>
    <row r="292" spans="1:32">
      <c r="A292" t="s">
        <v>977</v>
      </c>
      <c r="B292" s="2" t="str">
        <f t="shared" si="44"/>
        <v>Unique</v>
      </c>
      <c r="C292" s="2" t="str">
        <f t="shared" si="48"/>
        <v>Aug</v>
      </c>
      <c r="D292" s="2">
        <f t="shared" si="49"/>
        <v>2025</v>
      </c>
      <c r="E292" s="4">
        <v>45891</v>
      </c>
      <c r="F292" s="4">
        <v>45895</v>
      </c>
      <c r="G292" s="6">
        <f t="shared" si="45"/>
        <v>4</v>
      </c>
      <c r="H292" s="6" t="str">
        <f t="shared" si="46"/>
        <v>Valid</v>
      </c>
      <c r="I292" t="s">
        <v>978</v>
      </c>
      <c r="J292" t="s">
        <v>163</v>
      </c>
      <c r="K292" t="s">
        <v>96</v>
      </c>
      <c r="L292" t="s">
        <v>39</v>
      </c>
      <c r="M292" t="s">
        <v>229</v>
      </c>
      <c r="O292" t="s">
        <v>42</v>
      </c>
      <c r="P292" t="s">
        <v>43</v>
      </c>
      <c r="Q292" t="s">
        <v>979</v>
      </c>
      <c r="R292" t="s">
        <v>60</v>
      </c>
      <c r="S292">
        <v>1</v>
      </c>
      <c r="T292">
        <v>1842.63</v>
      </c>
      <c r="U292" s="2">
        <f t="shared" si="50"/>
        <v>1658.3670000000002</v>
      </c>
      <c r="V292" s="13">
        <v>0.1</v>
      </c>
      <c r="W292" s="2">
        <f t="shared" si="51"/>
        <v>0.1</v>
      </c>
      <c r="X292" s="2" t="str">
        <f t="shared" si="52"/>
        <v>Valid</v>
      </c>
      <c r="Y292" s="2" t="str">
        <f t="shared" si="53"/>
        <v>Clean</v>
      </c>
      <c r="Z292">
        <v>1658.37</v>
      </c>
      <c r="AA292">
        <v>971.12</v>
      </c>
      <c r="AB292" s="2">
        <f t="shared" si="47"/>
        <v>687.24700000000018</v>
      </c>
      <c r="AC292">
        <v>687.25</v>
      </c>
      <c r="AD292" s="11">
        <f t="shared" si="54"/>
        <v>0.41441294765341874</v>
      </c>
      <c r="AE292" t="s">
        <v>33</v>
      </c>
      <c r="AF292" t="s">
        <v>34</v>
      </c>
    </row>
    <row r="293" spans="1:32">
      <c r="A293" t="s">
        <v>980</v>
      </c>
      <c r="B293" s="2" t="str">
        <f t="shared" si="44"/>
        <v>Unique</v>
      </c>
      <c r="C293" s="2" t="str">
        <f t="shared" si="48"/>
        <v>Apr</v>
      </c>
      <c r="D293" s="2">
        <f t="shared" si="49"/>
        <v>2024</v>
      </c>
      <c r="E293" s="4">
        <v>45387</v>
      </c>
      <c r="F293" s="4">
        <v>45392</v>
      </c>
      <c r="G293" s="6">
        <f t="shared" si="45"/>
        <v>5</v>
      </c>
      <c r="H293" s="6" t="str">
        <f t="shared" si="46"/>
        <v>Valid</v>
      </c>
      <c r="I293" t="s">
        <v>981</v>
      </c>
      <c r="J293" t="s">
        <v>115</v>
      </c>
      <c r="K293" t="s">
        <v>96</v>
      </c>
      <c r="L293" t="s">
        <v>26</v>
      </c>
      <c r="M293" t="s">
        <v>27</v>
      </c>
      <c r="O293" t="s">
        <v>29</v>
      </c>
      <c r="P293" t="s">
        <v>154</v>
      </c>
      <c r="Q293" t="s">
        <v>982</v>
      </c>
      <c r="R293" t="s">
        <v>60</v>
      </c>
      <c r="S293">
        <v>4</v>
      </c>
      <c r="T293">
        <v>3228.66</v>
      </c>
      <c r="U293" s="2">
        <f t="shared" si="50"/>
        <v>9685.98</v>
      </c>
      <c r="V293" s="13">
        <v>0.25</v>
      </c>
      <c r="W293" s="2">
        <f t="shared" si="51"/>
        <v>0.25</v>
      </c>
      <c r="X293" s="2" t="str">
        <f t="shared" si="52"/>
        <v>Valid</v>
      </c>
      <c r="Y293" s="2" t="str">
        <f t="shared" si="53"/>
        <v>Clean</v>
      </c>
      <c r="Z293">
        <v>9685.98</v>
      </c>
      <c r="AA293">
        <v>7730.04</v>
      </c>
      <c r="AB293" s="2">
        <f t="shared" si="47"/>
        <v>1955.9399999999996</v>
      </c>
      <c r="AC293">
        <v>1955.94</v>
      </c>
      <c r="AD293" s="11">
        <f t="shared" si="54"/>
        <v>0.20193516815025431</v>
      </c>
      <c r="AE293" t="s">
        <v>33</v>
      </c>
      <c r="AF293" t="s">
        <v>34</v>
      </c>
    </row>
    <row r="294" spans="1:32">
      <c r="A294" t="s">
        <v>983</v>
      </c>
      <c r="B294" s="2" t="str">
        <f t="shared" si="44"/>
        <v>Unique</v>
      </c>
      <c r="C294" s="2" t="str">
        <f t="shared" si="48"/>
        <v>Feb</v>
      </c>
      <c r="D294" s="2">
        <f t="shared" si="49"/>
        <v>2025</v>
      </c>
      <c r="E294" s="4">
        <v>45716</v>
      </c>
      <c r="F294" s="4">
        <v>45719</v>
      </c>
      <c r="G294" s="6">
        <f t="shared" si="45"/>
        <v>3</v>
      </c>
      <c r="H294" s="6" t="str">
        <f t="shared" si="46"/>
        <v>Valid</v>
      </c>
      <c r="I294" t="s">
        <v>984</v>
      </c>
      <c r="J294" t="s">
        <v>265</v>
      </c>
      <c r="K294" t="s">
        <v>96</v>
      </c>
      <c r="L294" t="s">
        <v>26</v>
      </c>
      <c r="M294" t="s">
        <v>237</v>
      </c>
      <c r="O294" t="s">
        <v>29</v>
      </c>
      <c r="P294" t="s">
        <v>49</v>
      </c>
      <c r="Q294" t="s">
        <v>985</v>
      </c>
      <c r="R294" t="s">
        <v>45</v>
      </c>
      <c r="S294">
        <v>9</v>
      </c>
      <c r="T294">
        <v>3748.95</v>
      </c>
      <c r="U294" s="2">
        <f t="shared" si="50"/>
        <v>33740.549999999996</v>
      </c>
      <c r="V294" s="13">
        <v>0</v>
      </c>
      <c r="W294" s="2">
        <f t="shared" si="51"/>
        <v>0</v>
      </c>
      <c r="X294" s="2" t="str">
        <f t="shared" si="52"/>
        <v>Valid</v>
      </c>
      <c r="Y294" s="2" t="str">
        <f t="shared" si="53"/>
        <v>Clean</v>
      </c>
      <c r="Z294">
        <v>33740.550000000003</v>
      </c>
      <c r="AA294">
        <v>24621.89</v>
      </c>
      <c r="AB294" s="2">
        <f t="shared" si="47"/>
        <v>9118.6599999999962</v>
      </c>
      <c r="AC294">
        <v>9118.66</v>
      </c>
      <c r="AD294" s="11">
        <f t="shared" si="54"/>
        <v>0.27025819081194585</v>
      </c>
      <c r="AE294" t="s">
        <v>112</v>
      </c>
      <c r="AF294" t="s">
        <v>69</v>
      </c>
    </row>
    <row r="295" spans="1:32">
      <c r="A295" t="s">
        <v>986</v>
      </c>
      <c r="B295" s="2" t="str">
        <f t="shared" si="44"/>
        <v>Unique</v>
      </c>
      <c r="C295" s="2" t="str">
        <f t="shared" si="48"/>
        <v>Mar</v>
      </c>
      <c r="D295" s="2">
        <f t="shared" si="49"/>
        <v>2024</v>
      </c>
      <c r="E295" s="4">
        <v>45358</v>
      </c>
      <c r="F295" s="4">
        <v>45362</v>
      </c>
      <c r="G295" s="6">
        <f t="shared" si="45"/>
        <v>4</v>
      </c>
      <c r="H295" s="6" t="str">
        <f t="shared" si="46"/>
        <v>Valid</v>
      </c>
      <c r="I295" t="s">
        <v>987</v>
      </c>
      <c r="J295" t="s">
        <v>54</v>
      </c>
      <c r="K295" t="s">
        <v>96</v>
      </c>
      <c r="L295" t="s">
        <v>55</v>
      </c>
      <c r="M295" t="s">
        <v>56</v>
      </c>
      <c r="O295" t="s">
        <v>75</v>
      </c>
      <c r="P295" t="s">
        <v>172</v>
      </c>
      <c r="Q295" t="s">
        <v>988</v>
      </c>
      <c r="R295" t="s">
        <v>51</v>
      </c>
      <c r="S295">
        <v>2</v>
      </c>
      <c r="T295">
        <v>4401.51</v>
      </c>
      <c r="U295" s="2">
        <f t="shared" si="50"/>
        <v>3081.0569999999998</v>
      </c>
      <c r="V295" s="13">
        <v>0.65</v>
      </c>
      <c r="W295" s="2">
        <f t="shared" si="51"/>
        <v>0.65</v>
      </c>
      <c r="X295" s="2" t="str">
        <f t="shared" si="52"/>
        <v>Valid</v>
      </c>
      <c r="Y295" s="2" t="str">
        <f t="shared" si="53"/>
        <v>Clean</v>
      </c>
      <c r="Z295">
        <v>8362.8700000000008</v>
      </c>
      <c r="AA295">
        <v>6541.04</v>
      </c>
      <c r="AB295" s="2">
        <f t="shared" si="47"/>
        <v>-3459.9830000000002</v>
      </c>
      <c r="AC295">
        <v>1821.83</v>
      </c>
      <c r="AD295" s="11">
        <f t="shared" si="54"/>
        <v>0.21784746145760961</v>
      </c>
      <c r="AE295" t="s">
        <v>33</v>
      </c>
      <c r="AF295" t="s">
        <v>34</v>
      </c>
    </row>
    <row r="296" spans="1:32">
      <c r="A296" t="s">
        <v>989</v>
      </c>
      <c r="B296" s="2" t="str">
        <f t="shared" si="44"/>
        <v>Unique</v>
      </c>
      <c r="C296" s="2" t="str">
        <f t="shared" si="48"/>
        <v>Jul</v>
      </c>
      <c r="D296" s="2">
        <f t="shared" si="49"/>
        <v>2025</v>
      </c>
      <c r="E296" s="4">
        <v>45854</v>
      </c>
      <c r="F296" s="4">
        <v>45860</v>
      </c>
      <c r="G296" s="6">
        <f t="shared" si="45"/>
        <v>6</v>
      </c>
      <c r="H296" s="6" t="str">
        <f t="shared" si="46"/>
        <v>Valid</v>
      </c>
      <c r="I296" t="s">
        <v>990</v>
      </c>
      <c r="J296" t="s">
        <v>115</v>
      </c>
      <c r="K296" t="s">
        <v>25</v>
      </c>
      <c r="L296" t="s">
        <v>39</v>
      </c>
      <c r="M296" t="s">
        <v>40</v>
      </c>
      <c r="O296" t="s">
        <v>75</v>
      </c>
      <c r="P296" t="s">
        <v>172</v>
      </c>
      <c r="Q296" t="s">
        <v>991</v>
      </c>
      <c r="R296" t="s">
        <v>32</v>
      </c>
      <c r="S296">
        <v>6</v>
      </c>
      <c r="T296">
        <v>4159.33</v>
      </c>
      <c r="U296" s="2">
        <f t="shared" si="50"/>
        <v>18716.985000000001</v>
      </c>
      <c r="V296" s="13">
        <v>0.25</v>
      </c>
      <c r="W296" s="2">
        <f t="shared" si="51"/>
        <v>0.25</v>
      </c>
      <c r="X296" s="2" t="str">
        <f t="shared" si="52"/>
        <v>Valid</v>
      </c>
      <c r="Y296" s="2" t="str">
        <f t="shared" si="53"/>
        <v>Clean</v>
      </c>
      <c r="Z296">
        <v>18716.990000000002</v>
      </c>
      <c r="AA296">
        <v>12282.43</v>
      </c>
      <c r="AB296" s="2">
        <f t="shared" si="47"/>
        <v>6434.5550000000003</v>
      </c>
      <c r="AC296">
        <v>6434.56</v>
      </c>
      <c r="AD296" s="11">
        <f t="shared" si="54"/>
        <v>0.34378177260339404</v>
      </c>
      <c r="AE296" t="s">
        <v>33</v>
      </c>
      <c r="AF296" t="s">
        <v>104</v>
      </c>
    </row>
    <row r="297" spans="1:32">
      <c r="A297" t="s">
        <v>992</v>
      </c>
      <c r="B297" s="2" t="str">
        <f t="shared" si="44"/>
        <v>Unique</v>
      </c>
      <c r="C297" s="2" t="str">
        <f t="shared" si="48"/>
        <v>Jun</v>
      </c>
      <c r="D297" s="2">
        <f t="shared" si="49"/>
        <v>2025</v>
      </c>
      <c r="E297" s="4">
        <v>45833</v>
      </c>
      <c r="F297" s="4">
        <v>45836</v>
      </c>
      <c r="G297" s="6">
        <f t="shared" si="45"/>
        <v>3</v>
      </c>
      <c r="H297" s="6" t="str">
        <f t="shared" si="46"/>
        <v>Valid</v>
      </c>
      <c r="I297" t="s">
        <v>993</v>
      </c>
      <c r="J297" t="s">
        <v>90</v>
      </c>
      <c r="K297" t="s">
        <v>38</v>
      </c>
      <c r="L297" t="s">
        <v>39</v>
      </c>
      <c r="M297" t="s">
        <v>167</v>
      </c>
      <c r="O297" t="s">
        <v>29</v>
      </c>
      <c r="P297" t="s">
        <v>154</v>
      </c>
      <c r="Q297" t="s">
        <v>994</v>
      </c>
      <c r="R297" t="s">
        <v>60</v>
      </c>
      <c r="S297">
        <v>3</v>
      </c>
      <c r="T297">
        <v>3476.05</v>
      </c>
      <c r="U297" s="2">
        <f t="shared" si="50"/>
        <v>9385.3350000000009</v>
      </c>
      <c r="V297" s="13">
        <v>0.1</v>
      </c>
      <c r="W297" s="2">
        <f t="shared" si="51"/>
        <v>0.1</v>
      </c>
      <c r="X297" s="2" t="str">
        <f t="shared" si="52"/>
        <v>Valid</v>
      </c>
      <c r="Y297" s="2" t="str">
        <f t="shared" si="53"/>
        <v>Clean</v>
      </c>
      <c r="Z297">
        <v>9385.34</v>
      </c>
      <c r="AA297">
        <v>5828.54</v>
      </c>
      <c r="AB297" s="2">
        <f t="shared" si="47"/>
        <v>3556.795000000001</v>
      </c>
      <c r="AC297">
        <v>3556.8</v>
      </c>
      <c r="AD297" s="11">
        <f t="shared" si="54"/>
        <v>0.37897401692426702</v>
      </c>
      <c r="AE297" t="s">
        <v>33</v>
      </c>
      <c r="AF297" t="s">
        <v>34</v>
      </c>
    </row>
    <row r="298" spans="1:32">
      <c r="A298" t="s">
        <v>995</v>
      </c>
      <c r="B298" s="2" t="str">
        <f t="shared" si="44"/>
        <v>Unique</v>
      </c>
      <c r="C298" s="2" t="str">
        <f t="shared" si="48"/>
        <v>May</v>
      </c>
      <c r="D298" s="2">
        <f t="shared" si="49"/>
        <v>2025</v>
      </c>
      <c r="E298" s="4">
        <v>45801</v>
      </c>
      <c r="F298" s="4">
        <v>45803</v>
      </c>
      <c r="G298" s="6">
        <f t="shared" si="45"/>
        <v>2</v>
      </c>
      <c r="H298" s="6" t="str">
        <f t="shared" si="46"/>
        <v>Valid</v>
      </c>
      <c r="I298" t="s">
        <v>996</v>
      </c>
      <c r="J298" t="s">
        <v>90</v>
      </c>
      <c r="K298" t="s">
        <v>96</v>
      </c>
      <c r="L298" t="s">
        <v>26</v>
      </c>
      <c r="M298" t="s">
        <v>237</v>
      </c>
      <c r="O298" t="s">
        <v>42</v>
      </c>
      <c r="P298" t="s">
        <v>58</v>
      </c>
      <c r="Q298" t="s">
        <v>997</v>
      </c>
      <c r="R298" t="s">
        <v>45</v>
      </c>
      <c r="S298">
        <v>6</v>
      </c>
      <c r="T298">
        <v>3495.41</v>
      </c>
      <c r="U298" s="2">
        <f t="shared" si="50"/>
        <v>17826.591</v>
      </c>
      <c r="V298" s="13">
        <v>0.15</v>
      </c>
      <c r="W298" s="2">
        <f t="shared" si="51"/>
        <v>0.15</v>
      </c>
      <c r="X298" s="2" t="str">
        <f t="shared" si="52"/>
        <v>Valid</v>
      </c>
      <c r="Y298" s="2" t="str">
        <f t="shared" si="53"/>
        <v>Clean</v>
      </c>
      <c r="Z298">
        <v>17826.59</v>
      </c>
      <c r="AA298">
        <v>10855.35</v>
      </c>
      <c r="AB298" s="2">
        <f t="shared" si="47"/>
        <v>6971.241</v>
      </c>
      <c r="AC298">
        <v>6971.24</v>
      </c>
      <c r="AD298" s="11">
        <f t="shared" si="54"/>
        <v>0.39105852549478054</v>
      </c>
      <c r="AE298" t="s">
        <v>33</v>
      </c>
      <c r="AF298" t="s">
        <v>34</v>
      </c>
    </row>
    <row r="299" spans="1:32">
      <c r="A299" t="s">
        <v>998</v>
      </c>
      <c r="B299" s="2" t="str">
        <f t="shared" si="44"/>
        <v>Unique</v>
      </c>
      <c r="C299" s="2" t="str">
        <f t="shared" si="48"/>
        <v>Oct</v>
      </c>
      <c r="D299" s="2">
        <f t="shared" si="49"/>
        <v>2024</v>
      </c>
      <c r="E299" s="4">
        <v>45594</v>
      </c>
      <c r="F299" s="4">
        <v>45602</v>
      </c>
      <c r="G299" s="6">
        <f t="shared" si="45"/>
        <v>8</v>
      </c>
      <c r="H299" s="6" t="str">
        <f t="shared" si="46"/>
        <v>Valid</v>
      </c>
      <c r="I299" t="s">
        <v>999</v>
      </c>
      <c r="J299" t="s">
        <v>133</v>
      </c>
      <c r="K299" t="s">
        <v>91</v>
      </c>
      <c r="L299" t="s">
        <v>55</v>
      </c>
      <c r="M299" t="s">
        <v>248</v>
      </c>
      <c r="O299" t="s">
        <v>75</v>
      </c>
      <c r="P299" t="s">
        <v>81</v>
      </c>
      <c r="Q299" t="s">
        <v>1000</v>
      </c>
      <c r="R299" t="s">
        <v>45</v>
      </c>
      <c r="S299">
        <v>6</v>
      </c>
      <c r="T299">
        <v>1169.92</v>
      </c>
      <c r="U299" s="2">
        <f t="shared" si="50"/>
        <v>5966.5920000000006</v>
      </c>
      <c r="V299" s="13">
        <v>0.15</v>
      </c>
      <c r="W299" s="2">
        <f t="shared" si="51"/>
        <v>0.15</v>
      </c>
      <c r="X299" s="2" t="str">
        <f t="shared" si="52"/>
        <v>Valid</v>
      </c>
      <c r="Y299" s="2" t="str">
        <f t="shared" si="53"/>
        <v>Clean</v>
      </c>
      <c r="Z299">
        <v>5966.59</v>
      </c>
      <c r="AA299">
        <v>3994.72</v>
      </c>
      <c r="AB299" s="2">
        <f t="shared" si="47"/>
        <v>1971.8720000000008</v>
      </c>
      <c r="AC299">
        <v>1971.87</v>
      </c>
      <c r="AD299" s="11">
        <f t="shared" si="54"/>
        <v>0.33048525204513801</v>
      </c>
      <c r="AE299" t="s">
        <v>33</v>
      </c>
      <c r="AF299" t="s">
        <v>34</v>
      </c>
    </row>
    <row r="300" spans="1:32">
      <c r="A300" t="s">
        <v>1001</v>
      </c>
      <c r="B300" s="2" t="str">
        <f t="shared" si="44"/>
        <v>Unique</v>
      </c>
      <c r="C300" s="2" t="str">
        <f t="shared" si="48"/>
        <v>Jan</v>
      </c>
      <c r="D300" s="2">
        <f t="shared" si="49"/>
        <v>2025</v>
      </c>
      <c r="E300" s="4">
        <v>45680</v>
      </c>
      <c r="F300" s="4">
        <v>45683</v>
      </c>
      <c r="G300" s="6">
        <f t="shared" si="45"/>
        <v>3</v>
      </c>
      <c r="H300" s="6" t="str">
        <f t="shared" si="46"/>
        <v>Valid</v>
      </c>
      <c r="I300" t="s">
        <v>1002</v>
      </c>
      <c r="J300" t="s">
        <v>48</v>
      </c>
      <c r="K300" t="s">
        <v>25</v>
      </c>
      <c r="L300" t="s">
        <v>55</v>
      </c>
      <c r="M300" t="s">
        <v>186</v>
      </c>
      <c r="O300" t="s">
        <v>75</v>
      </c>
      <c r="P300" t="s">
        <v>81</v>
      </c>
      <c r="Q300" t="s">
        <v>1003</v>
      </c>
      <c r="R300" t="s">
        <v>51</v>
      </c>
      <c r="S300">
        <v>7</v>
      </c>
      <c r="T300">
        <v>348.49</v>
      </c>
      <c r="U300" s="2">
        <f t="shared" si="50"/>
        <v>1951.5440000000003</v>
      </c>
      <c r="V300" s="13">
        <v>0.2</v>
      </c>
      <c r="W300" s="2">
        <f t="shared" si="51"/>
        <v>0.2</v>
      </c>
      <c r="X300" s="2" t="str">
        <f t="shared" si="52"/>
        <v>Valid</v>
      </c>
      <c r="Y300" s="2" t="str">
        <f t="shared" si="53"/>
        <v>Clean</v>
      </c>
      <c r="Z300">
        <v>1951.54</v>
      </c>
      <c r="AA300">
        <v>1609.95</v>
      </c>
      <c r="AB300" s="2">
        <f t="shared" si="47"/>
        <v>341.59400000000028</v>
      </c>
      <c r="AC300">
        <v>341.59</v>
      </c>
      <c r="AD300" s="11">
        <f t="shared" si="54"/>
        <v>0.17503612531641677</v>
      </c>
      <c r="AE300" t="s">
        <v>156</v>
      </c>
      <c r="AF300" t="s">
        <v>104</v>
      </c>
    </row>
    <row r="301" spans="1:32">
      <c r="A301" t="s">
        <v>1004</v>
      </c>
      <c r="B301" s="2" t="str">
        <f t="shared" si="44"/>
        <v>Unique</v>
      </c>
      <c r="C301" s="2" t="str">
        <f t="shared" si="48"/>
        <v>Nov</v>
      </c>
      <c r="D301" s="2">
        <f t="shared" si="49"/>
        <v>2024</v>
      </c>
      <c r="E301" s="4">
        <v>45602</v>
      </c>
      <c r="F301" s="4">
        <v>45608</v>
      </c>
      <c r="G301" s="6">
        <f t="shared" si="45"/>
        <v>6</v>
      </c>
      <c r="H301" s="6" t="str">
        <f t="shared" si="46"/>
        <v>Valid</v>
      </c>
      <c r="I301" t="s">
        <v>1005</v>
      </c>
      <c r="J301" t="s">
        <v>119</v>
      </c>
      <c r="K301" t="s">
        <v>38</v>
      </c>
      <c r="L301" t="s">
        <v>64</v>
      </c>
      <c r="M301" t="s">
        <v>181</v>
      </c>
      <c r="O301" t="s">
        <v>75</v>
      </c>
      <c r="P301" t="s">
        <v>76</v>
      </c>
      <c r="Q301" t="s">
        <v>1006</v>
      </c>
      <c r="R301" t="s">
        <v>60</v>
      </c>
      <c r="S301">
        <v>7</v>
      </c>
      <c r="T301">
        <v>1719.05</v>
      </c>
      <c r="U301" s="2">
        <f t="shared" si="50"/>
        <v>10830.015000000001</v>
      </c>
      <c r="V301" s="13">
        <v>0.1</v>
      </c>
      <c r="W301" s="2">
        <f t="shared" si="51"/>
        <v>0.1</v>
      </c>
      <c r="X301" s="2" t="str">
        <f t="shared" si="52"/>
        <v>Valid</v>
      </c>
      <c r="Y301" s="2" t="str">
        <f t="shared" si="53"/>
        <v>Clean</v>
      </c>
      <c r="Z301">
        <v>10830.02</v>
      </c>
      <c r="AA301">
        <v>7055.31</v>
      </c>
      <c r="AB301" s="2">
        <f t="shared" si="47"/>
        <v>3774.7050000000008</v>
      </c>
      <c r="AC301">
        <v>3774.71</v>
      </c>
      <c r="AD301" s="11">
        <f t="shared" si="54"/>
        <v>0.3485413692680161</v>
      </c>
      <c r="AE301" t="s">
        <v>33</v>
      </c>
      <c r="AF301" t="s">
        <v>34</v>
      </c>
    </row>
    <row r="302" spans="1:32">
      <c r="A302" t="s">
        <v>1007</v>
      </c>
      <c r="B302" s="2" t="str">
        <f t="shared" si="44"/>
        <v>Unique</v>
      </c>
      <c r="C302" s="2" t="str">
        <f t="shared" si="48"/>
        <v>Apr</v>
      </c>
      <c r="D302" s="2">
        <f t="shared" si="49"/>
        <v>2024</v>
      </c>
      <c r="E302" s="4">
        <v>45397</v>
      </c>
      <c r="F302" s="4">
        <v>45405</v>
      </c>
      <c r="G302" s="6">
        <f t="shared" si="45"/>
        <v>8</v>
      </c>
      <c r="H302" s="6" t="str">
        <f t="shared" si="46"/>
        <v>Valid</v>
      </c>
      <c r="I302" t="s">
        <v>1008</v>
      </c>
      <c r="J302" t="s">
        <v>163</v>
      </c>
      <c r="K302" t="s">
        <v>38</v>
      </c>
      <c r="L302" t="s">
        <v>26</v>
      </c>
      <c r="M302" t="s">
        <v>123</v>
      </c>
      <c r="O302" t="s">
        <v>75</v>
      </c>
      <c r="P302" t="s">
        <v>76</v>
      </c>
      <c r="Q302" t="s">
        <v>1009</v>
      </c>
      <c r="R302" t="s">
        <v>32</v>
      </c>
      <c r="S302">
        <v>9</v>
      </c>
      <c r="T302">
        <v>3893.74</v>
      </c>
      <c r="U302" s="2">
        <f t="shared" si="50"/>
        <v>31539.293999999998</v>
      </c>
      <c r="V302" s="13">
        <v>0.1</v>
      </c>
      <c r="W302" s="2">
        <f t="shared" si="51"/>
        <v>0.1</v>
      </c>
      <c r="X302" s="2" t="str">
        <f t="shared" si="52"/>
        <v>Valid</v>
      </c>
      <c r="Y302" s="2" t="str">
        <f t="shared" si="53"/>
        <v>Clean</v>
      </c>
      <c r="Z302">
        <v>31539.29</v>
      </c>
      <c r="AA302">
        <v>22100.14</v>
      </c>
      <c r="AB302" s="2">
        <f t="shared" si="47"/>
        <v>9439.1539999999986</v>
      </c>
      <c r="AC302">
        <v>9439.15</v>
      </c>
      <c r="AD302" s="11">
        <f t="shared" si="54"/>
        <v>0.29928226031721067</v>
      </c>
      <c r="AE302" t="s">
        <v>33</v>
      </c>
      <c r="AF302" t="s">
        <v>34</v>
      </c>
    </row>
    <row r="303" spans="1:32">
      <c r="A303" t="s">
        <v>1010</v>
      </c>
      <c r="B303" s="2" t="str">
        <f t="shared" si="44"/>
        <v>Unique</v>
      </c>
      <c r="C303" s="2" t="str">
        <f t="shared" si="48"/>
        <v>May</v>
      </c>
      <c r="D303" s="2">
        <f t="shared" si="49"/>
        <v>2025</v>
      </c>
      <c r="E303" s="4">
        <v>45805</v>
      </c>
      <c r="F303" s="4">
        <v>45809</v>
      </c>
      <c r="G303" s="6">
        <f t="shared" si="45"/>
        <v>4</v>
      </c>
      <c r="H303" s="6" t="str">
        <f t="shared" si="46"/>
        <v>Valid</v>
      </c>
      <c r="I303" t="s">
        <v>1011</v>
      </c>
      <c r="J303" t="s">
        <v>48</v>
      </c>
      <c r="K303" t="s">
        <v>96</v>
      </c>
      <c r="L303" t="s">
        <v>39</v>
      </c>
      <c r="M303" t="s">
        <v>146</v>
      </c>
      <c r="O303" t="s">
        <v>75</v>
      </c>
      <c r="P303" t="s">
        <v>172</v>
      </c>
      <c r="Q303" t="s">
        <v>1012</v>
      </c>
      <c r="R303" t="s">
        <v>45</v>
      </c>
      <c r="S303">
        <v>4</v>
      </c>
      <c r="T303">
        <v>1654.11</v>
      </c>
      <c r="U303" s="2">
        <f t="shared" si="50"/>
        <v>6285.6179999999995</v>
      </c>
      <c r="V303" s="13">
        <v>0.05</v>
      </c>
      <c r="W303" s="2">
        <f t="shared" si="51"/>
        <v>0.05</v>
      </c>
      <c r="X303" s="2" t="str">
        <f t="shared" si="52"/>
        <v>Valid</v>
      </c>
      <c r="Y303" s="2" t="str">
        <f t="shared" si="53"/>
        <v>Clean</v>
      </c>
      <c r="Z303">
        <v>6285.62</v>
      </c>
      <c r="AA303">
        <v>3705.38</v>
      </c>
      <c r="AB303" s="2">
        <f t="shared" si="47"/>
        <v>2580.2379999999994</v>
      </c>
      <c r="AC303">
        <v>2580.2399999999998</v>
      </c>
      <c r="AD303" s="11">
        <f t="shared" si="54"/>
        <v>0.41049888475599861</v>
      </c>
      <c r="AE303" t="s">
        <v>33</v>
      </c>
      <c r="AF303" t="s">
        <v>34</v>
      </c>
    </row>
    <row r="304" spans="1:32">
      <c r="A304" t="s">
        <v>1013</v>
      </c>
      <c r="B304" s="2" t="str">
        <f t="shared" si="44"/>
        <v>Unique</v>
      </c>
      <c r="C304" s="2" t="str">
        <f t="shared" si="48"/>
        <v>Jun</v>
      </c>
      <c r="D304" s="2">
        <f t="shared" si="49"/>
        <v>2025</v>
      </c>
      <c r="E304" s="4">
        <v>45812</v>
      </c>
      <c r="F304" s="4">
        <v>45820</v>
      </c>
      <c r="G304" s="6">
        <f t="shared" si="45"/>
        <v>8</v>
      </c>
      <c r="H304" s="6" t="str">
        <f t="shared" si="46"/>
        <v>Valid</v>
      </c>
      <c r="I304" t="s">
        <v>1014</v>
      </c>
      <c r="J304" t="s">
        <v>80</v>
      </c>
      <c r="K304" t="s">
        <v>25</v>
      </c>
      <c r="L304" t="s">
        <v>64</v>
      </c>
      <c r="M304" t="s">
        <v>191</v>
      </c>
      <c r="O304" t="s">
        <v>29</v>
      </c>
      <c r="P304" t="s">
        <v>125</v>
      </c>
      <c r="Q304" t="s">
        <v>1015</v>
      </c>
      <c r="R304" t="s">
        <v>45</v>
      </c>
      <c r="S304">
        <v>2</v>
      </c>
      <c r="T304">
        <v>2703.28</v>
      </c>
      <c r="U304" s="2">
        <f t="shared" si="50"/>
        <v>4054.92</v>
      </c>
      <c r="V304" s="13">
        <v>0.25</v>
      </c>
      <c r="W304" s="2">
        <f t="shared" si="51"/>
        <v>0.25</v>
      </c>
      <c r="X304" s="2" t="str">
        <f t="shared" si="52"/>
        <v>Valid</v>
      </c>
      <c r="Y304" s="2" t="str">
        <f t="shared" si="53"/>
        <v>Clean</v>
      </c>
      <c r="Z304">
        <v>4054.92</v>
      </c>
      <c r="AA304">
        <v>2424.83</v>
      </c>
      <c r="AB304" s="2">
        <f t="shared" si="47"/>
        <v>1630.0900000000001</v>
      </c>
      <c r="AC304">
        <v>1630.09</v>
      </c>
      <c r="AD304" s="11">
        <f t="shared" si="54"/>
        <v>0.4020029988261174</v>
      </c>
      <c r="AE304" t="s">
        <v>33</v>
      </c>
      <c r="AF304" t="s">
        <v>34</v>
      </c>
    </row>
    <row r="305" spans="1:32">
      <c r="A305" t="s">
        <v>1016</v>
      </c>
      <c r="B305" s="2" t="str">
        <f t="shared" si="44"/>
        <v>Unique</v>
      </c>
      <c r="C305" s="2" t="str">
        <f t="shared" si="48"/>
        <v>Jun</v>
      </c>
      <c r="D305" s="2">
        <f t="shared" si="49"/>
        <v>2024</v>
      </c>
      <c r="E305" s="4">
        <v>45466</v>
      </c>
      <c r="F305" s="4">
        <v>45471</v>
      </c>
      <c r="G305" s="6">
        <f t="shared" si="45"/>
        <v>5</v>
      </c>
      <c r="H305" s="6" t="str">
        <f t="shared" si="46"/>
        <v>Valid</v>
      </c>
      <c r="I305" t="s">
        <v>1017</v>
      </c>
      <c r="J305" t="s">
        <v>163</v>
      </c>
      <c r="K305" t="s">
        <v>96</v>
      </c>
      <c r="L305" t="s">
        <v>64</v>
      </c>
      <c r="M305" t="s">
        <v>181</v>
      </c>
      <c r="O305" t="s">
        <v>42</v>
      </c>
      <c r="P305" t="s">
        <v>67</v>
      </c>
      <c r="Q305" t="s">
        <v>1018</v>
      </c>
      <c r="R305" t="s">
        <v>60</v>
      </c>
      <c r="S305">
        <v>2</v>
      </c>
      <c r="T305">
        <v>1313.14</v>
      </c>
      <c r="U305" s="2">
        <f t="shared" si="50"/>
        <v>2363.652</v>
      </c>
      <c r="V305" s="13">
        <v>0.1</v>
      </c>
      <c r="W305" s="2">
        <f t="shared" si="51"/>
        <v>0.1</v>
      </c>
      <c r="X305" s="2" t="str">
        <f t="shared" si="52"/>
        <v>Valid</v>
      </c>
      <c r="Y305" s="2" t="str">
        <f t="shared" si="53"/>
        <v>Clean</v>
      </c>
      <c r="Z305">
        <v>2363.65</v>
      </c>
      <c r="AA305">
        <v>1876.1</v>
      </c>
      <c r="AB305" s="2">
        <f t="shared" si="47"/>
        <v>487.55200000000013</v>
      </c>
      <c r="AC305">
        <v>487.55</v>
      </c>
      <c r="AD305" s="11">
        <f t="shared" si="54"/>
        <v>0.20626996382713175</v>
      </c>
      <c r="AE305" t="s">
        <v>112</v>
      </c>
      <c r="AF305" t="s">
        <v>104</v>
      </c>
    </row>
    <row r="306" spans="1:32">
      <c r="A306" t="s">
        <v>1019</v>
      </c>
      <c r="B306" s="2" t="str">
        <f t="shared" si="44"/>
        <v>Unique</v>
      </c>
      <c r="C306" s="2" t="str">
        <f t="shared" si="48"/>
        <v>Mar</v>
      </c>
      <c r="D306" s="2">
        <f t="shared" si="49"/>
        <v>2024</v>
      </c>
      <c r="E306" s="4">
        <v>45357</v>
      </c>
      <c r="F306" s="4">
        <v>45364</v>
      </c>
      <c r="G306" s="6">
        <f t="shared" si="45"/>
        <v>7</v>
      </c>
      <c r="H306" s="6" t="str">
        <f t="shared" si="46"/>
        <v>Valid</v>
      </c>
      <c r="I306" t="s">
        <v>1020</v>
      </c>
      <c r="J306" t="s">
        <v>24</v>
      </c>
      <c r="K306" t="s">
        <v>25</v>
      </c>
      <c r="L306" t="s">
        <v>26</v>
      </c>
      <c r="M306" t="s">
        <v>123</v>
      </c>
      <c r="O306" t="s">
        <v>42</v>
      </c>
      <c r="P306" t="s">
        <v>58</v>
      </c>
      <c r="Q306" t="s">
        <v>1021</v>
      </c>
      <c r="R306" t="s">
        <v>60</v>
      </c>
      <c r="S306">
        <v>6</v>
      </c>
      <c r="T306">
        <v>2403.0500000000002</v>
      </c>
      <c r="U306" s="2">
        <f t="shared" si="50"/>
        <v>12976.470000000001</v>
      </c>
      <c r="V306" s="13">
        <v>0.1</v>
      </c>
      <c r="W306" s="2">
        <f t="shared" si="51"/>
        <v>0.1</v>
      </c>
      <c r="X306" s="2" t="str">
        <f t="shared" si="52"/>
        <v>Valid</v>
      </c>
      <c r="Y306" s="2" t="str">
        <f t="shared" si="53"/>
        <v>Clean</v>
      </c>
      <c r="Z306">
        <v>12976.47</v>
      </c>
      <c r="AA306">
        <v>10019.98</v>
      </c>
      <c r="AB306" s="2">
        <f t="shared" si="47"/>
        <v>2956.4900000000016</v>
      </c>
      <c r="AC306">
        <v>2956.49</v>
      </c>
      <c r="AD306" s="11">
        <f t="shared" si="54"/>
        <v>0.2278346884784537</v>
      </c>
      <c r="AE306" t="s">
        <v>33</v>
      </c>
      <c r="AF306" t="s">
        <v>34</v>
      </c>
    </row>
    <row r="307" spans="1:32">
      <c r="A307" t="s">
        <v>1022</v>
      </c>
      <c r="B307" s="2" t="str">
        <f t="shared" si="44"/>
        <v>Unique</v>
      </c>
      <c r="C307" s="2" t="str">
        <f t="shared" si="48"/>
        <v>May</v>
      </c>
      <c r="D307" s="2">
        <f t="shared" si="49"/>
        <v>2024</v>
      </c>
      <c r="E307" s="4">
        <v>45413</v>
      </c>
      <c r="F307" s="4">
        <v>45414</v>
      </c>
      <c r="G307" s="6">
        <f t="shared" si="45"/>
        <v>1</v>
      </c>
      <c r="H307" s="6" t="str">
        <f t="shared" si="46"/>
        <v>Valid</v>
      </c>
      <c r="I307" t="s">
        <v>1023</v>
      </c>
      <c r="J307" t="s">
        <v>63</v>
      </c>
      <c r="K307" t="s">
        <v>25</v>
      </c>
      <c r="L307" t="s">
        <v>39</v>
      </c>
      <c r="M307" t="s">
        <v>167</v>
      </c>
      <c r="O307" t="s">
        <v>42</v>
      </c>
      <c r="P307" t="s">
        <v>67</v>
      </c>
      <c r="Q307" t="s">
        <v>1024</v>
      </c>
      <c r="R307" t="s">
        <v>51</v>
      </c>
      <c r="S307">
        <v>4</v>
      </c>
      <c r="T307">
        <v>4156.0600000000004</v>
      </c>
      <c r="U307" s="2">
        <f t="shared" si="50"/>
        <v>7480.9080000000004</v>
      </c>
      <c r="V307" s="13">
        <v>0.55000000000000004</v>
      </c>
      <c r="W307" s="2">
        <f t="shared" si="51"/>
        <v>0.55000000000000004</v>
      </c>
      <c r="X307" s="2" t="str">
        <f t="shared" si="52"/>
        <v>Valid</v>
      </c>
      <c r="Y307" s="2" t="str">
        <f t="shared" si="53"/>
        <v>Clean</v>
      </c>
      <c r="Z307">
        <v>13299.39</v>
      </c>
      <c r="AA307">
        <v>9851.91</v>
      </c>
      <c r="AB307" s="2">
        <f t="shared" si="47"/>
        <v>-2371.0019999999995</v>
      </c>
      <c r="AC307">
        <v>3447.48</v>
      </c>
      <c r="AD307" s="11">
        <f t="shared" si="54"/>
        <v>0.25922091163579686</v>
      </c>
      <c r="AE307" t="s">
        <v>33</v>
      </c>
      <c r="AF307" t="s">
        <v>69</v>
      </c>
    </row>
    <row r="308" spans="1:32">
      <c r="A308" t="s">
        <v>1025</v>
      </c>
      <c r="B308" s="2" t="str">
        <f t="shared" si="44"/>
        <v>Unique</v>
      </c>
      <c r="C308" s="2" t="str">
        <f t="shared" si="48"/>
        <v>Feb</v>
      </c>
      <c r="D308" s="2">
        <f t="shared" si="49"/>
        <v>2025</v>
      </c>
      <c r="E308" s="4">
        <v>45708</v>
      </c>
      <c r="F308" s="4">
        <v>45711</v>
      </c>
      <c r="G308" s="6">
        <f t="shared" si="45"/>
        <v>3</v>
      </c>
      <c r="H308" s="6" t="str">
        <f t="shared" si="46"/>
        <v>Valid</v>
      </c>
      <c r="I308" t="s">
        <v>1026</v>
      </c>
      <c r="J308" t="s">
        <v>129</v>
      </c>
      <c r="K308" t="s">
        <v>25</v>
      </c>
      <c r="L308" t="s">
        <v>26</v>
      </c>
      <c r="M308" t="s">
        <v>27</v>
      </c>
      <c r="O308" t="s">
        <v>75</v>
      </c>
      <c r="P308" t="s">
        <v>172</v>
      </c>
      <c r="Q308" t="s">
        <v>1027</v>
      </c>
      <c r="R308" t="s">
        <v>32</v>
      </c>
      <c r="S308">
        <v>4</v>
      </c>
      <c r="T308">
        <v>3673.11</v>
      </c>
      <c r="U308" s="2">
        <f t="shared" si="50"/>
        <v>14692.44</v>
      </c>
      <c r="V308" s="13">
        <v>0</v>
      </c>
      <c r="W308" s="2">
        <f t="shared" si="51"/>
        <v>0</v>
      </c>
      <c r="X308" s="2" t="str">
        <f t="shared" si="52"/>
        <v>Valid</v>
      </c>
      <c r="Y308" s="2" t="str">
        <f t="shared" si="53"/>
        <v>Clean</v>
      </c>
      <c r="Z308">
        <v>14692.44</v>
      </c>
      <c r="AA308">
        <v>10082.19</v>
      </c>
      <c r="AB308" s="2">
        <f t="shared" si="47"/>
        <v>4610.25</v>
      </c>
      <c r="AC308">
        <v>4610.25</v>
      </c>
      <c r="AD308" s="11">
        <f t="shared" si="54"/>
        <v>0.31378382351740075</v>
      </c>
      <c r="AE308" t="s">
        <v>33</v>
      </c>
      <c r="AF308" t="s">
        <v>34</v>
      </c>
    </row>
    <row r="309" spans="1:32">
      <c r="A309" t="s">
        <v>1028</v>
      </c>
      <c r="B309" s="2" t="str">
        <f t="shared" si="44"/>
        <v>Unique</v>
      </c>
      <c r="C309" s="2" t="str">
        <f t="shared" si="48"/>
        <v>Jul</v>
      </c>
      <c r="D309" s="2">
        <f t="shared" si="49"/>
        <v>2025</v>
      </c>
      <c r="E309" s="4">
        <v>45850</v>
      </c>
      <c r="F309" s="4">
        <v>45857</v>
      </c>
      <c r="G309" s="6">
        <f t="shared" si="45"/>
        <v>7</v>
      </c>
      <c r="H309" s="6" t="str">
        <f t="shared" si="46"/>
        <v>Valid</v>
      </c>
      <c r="I309" t="s">
        <v>1029</v>
      </c>
      <c r="J309" t="s">
        <v>63</v>
      </c>
      <c r="K309" t="s">
        <v>91</v>
      </c>
      <c r="L309" t="s">
        <v>26</v>
      </c>
      <c r="M309" t="s">
        <v>137</v>
      </c>
      <c r="O309" t="s">
        <v>42</v>
      </c>
      <c r="P309" t="s">
        <v>43</v>
      </c>
      <c r="Q309" t="s">
        <v>1030</v>
      </c>
      <c r="R309" t="s">
        <v>51</v>
      </c>
      <c r="S309">
        <v>9</v>
      </c>
      <c r="T309">
        <v>4093.04</v>
      </c>
      <c r="U309" s="2">
        <f t="shared" si="50"/>
        <v>29469.888000000003</v>
      </c>
      <c r="V309" s="13">
        <v>0.2</v>
      </c>
      <c r="W309" s="2">
        <f t="shared" si="51"/>
        <v>0.2</v>
      </c>
      <c r="X309" s="2" t="str">
        <f t="shared" si="52"/>
        <v>Valid</v>
      </c>
      <c r="Y309" s="2" t="str">
        <f t="shared" si="53"/>
        <v>Clean</v>
      </c>
      <c r="Z309">
        <v>29469.89</v>
      </c>
      <c r="AA309">
        <v>18935.509999999998</v>
      </c>
      <c r="AB309" s="2">
        <f t="shared" si="47"/>
        <v>10534.378000000004</v>
      </c>
      <c r="AC309">
        <v>10534.38</v>
      </c>
      <c r="AD309" s="11">
        <f t="shared" si="54"/>
        <v>0.35746248119690976</v>
      </c>
      <c r="AE309" t="s">
        <v>112</v>
      </c>
      <c r="AF309" t="s">
        <v>69</v>
      </c>
    </row>
    <row r="310" spans="1:32">
      <c r="A310" t="s">
        <v>1031</v>
      </c>
      <c r="B310" s="2" t="str">
        <f t="shared" si="44"/>
        <v>Unique</v>
      </c>
      <c r="C310" s="2" t="str">
        <f t="shared" si="48"/>
        <v>Jun</v>
      </c>
      <c r="D310" s="2">
        <f t="shared" si="49"/>
        <v>2025</v>
      </c>
      <c r="E310" s="4">
        <v>45821</v>
      </c>
      <c r="F310" s="4">
        <v>45827</v>
      </c>
      <c r="G310" s="6">
        <f t="shared" si="45"/>
        <v>6</v>
      </c>
      <c r="H310" s="6" t="str">
        <f t="shared" si="46"/>
        <v>Valid</v>
      </c>
      <c r="I310" t="s">
        <v>1032</v>
      </c>
      <c r="J310" t="s">
        <v>142</v>
      </c>
      <c r="K310" t="s">
        <v>25</v>
      </c>
      <c r="L310" t="s">
        <v>26</v>
      </c>
      <c r="M310" t="s">
        <v>27</v>
      </c>
      <c r="O310" t="s">
        <v>42</v>
      </c>
      <c r="P310" t="s">
        <v>43</v>
      </c>
      <c r="Q310" t="s">
        <v>1033</v>
      </c>
      <c r="R310" t="s">
        <v>51</v>
      </c>
      <c r="S310">
        <v>4</v>
      </c>
      <c r="T310">
        <v>731.57</v>
      </c>
      <c r="U310" s="2">
        <f t="shared" si="50"/>
        <v>2341.0240000000003</v>
      </c>
      <c r="V310" s="13">
        <v>0.2</v>
      </c>
      <c r="W310" s="2">
        <f t="shared" si="51"/>
        <v>0.2</v>
      </c>
      <c r="X310" s="2" t="str">
        <f t="shared" si="52"/>
        <v>Valid</v>
      </c>
      <c r="Y310" s="2" t="str">
        <f t="shared" si="53"/>
        <v>Clean</v>
      </c>
      <c r="Z310">
        <v>2341.02</v>
      </c>
      <c r="AA310">
        <v>1565.49</v>
      </c>
      <c r="AB310" s="2">
        <f t="shared" si="47"/>
        <v>775.53400000000033</v>
      </c>
      <c r="AC310">
        <v>775.53</v>
      </c>
      <c r="AD310" s="11">
        <f t="shared" si="54"/>
        <v>0.33127867339877487</v>
      </c>
      <c r="AE310" t="s">
        <v>33</v>
      </c>
      <c r="AF310" t="s">
        <v>34</v>
      </c>
    </row>
    <row r="311" spans="1:32">
      <c r="A311" t="s">
        <v>1034</v>
      </c>
      <c r="B311" s="2" t="str">
        <f t="shared" si="44"/>
        <v>Unique</v>
      </c>
      <c r="C311" s="2" t="str">
        <f t="shared" si="48"/>
        <v>Jul</v>
      </c>
      <c r="D311" s="2">
        <f t="shared" si="49"/>
        <v>2024</v>
      </c>
      <c r="E311" s="4">
        <v>45493</v>
      </c>
      <c r="F311" s="4">
        <v>45495</v>
      </c>
      <c r="G311" s="6">
        <f t="shared" si="45"/>
        <v>2</v>
      </c>
      <c r="H311" s="6" t="str">
        <f t="shared" si="46"/>
        <v>Valid</v>
      </c>
      <c r="I311" t="s">
        <v>1035</v>
      </c>
      <c r="J311" t="s">
        <v>63</v>
      </c>
      <c r="K311" t="s">
        <v>25</v>
      </c>
      <c r="L311" t="s">
        <v>55</v>
      </c>
      <c r="M311" t="s">
        <v>248</v>
      </c>
      <c r="O311" t="s">
        <v>42</v>
      </c>
      <c r="P311" t="s">
        <v>43</v>
      </c>
      <c r="Q311" t="s">
        <v>1036</v>
      </c>
      <c r="R311" t="s">
        <v>51</v>
      </c>
      <c r="S311">
        <v>7</v>
      </c>
      <c r="T311">
        <v>2060.73</v>
      </c>
      <c r="U311" s="2">
        <f t="shared" si="50"/>
        <v>12982.599</v>
      </c>
      <c r="V311" s="13">
        <v>0.1</v>
      </c>
      <c r="W311" s="2">
        <f t="shared" si="51"/>
        <v>0.1</v>
      </c>
      <c r="X311" s="2" t="str">
        <f t="shared" si="52"/>
        <v>Valid</v>
      </c>
      <c r="Y311" s="2" t="str">
        <f t="shared" si="53"/>
        <v>Clean</v>
      </c>
      <c r="Z311">
        <v>12982.6</v>
      </c>
      <c r="AA311">
        <v>7246.36</v>
      </c>
      <c r="AB311" s="2">
        <f t="shared" si="47"/>
        <v>5736.2390000000005</v>
      </c>
      <c r="AC311">
        <v>5736.24</v>
      </c>
      <c r="AD311" s="11">
        <f t="shared" si="54"/>
        <v>0.44184061744180669</v>
      </c>
      <c r="AE311" t="s">
        <v>33</v>
      </c>
      <c r="AF311" t="s">
        <v>69</v>
      </c>
    </row>
    <row r="312" spans="1:32">
      <c r="A312" t="s">
        <v>1037</v>
      </c>
      <c r="B312" s="2" t="str">
        <f t="shared" si="44"/>
        <v>Unique</v>
      </c>
      <c r="C312" s="2" t="str">
        <f t="shared" si="48"/>
        <v>Jul</v>
      </c>
      <c r="D312" s="2">
        <f t="shared" si="49"/>
        <v>2024</v>
      </c>
      <c r="E312" s="4">
        <v>45477</v>
      </c>
      <c r="F312" s="4">
        <v>45481</v>
      </c>
      <c r="G312" s="6">
        <f t="shared" si="45"/>
        <v>4</v>
      </c>
      <c r="H312" s="6" t="str">
        <f t="shared" si="46"/>
        <v>Valid</v>
      </c>
      <c r="I312" t="s">
        <v>1038</v>
      </c>
      <c r="J312" t="s">
        <v>142</v>
      </c>
      <c r="K312" t="s">
        <v>38</v>
      </c>
      <c r="L312" t="s">
        <v>55</v>
      </c>
      <c r="M312" t="s">
        <v>248</v>
      </c>
      <c r="O312" t="s">
        <v>75</v>
      </c>
      <c r="P312" t="s">
        <v>275</v>
      </c>
      <c r="Q312" t="s">
        <v>1039</v>
      </c>
      <c r="R312" t="s">
        <v>51</v>
      </c>
      <c r="S312">
        <v>8</v>
      </c>
      <c r="T312">
        <v>2034.25</v>
      </c>
      <c r="U312" s="2">
        <f t="shared" si="50"/>
        <v>16274</v>
      </c>
      <c r="V312" s="13">
        <v>0</v>
      </c>
      <c r="W312" s="2">
        <f t="shared" si="51"/>
        <v>0</v>
      </c>
      <c r="X312" s="2" t="str">
        <f t="shared" si="52"/>
        <v>Valid</v>
      </c>
      <c r="Y312" s="2" t="str">
        <f t="shared" si="53"/>
        <v>Clean</v>
      </c>
      <c r="Z312">
        <v>16274</v>
      </c>
      <c r="AA312">
        <v>9424.25</v>
      </c>
      <c r="AB312" s="2">
        <f t="shared" si="47"/>
        <v>6849.75</v>
      </c>
      <c r="AC312">
        <v>6849.75</v>
      </c>
      <c r="AD312" s="11">
        <f t="shared" si="54"/>
        <v>0.42090143787636719</v>
      </c>
      <c r="AE312" t="s">
        <v>33</v>
      </c>
      <c r="AF312" t="s">
        <v>34</v>
      </c>
    </row>
    <row r="313" spans="1:32">
      <c r="A313" t="s">
        <v>1040</v>
      </c>
      <c r="B313" s="2" t="str">
        <f t="shared" si="44"/>
        <v>Unique</v>
      </c>
      <c r="C313" s="2" t="str">
        <f t="shared" si="48"/>
        <v>Apr</v>
      </c>
      <c r="D313" s="2">
        <f t="shared" si="49"/>
        <v>2024</v>
      </c>
      <c r="E313" s="4">
        <v>45409</v>
      </c>
      <c r="F313" s="4">
        <v>45414</v>
      </c>
      <c r="G313" s="6">
        <f t="shared" si="45"/>
        <v>5</v>
      </c>
      <c r="H313" s="6" t="str">
        <f t="shared" si="46"/>
        <v>Valid</v>
      </c>
      <c r="I313" t="s">
        <v>1041</v>
      </c>
      <c r="J313" t="s">
        <v>37</v>
      </c>
      <c r="K313" t="s">
        <v>91</v>
      </c>
      <c r="L313" t="s">
        <v>55</v>
      </c>
      <c r="M313" t="s">
        <v>176</v>
      </c>
      <c r="O313" t="s">
        <v>29</v>
      </c>
      <c r="P313" t="s">
        <v>154</v>
      </c>
      <c r="Q313" t="s">
        <v>1042</v>
      </c>
      <c r="R313" t="s">
        <v>32</v>
      </c>
      <c r="S313">
        <v>5</v>
      </c>
      <c r="T313">
        <v>554.04</v>
      </c>
      <c r="U313" s="2">
        <f t="shared" si="50"/>
        <v>2493.1799999999998</v>
      </c>
      <c r="V313" s="13">
        <v>0.1</v>
      </c>
      <c r="W313" s="2">
        <f t="shared" si="51"/>
        <v>0.1</v>
      </c>
      <c r="X313" s="2" t="str">
        <f t="shared" si="52"/>
        <v>Valid</v>
      </c>
      <c r="Y313" s="2" t="str">
        <f t="shared" si="53"/>
        <v>Clean</v>
      </c>
      <c r="Z313">
        <v>2493.1799999999998</v>
      </c>
      <c r="AA313">
        <v>1764</v>
      </c>
      <c r="AB313" s="2">
        <f t="shared" si="47"/>
        <v>729.17999999999984</v>
      </c>
      <c r="AC313">
        <v>729.18</v>
      </c>
      <c r="AD313" s="11">
        <f t="shared" si="54"/>
        <v>0.29246985777200202</v>
      </c>
      <c r="AE313" t="s">
        <v>33</v>
      </c>
      <c r="AF313" t="s">
        <v>34</v>
      </c>
    </row>
    <row r="314" spans="1:32">
      <c r="A314" t="s">
        <v>1043</v>
      </c>
      <c r="B314" s="2" t="str">
        <f t="shared" si="44"/>
        <v>Unique</v>
      </c>
      <c r="C314" s="2" t="str">
        <f t="shared" si="48"/>
        <v>Jul</v>
      </c>
      <c r="D314" s="2">
        <f t="shared" si="49"/>
        <v>2024</v>
      </c>
      <c r="E314" s="4">
        <v>45504</v>
      </c>
      <c r="F314" s="4">
        <v>45508</v>
      </c>
      <c r="G314" s="6">
        <f t="shared" si="45"/>
        <v>4</v>
      </c>
      <c r="H314" s="6" t="str">
        <f t="shared" si="46"/>
        <v>Valid</v>
      </c>
      <c r="I314" t="s">
        <v>1044</v>
      </c>
      <c r="J314" t="s">
        <v>24</v>
      </c>
      <c r="K314" t="s">
        <v>38</v>
      </c>
      <c r="L314" t="s">
        <v>39</v>
      </c>
      <c r="M314" t="s">
        <v>167</v>
      </c>
      <c r="O314" t="s">
        <v>75</v>
      </c>
      <c r="P314" t="s">
        <v>172</v>
      </c>
      <c r="Q314" t="s">
        <v>1045</v>
      </c>
      <c r="R314" t="s">
        <v>60</v>
      </c>
      <c r="S314">
        <v>8</v>
      </c>
      <c r="T314">
        <v>2614.7399999999998</v>
      </c>
      <c r="U314" s="2">
        <f t="shared" si="50"/>
        <v>20917.919999999998</v>
      </c>
      <c r="V314" s="13">
        <v>0</v>
      </c>
      <c r="W314" s="2">
        <f t="shared" si="51"/>
        <v>0</v>
      </c>
      <c r="X314" s="2" t="str">
        <f t="shared" si="52"/>
        <v>Valid</v>
      </c>
      <c r="Y314" s="2" t="str">
        <f t="shared" si="53"/>
        <v>Clean</v>
      </c>
      <c r="Z314">
        <v>15688.44</v>
      </c>
      <c r="AA314">
        <v>10047.33</v>
      </c>
      <c r="AB314" s="2">
        <f t="shared" si="47"/>
        <v>10870.589999999998</v>
      </c>
      <c r="AC314">
        <v>5641.11</v>
      </c>
      <c r="AD314" s="11">
        <f t="shared" si="54"/>
        <v>0.35957112370637229</v>
      </c>
      <c r="AE314" t="s">
        <v>33</v>
      </c>
      <c r="AF314" t="s">
        <v>69</v>
      </c>
    </row>
    <row r="315" spans="1:32">
      <c r="A315" t="s">
        <v>1046</v>
      </c>
      <c r="B315" s="2" t="str">
        <f t="shared" si="44"/>
        <v>Unique</v>
      </c>
      <c r="C315" s="2" t="str">
        <f t="shared" si="48"/>
        <v>May</v>
      </c>
      <c r="D315" s="2">
        <f t="shared" si="49"/>
        <v>2025</v>
      </c>
      <c r="E315" s="4">
        <v>45807</v>
      </c>
      <c r="F315" s="4">
        <v>45808</v>
      </c>
      <c r="G315" s="6">
        <f t="shared" si="45"/>
        <v>1</v>
      </c>
      <c r="H315" s="6" t="str">
        <f t="shared" si="46"/>
        <v>Valid</v>
      </c>
      <c r="I315" t="s">
        <v>1047</v>
      </c>
      <c r="J315" t="s">
        <v>119</v>
      </c>
      <c r="K315" t="s">
        <v>91</v>
      </c>
      <c r="L315" t="s">
        <v>26</v>
      </c>
      <c r="M315" t="s">
        <v>137</v>
      </c>
      <c r="O315" t="s">
        <v>75</v>
      </c>
      <c r="P315" t="s">
        <v>172</v>
      </c>
      <c r="Q315" t="s">
        <v>1048</v>
      </c>
      <c r="R315" t="s">
        <v>51</v>
      </c>
      <c r="S315">
        <v>8</v>
      </c>
      <c r="T315">
        <v>2081.4299999999998</v>
      </c>
      <c r="U315" s="2">
        <f t="shared" si="50"/>
        <v>12488.579999999998</v>
      </c>
      <c r="V315" s="13">
        <v>0.25</v>
      </c>
      <c r="W315" s="2">
        <f t="shared" si="51"/>
        <v>0.25</v>
      </c>
      <c r="X315" s="2" t="str">
        <f t="shared" si="52"/>
        <v>Valid</v>
      </c>
      <c r="Y315" s="2" t="str">
        <f t="shared" si="53"/>
        <v>Clean</v>
      </c>
      <c r="Z315">
        <v>12488.58</v>
      </c>
      <c r="AA315">
        <v>10717.4</v>
      </c>
      <c r="AB315" s="2">
        <f t="shared" si="47"/>
        <v>1771.1799999999985</v>
      </c>
      <c r="AC315">
        <v>1771.18</v>
      </c>
      <c r="AD315" s="11">
        <f t="shared" si="54"/>
        <v>0.14182397037933858</v>
      </c>
      <c r="AE315" t="s">
        <v>103</v>
      </c>
      <c r="AF315" t="s">
        <v>69</v>
      </c>
    </row>
    <row r="316" spans="1:32">
      <c r="A316" t="s">
        <v>1049</v>
      </c>
      <c r="B316" s="2" t="str">
        <f t="shared" si="44"/>
        <v>Duplicate Order ID</v>
      </c>
      <c r="C316" s="2" t="str">
        <f t="shared" si="48"/>
        <v>May</v>
      </c>
      <c r="D316" s="2">
        <f t="shared" si="49"/>
        <v>2025</v>
      </c>
      <c r="E316" s="4">
        <v>45795</v>
      </c>
      <c r="F316" s="4">
        <v>45797</v>
      </c>
      <c r="G316" s="6">
        <f t="shared" si="45"/>
        <v>2</v>
      </c>
      <c r="H316" s="6" t="str">
        <f t="shared" si="46"/>
        <v>Valid</v>
      </c>
      <c r="I316" t="s">
        <v>1050</v>
      </c>
      <c r="J316" t="s">
        <v>48</v>
      </c>
      <c r="K316" t="s">
        <v>91</v>
      </c>
      <c r="L316" t="s">
        <v>64</v>
      </c>
      <c r="M316" t="s">
        <v>73</v>
      </c>
      <c r="O316" t="s">
        <v>29</v>
      </c>
      <c r="P316" t="s">
        <v>92</v>
      </c>
      <c r="Q316" t="s">
        <v>1051</v>
      </c>
      <c r="R316" t="s">
        <v>60</v>
      </c>
      <c r="S316">
        <v>9</v>
      </c>
      <c r="T316">
        <v>847.76</v>
      </c>
      <c r="U316" s="2">
        <f t="shared" si="50"/>
        <v>6485.3639999999996</v>
      </c>
      <c r="V316" s="13">
        <v>0.15</v>
      </c>
      <c r="W316" s="2">
        <f t="shared" si="51"/>
        <v>0.15</v>
      </c>
      <c r="X316" s="2" t="str">
        <f t="shared" si="52"/>
        <v>Valid</v>
      </c>
      <c r="Y316" s="2" t="str">
        <f t="shared" si="53"/>
        <v>Clean</v>
      </c>
      <c r="Z316">
        <v>6485.36</v>
      </c>
      <c r="AA316">
        <v>5376.17</v>
      </c>
      <c r="AB316" s="2">
        <f t="shared" si="47"/>
        <v>1109.1939999999995</v>
      </c>
      <c r="AC316">
        <v>1109.19</v>
      </c>
      <c r="AD316" s="11">
        <f t="shared" si="54"/>
        <v>0.17102982717998694</v>
      </c>
      <c r="AE316" t="s">
        <v>156</v>
      </c>
      <c r="AF316" t="s">
        <v>104</v>
      </c>
    </row>
    <row r="317" spans="1:32">
      <c r="A317" t="s">
        <v>1052</v>
      </c>
      <c r="B317" s="2" t="str">
        <f t="shared" si="44"/>
        <v>Unique</v>
      </c>
      <c r="C317" s="2" t="str">
        <f t="shared" si="48"/>
        <v>Jul</v>
      </c>
      <c r="D317" s="2">
        <f t="shared" si="49"/>
        <v>2024</v>
      </c>
      <c r="E317" s="4">
        <v>45475</v>
      </c>
      <c r="F317" s="4">
        <v>45481</v>
      </c>
      <c r="G317" s="6">
        <f t="shared" si="45"/>
        <v>6</v>
      </c>
      <c r="H317" s="6" t="str">
        <f t="shared" si="46"/>
        <v>Valid</v>
      </c>
      <c r="I317" t="s">
        <v>1053</v>
      </c>
      <c r="J317" t="s">
        <v>142</v>
      </c>
      <c r="K317" t="s">
        <v>25</v>
      </c>
      <c r="L317" t="s">
        <v>26</v>
      </c>
      <c r="M317" t="s">
        <v>351</v>
      </c>
      <c r="O317" t="s">
        <v>29</v>
      </c>
      <c r="P317" t="s">
        <v>30</v>
      </c>
      <c r="Q317" t="s">
        <v>1054</v>
      </c>
      <c r="R317" t="s">
        <v>60</v>
      </c>
      <c r="S317">
        <v>9</v>
      </c>
      <c r="T317">
        <v>3450.4</v>
      </c>
      <c r="U317" s="2">
        <f t="shared" si="50"/>
        <v>29500.920000000002</v>
      </c>
      <c r="V317" s="13">
        <v>0.05</v>
      </c>
      <c r="W317" s="2">
        <f t="shared" si="51"/>
        <v>0.05</v>
      </c>
      <c r="X317" s="2" t="str">
        <f t="shared" si="52"/>
        <v>Valid</v>
      </c>
      <c r="Y317" s="2" t="str">
        <f t="shared" si="53"/>
        <v>Clean</v>
      </c>
      <c r="Z317">
        <v>29500.92</v>
      </c>
      <c r="AA317">
        <v>17989.68</v>
      </c>
      <c r="AB317" s="2">
        <f t="shared" si="47"/>
        <v>11511.240000000002</v>
      </c>
      <c r="AC317">
        <v>11511.24</v>
      </c>
      <c r="AD317" s="11">
        <f t="shared" si="54"/>
        <v>0.39019935649464493</v>
      </c>
      <c r="AE317" t="s">
        <v>112</v>
      </c>
      <c r="AF317" t="s">
        <v>104</v>
      </c>
    </row>
    <row r="318" spans="1:32">
      <c r="A318" t="s">
        <v>1055</v>
      </c>
      <c r="B318" s="2" t="str">
        <f t="shared" si="44"/>
        <v>Unique</v>
      </c>
      <c r="C318" s="2" t="str">
        <f t="shared" si="48"/>
        <v>Feb</v>
      </c>
      <c r="D318" s="2">
        <f t="shared" si="49"/>
        <v>2024</v>
      </c>
      <c r="E318" s="4">
        <v>45338</v>
      </c>
      <c r="F318" s="4">
        <v>45340</v>
      </c>
      <c r="G318" s="6">
        <f t="shared" si="45"/>
        <v>2</v>
      </c>
      <c r="H318" s="6" t="str">
        <f t="shared" si="46"/>
        <v>Valid</v>
      </c>
      <c r="I318" t="s">
        <v>1056</v>
      </c>
      <c r="J318" t="s">
        <v>24</v>
      </c>
      <c r="K318" t="s">
        <v>91</v>
      </c>
      <c r="L318" t="s">
        <v>26</v>
      </c>
      <c r="M318" t="s">
        <v>123</v>
      </c>
      <c r="O318" t="s">
        <v>29</v>
      </c>
      <c r="P318" t="s">
        <v>92</v>
      </c>
      <c r="Q318" t="s">
        <v>1057</v>
      </c>
      <c r="R318" t="s">
        <v>60</v>
      </c>
      <c r="S318">
        <v>2</v>
      </c>
      <c r="T318">
        <v>1947.53</v>
      </c>
      <c r="U318" s="2">
        <f t="shared" si="50"/>
        <v>3116.0480000000002</v>
      </c>
      <c r="V318" s="13">
        <v>0.2</v>
      </c>
      <c r="W318" s="2">
        <f t="shared" si="51"/>
        <v>0.2</v>
      </c>
      <c r="X318" s="2" t="str">
        <f t="shared" si="52"/>
        <v>Valid</v>
      </c>
      <c r="Y318" s="2" t="str">
        <f t="shared" si="53"/>
        <v>Clean</v>
      </c>
      <c r="Z318">
        <v>3116.05</v>
      </c>
      <c r="AA318">
        <v>1956.63</v>
      </c>
      <c r="AB318" s="2">
        <f t="shared" si="47"/>
        <v>1159.4180000000001</v>
      </c>
      <c r="AC318">
        <v>1159.42</v>
      </c>
      <c r="AD318" s="11">
        <f t="shared" si="54"/>
        <v>0.37208003722661703</v>
      </c>
      <c r="AE318" t="s">
        <v>33</v>
      </c>
      <c r="AF318" t="s">
        <v>69</v>
      </c>
    </row>
    <row r="319" spans="1:32">
      <c r="A319" t="s">
        <v>1058</v>
      </c>
      <c r="B319" s="2" t="str">
        <f t="shared" si="44"/>
        <v>Unique</v>
      </c>
      <c r="C319" s="2" t="str">
        <f t="shared" si="48"/>
        <v>Aug</v>
      </c>
      <c r="D319" s="2">
        <f t="shared" si="49"/>
        <v>2025</v>
      </c>
      <c r="E319" s="4">
        <v>45898</v>
      </c>
      <c r="F319" s="4">
        <v>45904</v>
      </c>
      <c r="G319" s="6">
        <f t="shared" si="45"/>
        <v>6</v>
      </c>
      <c r="H319" s="6" t="str">
        <f t="shared" si="46"/>
        <v>Valid</v>
      </c>
      <c r="I319" t="s">
        <v>1059</v>
      </c>
      <c r="J319" t="s">
        <v>80</v>
      </c>
      <c r="K319" t="s">
        <v>91</v>
      </c>
      <c r="L319" t="s">
        <v>55</v>
      </c>
      <c r="M319" t="s">
        <v>186</v>
      </c>
      <c r="O319" t="s">
        <v>42</v>
      </c>
      <c r="P319" t="s">
        <v>43</v>
      </c>
      <c r="Q319" t="s">
        <v>1060</v>
      </c>
      <c r="R319" t="s">
        <v>51</v>
      </c>
      <c r="S319">
        <v>9</v>
      </c>
      <c r="T319">
        <v>2996.97</v>
      </c>
      <c r="U319" s="2">
        <f t="shared" si="50"/>
        <v>22926.820499999998</v>
      </c>
      <c r="V319" s="13">
        <v>0.15</v>
      </c>
      <c r="W319" s="2">
        <f t="shared" si="51"/>
        <v>0.15</v>
      </c>
      <c r="X319" s="2" t="str">
        <f t="shared" si="52"/>
        <v>Valid</v>
      </c>
      <c r="Y319" s="2" t="str">
        <f t="shared" si="53"/>
        <v>Clean</v>
      </c>
      <c r="Z319">
        <v>22926.82</v>
      </c>
      <c r="AA319">
        <v>14621.59</v>
      </c>
      <c r="AB319" s="2">
        <f t="shared" si="47"/>
        <v>8305.2304999999978</v>
      </c>
      <c r="AC319">
        <v>8305.23</v>
      </c>
      <c r="AD319" s="11">
        <f t="shared" si="54"/>
        <v>0.36224954005832471</v>
      </c>
      <c r="AE319" t="s">
        <v>33</v>
      </c>
      <c r="AF319" t="s">
        <v>34</v>
      </c>
    </row>
    <row r="320" spans="1:32">
      <c r="A320" t="s">
        <v>1061</v>
      </c>
      <c r="B320" s="2" t="str">
        <f t="shared" si="44"/>
        <v>Unique</v>
      </c>
      <c r="C320" s="2" t="str">
        <f t="shared" si="48"/>
        <v>Apr</v>
      </c>
      <c r="D320" s="2">
        <f t="shared" si="49"/>
        <v>2024</v>
      </c>
      <c r="E320" s="4">
        <v>45407</v>
      </c>
      <c r="F320" s="4">
        <v>45412</v>
      </c>
      <c r="G320" s="6">
        <f t="shared" si="45"/>
        <v>5</v>
      </c>
      <c r="H320" s="6" t="str">
        <f t="shared" si="46"/>
        <v>Valid</v>
      </c>
      <c r="I320" t="s">
        <v>1062</v>
      </c>
      <c r="J320" t="s">
        <v>37</v>
      </c>
      <c r="K320" t="s">
        <v>38</v>
      </c>
      <c r="L320" t="s">
        <v>55</v>
      </c>
      <c r="M320" t="s">
        <v>176</v>
      </c>
      <c r="O320" t="s">
        <v>75</v>
      </c>
      <c r="P320" t="s">
        <v>172</v>
      </c>
      <c r="Q320" t="s">
        <v>1063</v>
      </c>
      <c r="R320" t="s">
        <v>60</v>
      </c>
      <c r="S320">
        <v>3</v>
      </c>
      <c r="T320">
        <v>4149.46</v>
      </c>
      <c r="U320" s="2">
        <f t="shared" si="50"/>
        <v>11203.542000000001</v>
      </c>
      <c r="V320" s="13">
        <v>0.1</v>
      </c>
      <c r="W320" s="2">
        <f t="shared" si="51"/>
        <v>0.1</v>
      </c>
      <c r="X320" s="2" t="str">
        <f t="shared" si="52"/>
        <v>Valid</v>
      </c>
      <c r="Y320" s="2" t="str">
        <f t="shared" si="53"/>
        <v>Clean</v>
      </c>
      <c r="Z320">
        <v>11203.54</v>
      </c>
      <c r="AA320">
        <v>8452.93</v>
      </c>
      <c r="AB320" s="2">
        <f t="shared" si="47"/>
        <v>2750.612000000001</v>
      </c>
      <c r="AC320">
        <v>2750.61</v>
      </c>
      <c r="AD320" s="11">
        <f t="shared" si="54"/>
        <v>0.24551257905983287</v>
      </c>
      <c r="AE320" t="s">
        <v>33</v>
      </c>
      <c r="AF320" t="s">
        <v>34</v>
      </c>
    </row>
    <row r="321" spans="1:32">
      <c r="A321" t="s">
        <v>1064</v>
      </c>
      <c r="B321" s="2" t="str">
        <f t="shared" si="44"/>
        <v>Unique</v>
      </c>
      <c r="C321" s="2" t="str">
        <f t="shared" si="48"/>
        <v>Aug</v>
      </c>
      <c r="D321" s="2">
        <f t="shared" si="49"/>
        <v>2024</v>
      </c>
      <c r="E321" s="4">
        <v>45525</v>
      </c>
      <c r="F321" s="4">
        <v>45529</v>
      </c>
      <c r="G321" s="6">
        <f t="shared" si="45"/>
        <v>4</v>
      </c>
      <c r="H321" s="6" t="str">
        <f t="shared" si="46"/>
        <v>Valid</v>
      </c>
      <c r="I321" t="s">
        <v>1065</v>
      </c>
      <c r="J321" t="s">
        <v>163</v>
      </c>
      <c r="K321" t="s">
        <v>25</v>
      </c>
      <c r="L321" t="s">
        <v>64</v>
      </c>
      <c r="M321" t="s">
        <v>181</v>
      </c>
      <c r="O321" t="s">
        <v>29</v>
      </c>
      <c r="P321" t="s">
        <v>154</v>
      </c>
      <c r="Q321" t="s">
        <v>1066</v>
      </c>
      <c r="R321" t="s">
        <v>51</v>
      </c>
      <c r="S321">
        <v>1</v>
      </c>
      <c r="T321">
        <v>270.27999999999997</v>
      </c>
      <c r="U321" s="2">
        <f t="shared" si="50"/>
        <v>270.27999999999997</v>
      </c>
      <c r="V321" s="13">
        <v>0</v>
      </c>
      <c r="W321" s="2">
        <f t="shared" si="51"/>
        <v>0</v>
      </c>
      <c r="X321" s="2" t="str">
        <f t="shared" si="52"/>
        <v>Valid</v>
      </c>
      <c r="Y321" s="2" t="str">
        <f t="shared" si="53"/>
        <v>Clean</v>
      </c>
      <c r="Z321">
        <v>270.27999999999997</v>
      </c>
      <c r="AA321">
        <v>156.34</v>
      </c>
      <c r="AB321" s="2">
        <f t="shared" si="47"/>
        <v>113.93999999999997</v>
      </c>
      <c r="AC321">
        <v>113.94</v>
      </c>
      <c r="AD321" s="11">
        <f t="shared" si="54"/>
        <v>0.42156282373834547</v>
      </c>
      <c r="AE321" t="s">
        <v>33</v>
      </c>
      <c r="AF321" t="s">
        <v>34</v>
      </c>
    </row>
    <row r="322" spans="1:32">
      <c r="A322" t="s">
        <v>1067</v>
      </c>
      <c r="B322" s="2" t="str">
        <f t="shared" ref="B322:B385" si="55">IF(COUNTIF($A:$A,A322)&gt;1,"Duplicate Order ID","Unique")</f>
        <v>Unique</v>
      </c>
      <c r="C322" s="2" t="str">
        <f t="shared" si="48"/>
        <v>Dec</v>
      </c>
      <c r="D322" s="2">
        <f t="shared" si="49"/>
        <v>2024</v>
      </c>
      <c r="E322" s="4">
        <v>45630</v>
      </c>
      <c r="F322" s="4">
        <v>45632</v>
      </c>
      <c r="G322" s="6">
        <f t="shared" ref="G322:G385" si="56">F322-E322</f>
        <v>2</v>
      </c>
      <c r="H322" s="6" t="str">
        <f t="shared" ref="H322:H385" si="57">IF(G322&lt;0,"Invalid: Ship Date Before Order Date","Valid")</f>
        <v>Valid</v>
      </c>
      <c r="I322" t="s">
        <v>1068</v>
      </c>
      <c r="J322" t="s">
        <v>129</v>
      </c>
      <c r="K322" t="s">
        <v>96</v>
      </c>
      <c r="L322" t="s">
        <v>39</v>
      </c>
      <c r="M322" t="s">
        <v>100</v>
      </c>
      <c r="O322" t="s">
        <v>29</v>
      </c>
      <c r="P322" t="s">
        <v>49</v>
      </c>
      <c r="Q322" t="s">
        <v>1069</v>
      </c>
      <c r="R322" t="s">
        <v>32</v>
      </c>
      <c r="S322">
        <v>3</v>
      </c>
      <c r="T322">
        <v>876.14</v>
      </c>
      <c r="U322" s="2" t="str">
        <f t="shared" si="50"/>
        <v>Invalid</v>
      </c>
      <c r="V322" s="13" t="s">
        <v>464</v>
      </c>
      <c r="W322" s="2" t="str">
        <f t="shared" si="51"/>
        <v>Invalid</v>
      </c>
      <c r="X322" s="2" t="str">
        <f t="shared" si="52"/>
        <v>Invalid</v>
      </c>
      <c r="Y322" s="2" t="str">
        <f t="shared" si="53"/>
        <v>Invalid</v>
      </c>
      <c r="Z322">
        <v>2628.42</v>
      </c>
      <c r="AA322">
        <v>1541.54</v>
      </c>
      <c r="AB322" s="2" t="str">
        <f t="shared" ref="AB322:AB385" si="58">IF(ISNUMBER(U322),U322-AA322,"Invalid")</f>
        <v>Invalid</v>
      </c>
      <c r="AC322">
        <v>1086.8800000000001</v>
      </c>
      <c r="AD322" s="11">
        <f t="shared" si="54"/>
        <v>0.41351077833831734</v>
      </c>
      <c r="AE322" t="s">
        <v>112</v>
      </c>
      <c r="AF322" t="s">
        <v>104</v>
      </c>
    </row>
    <row r="323" spans="1:32">
      <c r="A323" t="s">
        <v>1070</v>
      </c>
      <c r="B323" s="2" t="str">
        <f t="shared" si="55"/>
        <v>Unique</v>
      </c>
      <c r="C323" s="2" t="str">
        <f t="shared" ref="C323:C386" si="59">TEXT(E323,"mmm")</f>
        <v>Jun</v>
      </c>
      <c r="D323" s="2">
        <f t="shared" ref="D323:D386" si="60">YEAR(E323)</f>
        <v>2024</v>
      </c>
      <c r="E323" s="4">
        <v>45466</v>
      </c>
      <c r="F323" s="4">
        <v>45473</v>
      </c>
      <c r="G323" s="6">
        <f t="shared" si="56"/>
        <v>7</v>
      </c>
      <c r="H323" s="6" t="str">
        <f t="shared" si="57"/>
        <v>Valid</v>
      </c>
      <c r="I323" t="s">
        <v>1071</v>
      </c>
      <c r="J323" t="s">
        <v>80</v>
      </c>
      <c r="K323" t="s">
        <v>38</v>
      </c>
      <c r="L323" t="s">
        <v>64</v>
      </c>
      <c r="M323" t="s">
        <v>191</v>
      </c>
      <c r="O323" t="s">
        <v>75</v>
      </c>
      <c r="P323" t="s">
        <v>76</v>
      </c>
      <c r="Q323" t="s">
        <v>1072</v>
      </c>
      <c r="R323" t="s">
        <v>45</v>
      </c>
      <c r="S323">
        <v>4</v>
      </c>
      <c r="T323">
        <v>674.82</v>
      </c>
      <c r="U323" s="2">
        <f t="shared" ref="U323:U386" si="61">IF(ISNUMBER(W323),S323*T323*(1-W323),"Invalid")</f>
        <v>2699.28</v>
      </c>
      <c r="V323" s="13">
        <v>0</v>
      </c>
      <c r="W323" s="2">
        <f t="shared" ref="W323:W386" si="62">IF(OR(V323&lt;0,V323&gt;1),"Invalid",V323)</f>
        <v>0</v>
      </c>
      <c r="X323" s="2" t="str">
        <f t="shared" ref="X323:X386" si="63">IF(OR(V323&lt;0,V323&gt;1),"Invalid","Valid")</f>
        <v>Valid</v>
      </c>
      <c r="Y323" s="2" t="str">
        <f t="shared" ref="Y323:Y386" si="64">IF(AND(H323="Valid",X323="Valid"),"Clean","Invalid")</f>
        <v>Clean</v>
      </c>
      <c r="Z323">
        <v>2699.28</v>
      </c>
      <c r="AA323">
        <v>1759.76</v>
      </c>
      <c r="AB323" s="2">
        <f t="shared" si="58"/>
        <v>939.52000000000021</v>
      </c>
      <c r="AC323">
        <v>939.52</v>
      </c>
      <c r="AD323" s="11">
        <f t="shared" ref="AD323:AD386" si="65">AC323/Z323</f>
        <v>0.34806318722029578</v>
      </c>
      <c r="AE323" t="s">
        <v>156</v>
      </c>
      <c r="AF323" t="s">
        <v>69</v>
      </c>
    </row>
    <row r="324" spans="1:32">
      <c r="A324" t="s">
        <v>1073</v>
      </c>
      <c r="B324" s="2" t="str">
        <f t="shared" si="55"/>
        <v>Unique</v>
      </c>
      <c r="C324" s="2" t="str">
        <f t="shared" si="59"/>
        <v>Nov</v>
      </c>
      <c r="D324" s="2">
        <f t="shared" si="60"/>
        <v>2024</v>
      </c>
      <c r="E324" s="4">
        <v>45608</v>
      </c>
      <c r="F324" s="4">
        <v>45608</v>
      </c>
      <c r="G324" s="6">
        <f t="shared" si="56"/>
        <v>0</v>
      </c>
      <c r="H324" s="6" t="str">
        <f t="shared" si="57"/>
        <v>Valid</v>
      </c>
      <c r="I324" t="s">
        <v>1074</v>
      </c>
      <c r="J324" t="s">
        <v>48</v>
      </c>
      <c r="K324" t="s">
        <v>25</v>
      </c>
      <c r="L324" t="s">
        <v>26</v>
      </c>
      <c r="M324" t="s">
        <v>137</v>
      </c>
      <c r="O324" t="s">
        <v>75</v>
      </c>
      <c r="P324" t="s">
        <v>172</v>
      </c>
      <c r="Q324" t="s">
        <v>1075</v>
      </c>
      <c r="R324" t="s">
        <v>32</v>
      </c>
      <c r="S324">
        <v>6</v>
      </c>
      <c r="T324">
        <v>1369.48</v>
      </c>
      <c r="U324" s="2">
        <f t="shared" si="61"/>
        <v>6984.3480000000009</v>
      </c>
      <c r="V324" s="13">
        <v>0.15</v>
      </c>
      <c r="W324" s="2">
        <f t="shared" si="62"/>
        <v>0.15</v>
      </c>
      <c r="X324" s="2" t="str">
        <f t="shared" si="63"/>
        <v>Valid</v>
      </c>
      <c r="Y324" s="2" t="str">
        <f t="shared" si="64"/>
        <v>Clean</v>
      </c>
      <c r="Z324">
        <v>6984.35</v>
      </c>
      <c r="AA324">
        <v>4023.63</v>
      </c>
      <c r="AB324" s="2">
        <f t="shared" si="58"/>
        <v>2960.7180000000008</v>
      </c>
      <c r="AC324">
        <v>2960.72</v>
      </c>
      <c r="AD324" s="11">
        <f t="shared" si="65"/>
        <v>0.42390773658250225</v>
      </c>
      <c r="AE324" t="s">
        <v>33</v>
      </c>
      <c r="AF324" t="s">
        <v>34</v>
      </c>
    </row>
    <row r="325" spans="1:32">
      <c r="A325" t="s">
        <v>1076</v>
      </c>
      <c r="B325" s="2" t="str">
        <f t="shared" si="55"/>
        <v>Unique</v>
      </c>
      <c r="C325" s="2" t="str">
        <f t="shared" si="59"/>
        <v>Feb</v>
      </c>
      <c r="D325" s="2">
        <f t="shared" si="60"/>
        <v>2024</v>
      </c>
      <c r="E325" s="4">
        <v>45347</v>
      </c>
      <c r="F325" s="4">
        <v>45351</v>
      </c>
      <c r="G325" s="6">
        <f t="shared" si="56"/>
        <v>4</v>
      </c>
      <c r="H325" s="6" t="str">
        <f t="shared" si="57"/>
        <v>Valid</v>
      </c>
      <c r="I325" t="s">
        <v>1077</v>
      </c>
      <c r="J325" t="s">
        <v>48</v>
      </c>
      <c r="K325" t="s">
        <v>38</v>
      </c>
      <c r="L325" t="s">
        <v>64</v>
      </c>
      <c r="M325" t="s">
        <v>191</v>
      </c>
      <c r="O325" t="s">
        <v>42</v>
      </c>
      <c r="P325" t="s">
        <v>58</v>
      </c>
      <c r="Q325" t="s">
        <v>151</v>
      </c>
      <c r="R325" t="s">
        <v>60</v>
      </c>
      <c r="S325">
        <v>9</v>
      </c>
      <c r="T325">
        <v>1331.46</v>
      </c>
      <c r="U325" s="2">
        <f t="shared" si="61"/>
        <v>10185.669</v>
      </c>
      <c r="V325" s="13">
        <v>0.15</v>
      </c>
      <c r="W325" s="2">
        <f t="shared" si="62"/>
        <v>0.15</v>
      </c>
      <c r="X325" s="2" t="str">
        <f t="shared" si="63"/>
        <v>Valid</v>
      </c>
      <c r="Y325" s="2" t="str">
        <f t="shared" si="64"/>
        <v>Clean</v>
      </c>
      <c r="Z325">
        <v>10185.67</v>
      </c>
      <c r="AA325">
        <v>6479.31</v>
      </c>
      <c r="AB325" s="2">
        <f t="shared" si="58"/>
        <v>3706.3589999999995</v>
      </c>
      <c r="AC325">
        <v>3706.36</v>
      </c>
      <c r="AD325" s="11">
        <f t="shared" si="65"/>
        <v>0.36387984295583897</v>
      </c>
      <c r="AE325" t="s">
        <v>33</v>
      </c>
      <c r="AF325" t="s">
        <v>34</v>
      </c>
    </row>
    <row r="326" spans="1:32">
      <c r="A326" t="s">
        <v>1078</v>
      </c>
      <c r="B326" s="2" t="str">
        <f t="shared" si="55"/>
        <v>Unique</v>
      </c>
      <c r="C326" s="2" t="str">
        <f t="shared" si="59"/>
        <v>Jul</v>
      </c>
      <c r="D326" s="2">
        <f t="shared" si="60"/>
        <v>2025</v>
      </c>
      <c r="E326" s="4">
        <v>45869</v>
      </c>
      <c r="F326" s="4">
        <v>45871</v>
      </c>
      <c r="G326" s="6">
        <f t="shared" si="56"/>
        <v>2</v>
      </c>
      <c r="H326" s="6" t="str">
        <f t="shared" si="57"/>
        <v>Valid</v>
      </c>
      <c r="I326" t="s">
        <v>1079</v>
      </c>
      <c r="J326" t="s">
        <v>142</v>
      </c>
      <c r="K326" t="s">
        <v>96</v>
      </c>
      <c r="L326" t="s">
        <v>55</v>
      </c>
      <c r="M326" t="s">
        <v>85</v>
      </c>
      <c r="O326" t="s">
        <v>29</v>
      </c>
      <c r="P326" t="s">
        <v>92</v>
      </c>
      <c r="Q326" t="s">
        <v>1080</v>
      </c>
      <c r="R326" t="s">
        <v>45</v>
      </c>
      <c r="S326">
        <v>1</v>
      </c>
      <c r="T326">
        <v>1947.88</v>
      </c>
      <c r="U326" s="2">
        <f t="shared" si="61"/>
        <v>1655.6980000000001</v>
      </c>
      <c r="V326" s="13">
        <v>0.15</v>
      </c>
      <c r="W326" s="2">
        <f t="shared" si="62"/>
        <v>0.15</v>
      </c>
      <c r="X326" s="2" t="str">
        <f t="shared" si="63"/>
        <v>Valid</v>
      </c>
      <c r="Y326" s="2" t="str">
        <f t="shared" si="64"/>
        <v>Clean</v>
      </c>
      <c r="Z326">
        <v>1655.7</v>
      </c>
      <c r="AA326">
        <v>1354.8</v>
      </c>
      <c r="AB326" s="2">
        <f t="shared" si="58"/>
        <v>300.89800000000014</v>
      </c>
      <c r="AC326">
        <v>300.89999999999998</v>
      </c>
      <c r="AD326" s="11">
        <f t="shared" si="65"/>
        <v>0.18173582170683092</v>
      </c>
      <c r="AE326" t="s">
        <v>33</v>
      </c>
      <c r="AF326" t="s">
        <v>104</v>
      </c>
    </row>
    <row r="327" spans="1:32">
      <c r="A327" t="s">
        <v>1081</v>
      </c>
      <c r="B327" s="2" t="str">
        <f t="shared" si="55"/>
        <v>Unique</v>
      </c>
      <c r="C327" s="2" t="str">
        <f t="shared" si="59"/>
        <v>Sep</v>
      </c>
      <c r="D327" s="2">
        <f t="shared" si="60"/>
        <v>2025</v>
      </c>
      <c r="E327" s="4">
        <v>45916</v>
      </c>
      <c r="F327" s="4">
        <v>45922</v>
      </c>
      <c r="G327" s="6">
        <f t="shared" si="56"/>
        <v>6</v>
      </c>
      <c r="H327" s="6" t="str">
        <f t="shared" si="57"/>
        <v>Valid</v>
      </c>
      <c r="I327" t="s">
        <v>1082</v>
      </c>
      <c r="J327" t="s">
        <v>133</v>
      </c>
      <c r="K327" t="s">
        <v>96</v>
      </c>
      <c r="L327" t="s">
        <v>39</v>
      </c>
      <c r="M327" t="s">
        <v>100</v>
      </c>
      <c r="O327" t="s">
        <v>75</v>
      </c>
      <c r="P327" t="s">
        <v>81</v>
      </c>
      <c r="Q327" t="s">
        <v>1083</v>
      </c>
      <c r="R327" t="s">
        <v>32</v>
      </c>
      <c r="S327">
        <v>5</v>
      </c>
      <c r="T327">
        <v>3671.2</v>
      </c>
      <c r="U327" s="2">
        <f t="shared" si="61"/>
        <v>15602.6</v>
      </c>
      <c r="V327" s="13">
        <v>0.15</v>
      </c>
      <c r="W327" s="2">
        <f t="shared" si="62"/>
        <v>0.15</v>
      </c>
      <c r="X327" s="2" t="str">
        <f t="shared" si="63"/>
        <v>Valid</v>
      </c>
      <c r="Y327" s="2" t="str">
        <f t="shared" si="64"/>
        <v>Clean</v>
      </c>
      <c r="Z327">
        <v>15602.6</v>
      </c>
      <c r="AA327">
        <v>11908.52</v>
      </c>
      <c r="AB327" s="2">
        <f t="shared" si="58"/>
        <v>3694.08</v>
      </c>
      <c r="AC327">
        <v>3694.08</v>
      </c>
      <c r="AD327" s="11">
        <f t="shared" si="65"/>
        <v>0.236760539910015</v>
      </c>
      <c r="AE327" t="s">
        <v>33</v>
      </c>
      <c r="AF327" t="s">
        <v>34</v>
      </c>
    </row>
    <row r="328" spans="1:32">
      <c r="A328" t="s">
        <v>1084</v>
      </c>
      <c r="B328" s="2" t="str">
        <f t="shared" si="55"/>
        <v>Unique</v>
      </c>
      <c r="C328" s="2" t="str">
        <f t="shared" si="59"/>
        <v>Jul</v>
      </c>
      <c r="D328" s="2">
        <f t="shared" si="60"/>
        <v>2025</v>
      </c>
      <c r="E328" s="4">
        <v>45860</v>
      </c>
      <c r="F328" s="4">
        <v>45860</v>
      </c>
      <c r="G328" s="6">
        <f t="shared" si="56"/>
        <v>0</v>
      </c>
      <c r="H328" s="6" t="str">
        <f t="shared" si="57"/>
        <v>Valid</v>
      </c>
      <c r="I328" t="s">
        <v>1085</v>
      </c>
      <c r="J328" t="s">
        <v>133</v>
      </c>
      <c r="K328" t="s">
        <v>91</v>
      </c>
      <c r="L328" t="s">
        <v>39</v>
      </c>
      <c r="M328" t="s">
        <v>229</v>
      </c>
      <c r="O328" t="s">
        <v>42</v>
      </c>
      <c r="P328" t="s">
        <v>58</v>
      </c>
      <c r="Q328" t="s">
        <v>1086</v>
      </c>
      <c r="R328" t="s">
        <v>45</v>
      </c>
      <c r="S328">
        <v>5</v>
      </c>
      <c r="T328">
        <v>3187.05</v>
      </c>
      <c r="U328" s="2">
        <f t="shared" si="61"/>
        <v>15138.487499999999</v>
      </c>
      <c r="V328" s="13">
        <v>0.05</v>
      </c>
      <c r="W328" s="2">
        <f t="shared" si="62"/>
        <v>0.05</v>
      </c>
      <c r="X328" s="2" t="str">
        <f t="shared" si="63"/>
        <v>Valid</v>
      </c>
      <c r="Y328" s="2" t="str">
        <f t="shared" si="64"/>
        <v>Clean</v>
      </c>
      <c r="Z328">
        <v>15138.49</v>
      </c>
      <c r="AA328">
        <v>11235.72</v>
      </c>
      <c r="AB328" s="2">
        <f t="shared" si="58"/>
        <v>3902.7674999999999</v>
      </c>
      <c r="AC328">
        <v>3902.77</v>
      </c>
      <c r="AD328" s="11">
        <f t="shared" si="65"/>
        <v>0.25780444416847387</v>
      </c>
      <c r="AE328" t="s">
        <v>33</v>
      </c>
      <c r="AF328" t="s">
        <v>34</v>
      </c>
    </row>
    <row r="329" spans="1:32">
      <c r="A329" t="s">
        <v>1087</v>
      </c>
      <c r="B329" s="2" t="str">
        <f t="shared" si="55"/>
        <v>Unique</v>
      </c>
      <c r="C329" s="2" t="str">
        <f t="shared" si="59"/>
        <v>Jul</v>
      </c>
      <c r="D329" s="2">
        <f t="shared" si="60"/>
        <v>2024</v>
      </c>
      <c r="E329" s="4">
        <v>45497</v>
      </c>
      <c r="F329" s="4">
        <v>45500</v>
      </c>
      <c r="G329" s="6">
        <f t="shared" si="56"/>
        <v>3</v>
      </c>
      <c r="H329" s="6" t="str">
        <f t="shared" si="57"/>
        <v>Valid</v>
      </c>
      <c r="I329" t="s">
        <v>1088</v>
      </c>
      <c r="J329" t="s">
        <v>48</v>
      </c>
      <c r="K329" t="s">
        <v>25</v>
      </c>
      <c r="L329" t="s">
        <v>64</v>
      </c>
      <c r="M329" t="s">
        <v>27</v>
      </c>
      <c r="O329" t="s">
        <v>75</v>
      </c>
      <c r="P329" t="s">
        <v>76</v>
      </c>
      <c r="Q329" t="s">
        <v>1089</v>
      </c>
      <c r="R329" t="s">
        <v>32</v>
      </c>
      <c r="S329">
        <v>3</v>
      </c>
      <c r="T329">
        <v>1834.55</v>
      </c>
      <c r="U329" s="2">
        <f t="shared" si="61"/>
        <v>4402.92</v>
      </c>
      <c r="V329" s="13">
        <v>0.2</v>
      </c>
      <c r="W329" s="2">
        <f t="shared" si="62"/>
        <v>0.2</v>
      </c>
      <c r="X329" s="2" t="str">
        <f t="shared" si="63"/>
        <v>Valid</v>
      </c>
      <c r="Y329" s="2" t="str">
        <f t="shared" si="64"/>
        <v>Clean</v>
      </c>
      <c r="Z329">
        <v>4402.92</v>
      </c>
      <c r="AA329">
        <v>2993.94</v>
      </c>
      <c r="AB329" s="2">
        <f t="shared" si="58"/>
        <v>1408.98</v>
      </c>
      <c r="AC329">
        <v>1408.98</v>
      </c>
      <c r="AD329" s="11">
        <f t="shared" si="65"/>
        <v>0.32001035676323897</v>
      </c>
      <c r="AE329" t="s">
        <v>112</v>
      </c>
      <c r="AF329" t="s">
        <v>69</v>
      </c>
    </row>
    <row r="330" spans="1:32">
      <c r="A330" t="s">
        <v>1090</v>
      </c>
      <c r="B330" s="2" t="str">
        <f t="shared" si="55"/>
        <v>Unique</v>
      </c>
      <c r="C330" s="2" t="str">
        <f t="shared" si="59"/>
        <v>May</v>
      </c>
      <c r="D330" s="2">
        <f t="shared" si="60"/>
        <v>2025</v>
      </c>
      <c r="E330" s="4">
        <v>45806</v>
      </c>
      <c r="F330" s="4">
        <v>45812</v>
      </c>
      <c r="G330" s="6">
        <f t="shared" si="56"/>
        <v>6</v>
      </c>
      <c r="H330" s="6" t="str">
        <f t="shared" si="57"/>
        <v>Valid</v>
      </c>
      <c r="I330" t="s">
        <v>1091</v>
      </c>
      <c r="J330" t="s">
        <v>163</v>
      </c>
      <c r="K330" t="s">
        <v>25</v>
      </c>
      <c r="L330" t="s">
        <v>64</v>
      </c>
      <c r="M330" t="s">
        <v>65</v>
      </c>
      <c r="O330" t="s">
        <v>29</v>
      </c>
      <c r="P330" t="s">
        <v>125</v>
      </c>
      <c r="Q330" t="s">
        <v>1092</v>
      </c>
      <c r="R330" t="s">
        <v>51</v>
      </c>
      <c r="S330">
        <v>6</v>
      </c>
      <c r="T330">
        <v>3100.68</v>
      </c>
      <c r="U330" s="2">
        <f t="shared" si="61"/>
        <v>18604.079999999998</v>
      </c>
      <c r="V330" s="13">
        <v>0</v>
      </c>
      <c r="W330" s="2">
        <f t="shared" si="62"/>
        <v>0</v>
      </c>
      <c r="X330" s="2" t="str">
        <f t="shared" si="63"/>
        <v>Valid</v>
      </c>
      <c r="Y330" s="2" t="str">
        <f t="shared" si="64"/>
        <v>Clean</v>
      </c>
      <c r="Z330">
        <v>18604.080000000002</v>
      </c>
      <c r="AA330">
        <v>15834.3</v>
      </c>
      <c r="AB330" s="2">
        <f t="shared" si="58"/>
        <v>2769.7799999999988</v>
      </c>
      <c r="AC330">
        <v>2769.78</v>
      </c>
      <c r="AD330" s="11">
        <f t="shared" si="65"/>
        <v>0.14888024562354063</v>
      </c>
      <c r="AE330" t="s">
        <v>33</v>
      </c>
      <c r="AF330" t="s">
        <v>34</v>
      </c>
    </row>
    <row r="331" spans="1:32">
      <c r="A331" t="s">
        <v>1093</v>
      </c>
      <c r="B331" s="2" t="str">
        <f t="shared" si="55"/>
        <v>Unique</v>
      </c>
      <c r="C331" s="2" t="str">
        <f t="shared" si="59"/>
        <v>May</v>
      </c>
      <c r="D331" s="2">
        <f t="shared" si="60"/>
        <v>2025</v>
      </c>
      <c r="E331" s="4">
        <v>45789</v>
      </c>
      <c r="F331" s="4">
        <v>45795</v>
      </c>
      <c r="G331" s="6">
        <f t="shared" si="56"/>
        <v>6</v>
      </c>
      <c r="H331" s="6" t="str">
        <f t="shared" si="57"/>
        <v>Valid</v>
      </c>
      <c r="I331" t="s">
        <v>1094</v>
      </c>
      <c r="J331" t="s">
        <v>80</v>
      </c>
      <c r="K331" t="s">
        <v>38</v>
      </c>
      <c r="L331" t="s">
        <v>64</v>
      </c>
      <c r="M331" t="s">
        <v>65</v>
      </c>
      <c r="O331" t="s">
        <v>29</v>
      </c>
      <c r="P331" t="s">
        <v>125</v>
      </c>
      <c r="Q331" t="s">
        <v>1095</v>
      </c>
      <c r="R331" t="s">
        <v>60</v>
      </c>
      <c r="S331">
        <v>4</v>
      </c>
      <c r="T331">
        <v>4053.03</v>
      </c>
      <c r="U331" s="2">
        <f t="shared" si="61"/>
        <v>15401.513999999999</v>
      </c>
      <c r="V331" s="13">
        <v>0.05</v>
      </c>
      <c r="W331" s="2">
        <f t="shared" si="62"/>
        <v>0.05</v>
      </c>
      <c r="X331" s="2" t="str">
        <f t="shared" si="63"/>
        <v>Valid</v>
      </c>
      <c r="Y331" s="2" t="str">
        <f t="shared" si="64"/>
        <v>Clean</v>
      </c>
      <c r="Z331">
        <v>15401.51</v>
      </c>
      <c r="AA331">
        <v>8650.42</v>
      </c>
      <c r="AB331" s="2">
        <f t="shared" si="58"/>
        <v>6751.0939999999991</v>
      </c>
      <c r="AC331">
        <v>6751.09</v>
      </c>
      <c r="AD331" s="11">
        <f t="shared" si="65"/>
        <v>0.4383394874918109</v>
      </c>
      <c r="AE331" t="s">
        <v>33</v>
      </c>
      <c r="AF331" t="s">
        <v>34</v>
      </c>
    </row>
    <row r="332" spans="1:32">
      <c r="A332" t="s">
        <v>1096</v>
      </c>
      <c r="B332" s="2" t="str">
        <f t="shared" si="55"/>
        <v>Unique</v>
      </c>
      <c r="C332" s="2" t="str">
        <f t="shared" si="59"/>
        <v>May</v>
      </c>
      <c r="D332" s="2">
        <f t="shared" si="60"/>
        <v>2024</v>
      </c>
      <c r="E332" s="4">
        <v>45428</v>
      </c>
      <c r="F332" s="4">
        <v>45436</v>
      </c>
      <c r="G332" s="6">
        <f t="shared" si="56"/>
        <v>8</v>
      </c>
      <c r="H332" s="6" t="str">
        <f t="shared" si="57"/>
        <v>Valid</v>
      </c>
      <c r="I332" t="s">
        <v>1097</v>
      </c>
      <c r="J332" t="s">
        <v>54</v>
      </c>
      <c r="K332" t="s">
        <v>96</v>
      </c>
      <c r="L332" t="s">
        <v>26</v>
      </c>
      <c r="M332" t="s">
        <v>123</v>
      </c>
      <c r="O332" t="s">
        <v>75</v>
      </c>
      <c r="P332" t="s">
        <v>76</v>
      </c>
      <c r="Q332" t="s">
        <v>1098</v>
      </c>
      <c r="R332" t="s">
        <v>45</v>
      </c>
      <c r="S332">
        <v>1</v>
      </c>
      <c r="T332">
        <v>783.09</v>
      </c>
      <c r="U332" s="2">
        <f t="shared" si="61"/>
        <v>783.09</v>
      </c>
      <c r="V332" s="13">
        <v>0</v>
      </c>
      <c r="W332" s="2">
        <f t="shared" si="62"/>
        <v>0</v>
      </c>
      <c r="X332" s="2" t="str">
        <f t="shared" si="63"/>
        <v>Valid</v>
      </c>
      <c r="Y332" s="2" t="str">
        <f t="shared" si="64"/>
        <v>Clean</v>
      </c>
      <c r="Z332">
        <v>783.09</v>
      </c>
      <c r="AA332">
        <v>503.89</v>
      </c>
      <c r="AB332" s="2">
        <f t="shared" si="58"/>
        <v>279.20000000000005</v>
      </c>
      <c r="AC332">
        <v>279.2</v>
      </c>
      <c r="AD332" s="11">
        <f t="shared" si="65"/>
        <v>0.35653628573982554</v>
      </c>
      <c r="AE332" t="s">
        <v>156</v>
      </c>
      <c r="AF332" t="s">
        <v>69</v>
      </c>
    </row>
    <row r="333" spans="1:32">
      <c r="A333" t="s">
        <v>1099</v>
      </c>
      <c r="B333" s="2" t="str">
        <f t="shared" si="55"/>
        <v>Duplicate Order ID</v>
      </c>
      <c r="C333" s="2" t="str">
        <f t="shared" si="59"/>
        <v>Dec</v>
      </c>
      <c r="D333" s="2">
        <f t="shared" si="60"/>
        <v>2024</v>
      </c>
      <c r="E333" s="4">
        <v>45630</v>
      </c>
      <c r="F333" s="4">
        <v>45632</v>
      </c>
      <c r="G333" s="6">
        <f t="shared" si="56"/>
        <v>2</v>
      </c>
      <c r="H333" s="6" t="str">
        <f t="shared" si="57"/>
        <v>Valid</v>
      </c>
      <c r="I333" t="s">
        <v>1100</v>
      </c>
      <c r="J333" t="s">
        <v>133</v>
      </c>
      <c r="K333" t="s">
        <v>96</v>
      </c>
      <c r="L333" t="s">
        <v>39</v>
      </c>
      <c r="M333" t="s">
        <v>40</v>
      </c>
      <c r="O333" t="s">
        <v>29</v>
      </c>
      <c r="P333" t="s">
        <v>154</v>
      </c>
      <c r="Q333" t="s">
        <v>1101</v>
      </c>
      <c r="R333" t="s">
        <v>32</v>
      </c>
      <c r="S333">
        <v>4</v>
      </c>
      <c r="T333">
        <v>2685.66</v>
      </c>
      <c r="U333" s="2">
        <f t="shared" si="61"/>
        <v>10742.64</v>
      </c>
      <c r="V333" s="13">
        <v>0</v>
      </c>
      <c r="W333" s="2">
        <f t="shared" si="62"/>
        <v>0</v>
      </c>
      <c r="X333" s="2" t="str">
        <f t="shared" si="63"/>
        <v>Valid</v>
      </c>
      <c r="Y333" s="2" t="str">
        <f t="shared" si="64"/>
        <v>Clean</v>
      </c>
      <c r="Z333">
        <v>10742.64</v>
      </c>
      <c r="AA333">
        <v>6477.37</v>
      </c>
      <c r="AB333" s="2">
        <f t="shared" si="58"/>
        <v>4265.2699999999995</v>
      </c>
      <c r="AC333">
        <v>4265.2700000000004</v>
      </c>
      <c r="AD333" s="11">
        <f t="shared" si="65"/>
        <v>0.3970411370017054</v>
      </c>
      <c r="AE333" t="s">
        <v>33</v>
      </c>
      <c r="AF333" t="s">
        <v>104</v>
      </c>
    </row>
    <row r="334" spans="1:32">
      <c r="A334" t="s">
        <v>1102</v>
      </c>
      <c r="B334" s="2" t="str">
        <f t="shared" si="55"/>
        <v>Unique</v>
      </c>
      <c r="C334" s="2" t="str">
        <f t="shared" si="59"/>
        <v>May</v>
      </c>
      <c r="D334" s="2">
        <f t="shared" si="60"/>
        <v>2025</v>
      </c>
      <c r="E334" s="4">
        <v>45804</v>
      </c>
      <c r="F334" s="4">
        <v>45805</v>
      </c>
      <c r="G334" s="6">
        <f t="shared" si="56"/>
        <v>1</v>
      </c>
      <c r="H334" s="6" t="str">
        <f t="shared" si="57"/>
        <v>Valid</v>
      </c>
      <c r="I334" t="s">
        <v>1103</v>
      </c>
      <c r="J334" t="s">
        <v>129</v>
      </c>
      <c r="K334" t="s">
        <v>25</v>
      </c>
      <c r="L334" t="s">
        <v>55</v>
      </c>
      <c r="M334" t="s">
        <v>85</v>
      </c>
      <c r="O334" t="s">
        <v>75</v>
      </c>
      <c r="P334" t="s">
        <v>1104</v>
      </c>
      <c r="Q334" t="s">
        <v>1105</v>
      </c>
      <c r="R334" t="s">
        <v>32</v>
      </c>
      <c r="S334">
        <v>2</v>
      </c>
      <c r="T334">
        <v>3911.96</v>
      </c>
      <c r="U334" s="2">
        <f t="shared" si="61"/>
        <v>7823.92</v>
      </c>
      <c r="V334" s="13">
        <v>0</v>
      </c>
      <c r="W334" s="2">
        <f t="shared" si="62"/>
        <v>0</v>
      </c>
      <c r="X334" s="2" t="str">
        <f t="shared" si="63"/>
        <v>Valid</v>
      </c>
      <c r="Y334" s="2" t="str">
        <f t="shared" si="64"/>
        <v>Clean</v>
      </c>
      <c r="Z334">
        <v>7823.92</v>
      </c>
      <c r="AA334">
        <v>6034.63</v>
      </c>
      <c r="AB334" s="2">
        <f t="shared" si="58"/>
        <v>1789.29</v>
      </c>
      <c r="AC334">
        <v>1789.29</v>
      </c>
      <c r="AD334" s="11">
        <f t="shared" si="65"/>
        <v>0.22869482305545047</v>
      </c>
      <c r="AE334" t="s">
        <v>33</v>
      </c>
      <c r="AF334" t="s">
        <v>34</v>
      </c>
    </row>
    <row r="335" spans="1:32">
      <c r="A335" t="s">
        <v>1106</v>
      </c>
      <c r="B335" s="2" t="str">
        <f t="shared" si="55"/>
        <v>Unique</v>
      </c>
      <c r="C335" s="2" t="str">
        <f t="shared" si="59"/>
        <v>Jun</v>
      </c>
      <c r="D335" s="2">
        <f t="shared" si="60"/>
        <v>2025</v>
      </c>
      <c r="E335" s="4">
        <v>45830</v>
      </c>
      <c r="F335" s="4">
        <v>45835</v>
      </c>
      <c r="G335" s="6">
        <f t="shared" si="56"/>
        <v>5</v>
      </c>
      <c r="H335" s="6" t="str">
        <f t="shared" si="57"/>
        <v>Valid</v>
      </c>
      <c r="I335" t="s">
        <v>1107</v>
      </c>
      <c r="J335" t="s">
        <v>142</v>
      </c>
      <c r="K335" t="s">
        <v>96</v>
      </c>
      <c r="L335" s="2" t="s">
        <v>2793</v>
      </c>
      <c r="M335" t="s">
        <v>351</v>
      </c>
      <c r="O335" t="s">
        <v>75</v>
      </c>
      <c r="P335" t="s">
        <v>172</v>
      </c>
      <c r="Q335" t="s">
        <v>1108</v>
      </c>
      <c r="R335" t="s">
        <v>51</v>
      </c>
      <c r="S335">
        <v>2</v>
      </c>
      <c r="T335">
        <v>1468.05</v>
      </c>
      <c r="U335" s="2">
        <f t="shared" si="61"/>
        <v>2936.1</v>
      </c>
      <c r="V335" s="13">
        <v>0</v>
      </c>
      <c r="W335" s="2">
        <f t="shared" si="62"/>
        <v>0</v>
      </c>
      <c r="X335" s="2" t="str">
        <f t="shared" si="63"/>
        <v>Valid</v>
      </c>
      <c r="Y335" s="2" t="str">
        <f t="shared" si="64"/>
        <v>Clean</v>
      </c>
      <c r="Z335">
        <v>2936.1</v>
      </c>
      <c r="AA335">
        <v>1923.1</v>
      </c>
      <c r="AB335" s="2">
        <f t="shared" si="58"/>
        <v>1013</v>
      </c>
      <c r="AC335">
        <v>1013</v>
      </c>
      <c r="AD335" s="11">
        <f t="shared" si="65"/>
        <v>0.34501549674738602</v>
      </c>
      <c r="AE335" t="s">
        <v>33</v>
      </c>
      <c r="AF335" t="s">
        <v>34</v>
      </c>
    </row>
    <row r="336" spans="1:32">
      <c r="A336" t="s">
        <v>1109</v>
      </c>
      <c r="B336" s="2" t="str">
        <f t="shared" si="55"/>
        <v>Unique</v>
      </c>
      <c r="C336" s="2" t="str">
        <f t="shared" si="59"/>
        <v>Sep</v>
      </c>
      <c r="D336" s="2">
        <f t="shared" si="60"/>
        <v>2024</v>
      </c>
      <c r="E336" s="4">
        <v>45547</v>
      </c>
      <c r="F336" s="4">
        <v>45552</v>
      </c>
      <c r="G336" s="6">
        <f t="shared" si="56"/>
        <v>5</v>
      </c>
      <c r="H336" s="6" t="str">
        <f t="shared" si="57"/>
        <v>Valid</v>
      </c>
      <c r="I336" t="s">
        <v>1110</v>
      </c>
      <c r="J336" t="s">
        <v>63</v>
      </c>
      <c r="K336" t="s">
        <v>25</v>
      </c>
      <c r="L336" t="s">
        <v>39</v>
      </c>
      <c r="M336" t="s">
        <v>229</v>
      </c>
      <c r="O336" t="s">
        <v>29</v>
      </c>
      <c r="P336" t="s">
        <v>125</v>
      </c>
      <c r="Q336" t="s">
        <v>1111</v>
      </c>
      <c r="R336" t="s">
        <v>51</v>
      </c>
      <c r="S336">
        <v>9</v>
      </c>
      <c r="T336">
        <v>1921.47</v>
      </c>
      <c r="U336" s="2">
        <f t="shared" si="61"/>
        <v>12969.922500000001</v>
      </c>
      <c r="V336" s="13">
        <v>0.25</v>
      </c>
      <c r="W336" s="2">
        <f t="shared" si="62"/>
        <v>0.25</v>
      </c>
      <c r="X336" s="2" t="str">
        <f t="shared" si="63"/>
        <v>Valid</v>
      </c>
      <c r="Y336" s="2" t="str">
        <f t="shared" si="64"/>
        <v>Clean</v>
      </c>
      <c r="Z336">
        <v>12969.92</v>
      </c>
      <c r="AA336">
        <v>9398.4599999999991</v>
      </c>
      <c r="AB336" s="2">
        <f t="shared" si="58"/>
        <v>3571.4625000000015</v>
      </c>
      <c r="AC336">
        <v>3571.46</v>
      </c>
      <c r="AD336" s="11">
        <f t="shared" si="65"/>
        <v>0.27536484419333351</v>
      </c>
      <c r="AE336" t="s">
        <v>33</v>
      </c>
      <c r="AF336" t="s">
        <v>34</v>
      </c>
    </row>
    <row r="337" spans="1:32">
      <c r="A337" t="s">
        <v>1112</v>
      </c>
      <c r="B337" s="2" t="str">
        <f t="shared" si="55"/>
        <v>Duplicate Order ID</v>
      </c>
      <c r="C337" s="2" t="str">
        <f t="shared" si="59"/>
        <v>Jun</v>
      </c>
      <c r="D337" s="2">
        <f t="shared" si="60"/>
        <v>2025</v>
      </c>
      <c r="E337" s="4">
        <v>45824</v>
      </c>
      <c r="F337" s="4">
        <v>45826</v>
      </c>
      <c r="G337" s="6">
        <f t="shared" si="56"/>
        <v>2</v>
      </c>
      <c r="H337" s="6" t="str">
        <f t="shared" si="57"/>
        <v>Valid</v>
      </c>
      <c r="I337" t="s">
        <v>1113</v>
      </c>
      <c r="J337" t="s">
        <v>119</v>
      </c>
      <c r="K337" t="s">
        <v>96</v>
      </c>
      <c r="L337" t="s">
        <v>64</v>
      </c>
      <c r="M337" t="s">
        <v>73</v>
      </c>
      <c r="O337" t="s">
        <v>29</v>
      </c>
      <c r="P337" t="s">
        <v>30</v>
      </c>
      <c r="Q337" t="s">
        <v>1114</v>
      </c>
      <c r="R337" t="s">
        <v>51</v>
      </c>
      <c r="S337">
        <v>3</v>
      </c>
      <c r="T337">
        <v>4289.37</v>
      </c>
      <c r="U337" s="2">
        <f t="shared" si="61"/>
        <v>11581.299000000001</v>
      </c>
      <c r="V337" s="13">
        <v>0.1</v>
      </c>
      <c r="W337" s="2">
        <f t="shared" si="62"/>
        <v>0.1</v>
      </c>
      <c r="X337" s="2" t="str">
        <f t="shared" si="63"/>
        <v>Valid</v>
      </c>
      <c r="Y337" s="2" t="str">
        <f t="shared" si="64"/>
        <v>Clean</v>
      </c>
      <c r="Z337">
        <v>11581.3</v>
      </c>
      <c r="AA337">
        <v>6829.43</v>
      </c>
      <c r="AB337" s="2">
        <f t="shared" si="58"/>
        <v>4751.8690000000006</v>
      </c>
      <c r="AC337">
        <v>4751.87</v>
      </c>
      <c r="AD337" s="11">
        <f t="shared" si="65"/>
        <v>0.41030540612884564</v>
      </c>
      <c r="AE337" t="s">
        <v>33</v>
      </c>
      <c r="AF337" t="s">
        <v>34</v>
      </c>
    </row>
    <row r="338" spans="1:32">
      <c r="A338" t="s">
        <v>1115</v>
      </c>
      <c r="B338" s="2" t="str">
        <f t="shared" si="55"/>
        <v>Unique</v>
      </c>
      <c r="C338" s="2" t="str">
        <f t="shared" si="59"/>
        <v>Mar</v>
      </c>
      <c r="D338" s="2">
        <f t="shared" si="60"/>
        <v>2024</v>
      </c>
      <c r="E338" s="4">
        <v>45368</v>
      </c>
      <c r="F338" s="4">
        <v>45372</v>
      </c>
      <c r="G338" s="6">
        <f t="shared" si="56"/>
        <v>4</v>
      </c>
      <c r="H338" s="6" t="str">
        <f t="shared" si="57"/>
        <v>Valid</v>
      </c>
      <c r="I338" t="s">
        <v>866</v>
      </c>
      <c r="J338" t="s">
        <v>129</v>
      </c>
      <c r="K338" t="s">
        <v>25</v>
      </c>
      <c r="L338" t="s">
        <v>26</v>
      </c>
      <c r="M338" t="s">
        <v>27</v>
      </c>
      <c r="O338" t="s">
        <v>75</v>
      </c>
      <c r="P338" t="s">
        <v>81</v>
      </c>
      <c r="Q338" t="s">
        <v>1116</v>
      </c>
      <c r="R338" t="s">
        <v>51</v>
      </c>
      <c r="S338">
        <v>8</v>
      </c>
      <c r="T338">
        <v>1992.57</v>
      </c>
      <c r="U338" s="2">
        <f t="shared" si="61"/>
        <v>15940.56</v>
      </c>
      <c r="V338" s="13">
        <v>0</v>
      </c>
      <c r="W338" s="2">
        <f t="shared" si="62"/>
        <v>0</v>
      </c>
      <c r="X338" s="2" t="str">
        <f t="shared" si="63"/>
        <v>Valid</v>
      </c>
      <c r="Y338" s="2" t="str">
        <f t="shared" si="64"/>
        <v>Clean</v>
      </c>
      <c r="Z338">
        <v>15940.56</v>
      </c>
      <c r="AA338">
        <v>12347.15</v>
      </c>
      <c r="AB338" s="2">
        <f t="shared" si="58"/>
        <v>3593.41</v>
      </c>
      <c r="AC338">
        <v>3593.41</v>
      </c>
      <c r="AD338" s="11">
        <f t="shared" si="65"/>
        <v>0.2254255810335396</v>
      </c>
      <c r="AE338" t="s">
        <v>33</v>
      </c>
      <c r="AF338" t="s">
        <v>34</v>
      </c>
    </row>
    <row r="339" spans="1:32">
      <c r="A339" t="s">
        <v>1117</v>
      </c>
      <c r="B339" s="2" t="str">
        <f t="shared" si="55"/>
        <v>Unique</v>
      </c>
      <c r="C339" s="2" t="str">
        <f t="shared" si="59"/>
        <v>Aug</v>
      </c>
      <c r="D339" s="2">
        <f t="shared" si="60"/>
        <v>2024</v>
      </c>
      <c r="E339" s="4">
        <v>45516</v>
      </c>
      <c r="F339" s="4">
        <v>45522</v>
      </c>
      <c r="G339" s="6">
        <f t="shared" si="56"/>
        <v>6</v>
      </c>
      <c r="H339" s="6" t="str">
        <f t="shared" si="57"/>
        <v>Valid</v>
      </c>
      <c r="I339" t="s">
        <v>1118</v>
      </c>
      <c r="J339" t="s">
        <v>63</v>
      </c>
      <c r="K339" t="s">
        <v>25</v>
      </c>
      <c r="L339" t="s">
        <v>39</v>
      </c>
      <c r="M339" t="s">
        <v>167</v>
      </c>
      <c r="O339" t="s">
        <v>29</v>
      </c>
      <c r="P339" t="s">
        <v>92</v>
      </c>
      <c r="Q339" t="s">
        <v>1119</v>
      </c>
      <c r="R339" t="s">
        <v>45</v>
      </c>
      <c r="S339">
        <v>6</v>
      </c>
      <c r="T339">
        <v>1181.74</v>
      </c>
      <c r="U339" s="2">
        <f t="shared" si="61"/>
        <v>7090.4400000000005</v>
      </c>
      <c r="V339" s="13">
        <v>0</v>
      </c>
      <c r="W339" s="2">
        <f t="shared" si="62"/>
        <v>0</v>
      </c>
      <c r="X339" s="2" t="str">
        <f t="shared" si="63"/>
        <v>Valid</v>
      </c>
      <c r="Y339" s="2" t="str">
        <f t="shared" si="64"/>
        <v>Clean</v>
      </c>
      <c r="Z339">
        <v>7090.44</v>
      </c>
      <c r="AA339">
        <v>5672.27</v>
      </c>
      <c r="AB339" s="2">
        <f t="shared" si="58"/>
        <v>1418.17</v>
      </c>
      <c r="AC339">
        <v>1262.8699999999999</v>
      </c>
      <c r="AD339" s="11">
        <f t="shared" si="65"/>
        <v>0.17810883386644552</v>
      </c>
      <c r="AE339" t="s">
        <v>33</v>
      </c>
      <c r="AF339" t="s">
        <v>34</v>
      </c>
    </row>
    <row r="340" spans="1:32">
      <c r="A340" t="s">
        <v>1120</v>
      </c>
      <c r="B340" s="2" t="str">
        <f t="shared" si="55"/>
        <v>Unique</v>
      </c>
      <c r="C340" s="2" t="str">
        <f t="shared" si="59"/>
        <v>Dec</v>
      </c>
      <c r="D340" s="2">
        <f t="shared" si="60"/>
        <v>2024</v>
      </c>
      <c r="E340" s="4">
        <v>45634</v>
      </c>
      <c r="F340" s="4">
        <v>45634</v>
      </c>
      <c r="G340" s="6">
        <f t="shared" si="56"/>
        <v>0</v>
      </c>
      <c r="H340" s="6" t="str">
        <f t="shared" si="57"/>
        <v>Valid</v>
      </c>
      <c r="I340" t="s">
        <v>1121</v>
      </c>
      <c r="J340" t="s">
        <v>54</v>
      </c>
      <c r="K340" t="s">
        <v>38</v>
      </c>
      <c r="L340" t="s">
        <v>55</v>
      </c>
      <c r="M340" t="s">
        <v>85</v>
      </c>
      <c r="O340" t="s">
        <v>75</v>
      </c>
      <c r="P340" t="s">
        <v>76</v>
      </c>
      <c r="Q340" t="s">
        <v>1122</v>
      </c>
      <c r="R340" t="s">
        <v>51</v>
      </c>
      <c r="S340">
        <v>8</v>
      </c>
      <c r="T340">
        <v>4402.3599999999997</v>
      </c>
      <c r="U340" s="2">
        <f t="shared" si="61"/>
        <v>26414.159999999996</v>
      </c>
      <c r="V340" s="13">
        <v>0.25</v>
      </c>
      <c r="W340" s="2">
        <f t="shared" si="62"/>
        <v>0.25</v>
      </c>
      <c r="X340" s="2" t="str">
        <f t="shared" si="63"/>
        <v>Valid</v>
      </c>
      <c r="Y340" s="2" t="str">
        <f t="shared" si="64"/>
        <v>Clean</v>
      </c>
      <c r="Z340">
        <v>26414.16</v>
      </c>
      <c r="AA340">
        <v>21822.53</v>
      </c>
      <c r="AB340" s="2">
        <f t="shared" si="58"/>
        <v>4591.6299999999974</v>
      </c>
      <c r="AC340">
        <v>4591.63</v>
      </c>
      <c r="AD340" s="11">
        <f t="shared" si="65"/>
        <v>0.17383214154832105</v>
      </c>
      <c r="AE340" t="s">
        <v>33</v>
      </c>
      <c r="AF340" t="s">
        <v>34</v>
      </c>
    </row>
    <row r="341" spans="1:32">
      <c r="A341" t="s">
        <v>1123</v>
      </c>
      <c r="B341" s="2" t="str">
        <f t="shared" si="55"/>
        <v>Unique</v>
      </c>
      <c r="C341" s="2" t="str">
        <f t="shared" si="59"/>
        <v>Feb</v>
      </c>
      <c r="D341" s="2">
        <f t="shared" si="60"/>
        <v>2025</v>
      </c>
      <c r="E341" s="4">
        <v>45708</v>
      </c>
      <c r="F341" s="4">
        <v>45710</v>
      </c>
      <c r="G341" s="6">
        <f t="shared" si="56"/>
        <v>2</v>
      </c>
      <c r="H341" s="6" t="str">
        <f t="shared" si="57"/>
        <v>Valid</v>
      </c>
      <c r="I341" t="s">
        <v>1124</v>
      </c>
      <c r="J341" t="s">
        <v>80</v>
      </c>
      <c r="K341" t="s">
        <v>91</v>
      </c>
      <c r="L341" t="s">
        <v>39</v>
      </c>
      <c r="M341" t="s">
        <v>229</v>
      </c>
      <c r="O341" t="s">
        <v>42</v>
      </c>
      <c r="P341" t="s">
        <v>159</v>
      </c>
      <c r="Q341" t="s">
        <v>1125</v>
      </c>
      <c r="R341" t="s">
        <v>60</v>
      </c>
      <c r="S341">
        <v>8</v>
      </c>
      <c r="T341">
        <v>3265.76</v>
      </c>
      <c r="U341" s="2">
        <f t="shared" si="61"/>
        <v>20900.864000000001</v>
      </c>
      <c r="V341" s="13">
        <v>0.2</v>
      </c>
      <c r="W341" s="2">
        <f t="shared" si="62"/>
        <v>0.2</v>
      </c>
      <c r="X341" s="2" t="str">
        <f t="shared" si="63"/>
        <v>Valid</v>
      </c>
      <c r="Y341" s="2" t="str">
        <f t="shared" si="64"/>
        <v>Clean</v>
      </c>
      <c r="Z341">
        <v>20900.86</v>
      </c>
      <c r="AA341">
        <v>12513.14</v>
      </c>
      <c r="AB341" s="2">
        <f t="shared" si="58"/>
        <v>8387.724000000002</v>
      </c>
      <c r="AC341">
        <v>8387.7199999999993</v>
      </c>
      <c r="AD341" s="11">
        <f t="shared" si="65"/>
        <v>0.40130980256314808</v>
      </c>
      <c r="AE341" t="s">
        <v>33</v>
      </c>
      <c r="AF341" t="s">
        <v>34</v>
      </c>
    </row>
    <row r="342" spans="1:32">
      <c r="A342" t="s">
        <v>1126</v>
      </c>
      <c r="B342" s="2" t="str">
        <f t="shared" si="55"/>
        <v>Unique</v>
      </c>
      <c r="C342" s="2" t="str">
        <f t="shared" si="59"/>
        <v>Jan</v>
      </c>
      <c r="D342" s="2">
        <f t="shared" si="60"/>
        <v>2024</v>
      </c>
      <c r="E342" s="4">
        <v>45312</v>
      </c>
      <c r="F342" s="4">
        <v>45320</v>
      </c>
      <c r="G342" s="6">
        <f t="shared" si="56"/>
        <v>8</v>
      </c>
      <c r="H342" s="6" t="str">
        <f t="shared" si="57"/>
        <v>Valid</v>
      </c>
      <c r="I342" t="s">
        <v>1127</v>
      </c>
      <c r="J342" t="s">
        <v>80</v>
      </c>
      <c r="K342" t="s">
        <v>25</v>
      </c>
      <c r="L342" t="s">
        <v>55</v>
      </c>
      <c r="M342" t="s">
        <v>176</v>
      </c>
      <c r="O342" t="s">
        <v>29</v>
      </c>
      <c r="P342" t="s">
        <v>154</v>
      </c>
      <c r="Q342" t="s">
        <v>1128</v>
      </c>
      <c r="R342" t="s">
        <v>60</v>
      </c>
      <c r="S342">
        <v>5</v>
      </c>
      <c r="T342">
        <v>4058.08</v>
      </c>
      <c r="U342" s="2">
        <f t="shared" si="61"/>
        <v>18261.36</v>
      </c>
      <c r="V342" s="13">
        <v>0.1</v>
      </c>
      <c r="W342" s="2">
        <f t="shared" si="62"/>
        <v>0.1</v>
      </c>
      <c r="X342" s="2" t="str">
        <f t="shared" si="63"/>
        <v>Valid</v>
      </c>
      <c r="Y342" s="2" t="str">
        <f t="shared" si="64"/>
        <v>Clean</v>
      </c>
      <c r="Z342">
        <v>18261.36</v>
      </c>
      <c r="AA342">
        <v>11399.94</v>
      </c>
      <c r="AB342" s="2">
        <f t="shared" si="58"/>
        <v>6861.42</v>
      </c>
      <c r="AC342">
        <v>6861.42</v>
      </c>
      <c r="AD342" s="11">
        <f t="shared" si="65"/>
        <v>0.3757343374206521</v>
      </c>
      <c r="AE342" t="s">
        <v>33</v>
      </c>
      <c r="AF342" t="s">
        <v>34</v>
      </c>
    </row>
    <row r="343" spans="1:32">
      <c r="A343" t="s">
        <v>1129</v>
      </c>
      <c r="B343" s="2" t="str">
        <f t="shared" si="55"/>
        <v>Unique</v>
      </c>
      <c r="C343" s="2" t="str">
        <f t="shared" si="59"/>
        <v>Sep</v>
      </c>
      <c r="D343" s="2">
        <f t="shared" si="60"/>
        <v>2025</v>
      </c>
      <c r="E343" s="4">
        <v>45908</v>
      </c>
      <c r="F343" s="4">
        <v>45909</v>
      </c>
      <c r="G343" s="6">
        <f t="shared" si="56"/>
        <v>1</v>
      </c>
      <c r="H343" s="6" t="str">
        <f t="shared" si="57"/>
        <v>Valid</v>
      </c>
      <c r="I343" t="s">
        <v>1130</v>
      </c>
      <c r="J343" t="s">
        <v>142</v>
      </c>
      <c r="K343" t="s">
        <v>96</v>
      </c>
      <c r="L343" t="s">
        <v>64</v>
      </c>
      <c r="M343" t="s">
        <v>181</v>
      </c>
      <c r="O343" t="s">
        <v>42</v>
      </c>
      <c r="P343" t="s">
        <v>67</v>
      </c>
      <c r="Q343" t="s">
        <v>1131</v>
      </c>
      <c r="R343" t="s">
        <v>32</v>
      </c>
      <c r="S343">
        <v>2</v>
      </c>
      <c r="T343">
        <v>3960.33</v>
      </c>
      <c r="U343" s="2">
        <f t="shared" si="61"/>
        <v>7524.6269999999995</v>
      </c>
      <c r="V343" s="13">
        <v>0.05</v>
      </c>
      <c r="W343" s="2">
        <f t="shared" si="62"/>
        <v>0.05</v>
      </c>
      <c r="X343" s="2" t="str">
        <f t="shared" si="63"/>
        <v>Valid</v>
      </c>
      <c r="Y343" s="2" t="str">
        <f t="shared" si="64"/>
        <v>Clean</v>
      </c>
      <c r="Z343">
        <v>7524.63</v>
      </c>
      <c r="AA343">
        <v>6229.6</v>
      </c>
      <c r="AB343" s="2">
        <f t="shared" si="58"/>
        <v>1295.0269999999991</v>
      </c>
      <c r="AC343">
        <v>1295.03</v>
      </c>
      <c r="AD343" s="11">
        <f t="shared" si="65"/>
        <v>0.17210547229564777</v>
      </c>
      <c r="AE343" t="s">
        <v>33</v>
      </c>
      <c r="AF343" t="s">
        <v>34</v>
      </c>
    </row>
    <row r="344" spans="1:32">
      <c r="A344" t="s">
        <v>1132</v>
      </c>
      <c r="B344" s="2" t="str">
        <f t="shared" si="55"/>
        <v>Unique</v>
      </c>
      <c r="C344" s="2" t="str">
        <f t="shared" si="59"/>
        <v>Jul</v>
      </c>
      <c r="D344" s="2">
        <f t="shared" si="60"/>
        <v>2025</v>
      </c>
      <c r="E344" s="4">
        <v>45862</v>
      </c>
      <c r="F344" s="4">
        <v>45870</v>
      </c>
      <c r="G344" s="6">
        <f t="shared" si="56"/>
        <v>8</v>
      </c>
      <c r="H344" s="6" t="str">
        <f t="shared" si="57"/>
        <v>Valid</v>
      </c>
      <c r="I344" t="s">
        <v>1133</v>
      </c>
      <c r="J344" t="s">
        <v>265</v>
      </c>
      <c r="K344" t="s">
        <v>38</v>
      </c>
      <c r="L344" t="s">
        <v>39</v>
      </c>
      <c r="M344" t="s">
        <v>229</v>
      </c>
      <c r="O344" t="s">
        <v>29</v>
      </c>
      <c r="P344" t="s">
        <v>154</v>
      </c>
      <c r="Q344" t="s">
        <v>1134</v>
      </c>
      <c r="R344" t="s">
        <v>51</v>
      </c>
      <c r="S344">
        <v>8</v>
      </c>
      <c r="T344">
        <v>1528.92</v>
      </c>
      <c r="U344" s="2">
        <f t="shared" si="61"/>
        <v>12231.36</v>
      </c>
      <c r="V344" s="13">
        <v>0</v>
      </c>
      <c r="W344" s="2">
        <f t="shared" si="62"/>
        <v>0</v>
      </c>
      <c r="X344" s="2" t="str">
        <f t="shared" si="63"/>
        <v>Valid</v>
      </c>
      <c r="Y344" s="2" t="str">
        <f t="shared" si="64"/>
        <v>Clean</v>
      </c>
      <c r="Z344">
        <v>12231.36</v>
      </c>
      <c r="AA344">
        <v>8766.9</v>
      </c>
      <c r="AB344" s="2">
        <f t="shared" si="58"/>
        <v>3464.4600000000009</v>
      </c>
      <c r="AC344">
        <v>3464.46</v>
      </c>
      <c r="AD344" s="11">
        <f t="shared" si="65"/>
        <v>0.28324405462679536</v>
      </c>
      <c r="AE344" t="s">
        <v>33</v>
      </c>
      <c r="AF344" t="s">
        <v>34</v>
      </c>
    </row>
    <row r="345" spans="1:32">
      <c r="A345" t="s">
        <v>1135</v>
      </c>
      <c r="B345" s="2" t="str">
        <f t="shared" si="55"/>
        <v>Unique</v>
      </c>
      <c r="C345" s="2" t="str">
        <f t="shared" si="59"/>
        <v>Oct</v>
      </c>
      <c r="D345" s="2">
        <f t="shared" si="60"/>
        <v>2025</v>
      </c>
      <c r="E345" s="4">
        <v>45933</v>
      </c>
      <c r="F345" s="4">
        <v>45938</v>
      </c>
      <c r="G345" s="6">
        <f t="shared" si="56"/>
        <v>5</v>
      </c>
      <c r="H345" s="6" t="str">
        <f t="shared" si="57"/>
        <v>Valid</v>
      </c>
      <c r="I345" t="s">
        <v>1136</v>
      </c>
      <c r="J345" t="s">
        <v>129</v>
      </c>
      <c r="K345" t="s">
        <v>91</v>
      </c>
      <c r="L345" t="s">
        <v>64</v>
      </c>
      <c r="M345" t="s">
        <v>73</v>
      </c>
      <c r="O345" t="s">
        <v>75</v>
      </c>
      <c r="P345" t="s">
        <v>275</v>
      </c>
      <c r="Q345" t="s">
        <v>1137</v>
      </c>
      <c r="R345" t="s">
        <v>45</v>
      </c>
      <c r="S345">
        <v>9</v>
      </c>
      <c r="T345">
        <v>3837</v>
      </c>
      <c r="U345" s="2">
        <f t="shared" si="61"/>
        <v>31079.7</v>
      </c>
      <c r="V345" s="13">
        <v>0.1</v>
      </c>
      <c r="W345" s="2">
        <f t="shared" si="62"/>
        <v>0.1</v>
      </c>
      <c r="X345" s="2" t="str">
        <f t="shared" si="63"/>
        <v>Valid</v>
      </c>
      <c r="Y345" s="2" t="str">
        <f t="shared" si="64"/>
        <v>Clean</v>
      </c>
      <c r="Z345">
        <v>31079.7</v>
      </c>
      <c r="AA345">
        <v>17758.25</v>
      </c>
      <c r="AB345" s="2">
        <f t="shared" si="58"/>
        <v>13321.45</v>
      </c>
      <c r="AC345">
        <v>13321.45</v>
      </c>
      <c r="AD345" s="11">
        <f t="shared" si="65"/>
        <v>0.4286222196481948</v>
      </c>
      <c r="AE345" t="s">
        <v>33</v>
      </c>
      <c r="AF345" t="s">
        <v>34</v>
      </c>
    </row>
    <row r="346" spans="1:32">
      <c r="A346" t="s">
        <v>1138</v>
      </c>
      <c r="B346" s="2" t="str">
        <f t="shared" si="55"/>
        <v>Unique</v>
      </c>
      <c r="C346" s="2" t="str">
        <f t="shared" si="59"/>
        <v>Mar</v>
      </c>
      <c r="D346" s="2">
        <f t="shared" si="60"/>
        <v>2024</v>
      </c>
      <c r="E346" s="4">
        <v>45362</v>
      </c>
      <c r="F346" s="4">
        <v>45362</v>
      </c>
      <c r="G346" s="6">
        <f t="shared" si="56"/>
        <v>0</v>
      </c>
      <c r="H346" s="6" t="str">
        <f t="shared" si="57"/>
        <v>Valid</v>
      </c>
      <c r="I346" t="s">
        <v>1139</v>
      </c>
      <c r="J346" t="s">
        <v>115</v>
      </c>
      <c r="K346" t="s">
        <v>25</v>
      </c>
      <c r="L346" t="s">
        <v>26</v>
      </c>
      <c r="M346" t="s">
        <v>123</v>
      </c>
      <c r="O346" t="s">
        <v>42</v>
      </c>
      <c r="P346" t="s">
        <v>159</v>
      </c>
      <c r="Q346" t="s">
        <v>1140</v>
      </c>
      <c r="R346" t="s">
        <v>45</v>
      </c>
      <c r="S346">
        <v>9</v>
      </c>
      <c r="T346">
        <v>3456.38</v>
      </c>
      <c r="U346" s="2">
        <f t="shared" si="61"/>
        <v>31107.420000000002</v>
      </c>
      <c r="V346" s="13">
        <v>0</v>
      </c>
      <c r="W346" s="2">
        <f t="shared" si="62"/>
        <v>0</v>
      </c>
      <c r="X346" s="2" t="str">
        <f t="shared" si="63"/>
        <v>Valid</v>
      </c>
      <c r="Y346" s="2" t="str">
        <f t="shared" si="64"/>
        <v>Clean</v>
      </c>
      <c r="Z346">
        <v>31107.42</v>
      </c>
      <c r="AA346">
        <v>20146.66</v>
      </c>
      <c r="AB346" s="2">
        <f t="shared" si="58"/>
        <v>10960.760000000002</v>
      </c>
      <c r="AC346">
        <v>10960.76</v>
      </c>
      <c r="AD346" s="11">
        <f t="shared" si="65"/>
        <v>0.3523519468988428</v>
      </c>
      <c r="AE346" t="s">
        <v>112</v>
      </c>
      <c r="AF346" t="s">
        <v>104</v>
      </c>
    </row>
    <row r="347" spans="1:32">
      <c r="A347" t="s">
        <v>1141</v>
      </c>
      <c r="B347" s="2" t="str">
        <f t="shared" si="55"/>
        <v>Unique</v>
      </c>
      <c r="C347" s="2" t="str">
        <f t="shared" si="59"/>
        <v>Sep</v>
      </c>
      <c r="D347" s="2">
        <f t="shared" si="60"/>
        <v>2024</v>
      </c>
      <c r="E347" s="4">
        <v>45549</v>
      </c>
      <c r="F347" s="4">
        <v>45557</v>
      </c>
      <c r="G347" s="6">
        <f t="shared" si="56"/>
        <v>8</v>
      </c>
      <c r="H347" s="6" t="str">
        <f t="shared" si="57"/>
        <v>Valid</v>
      </c>
      <c r="I347" t="s">
        <v>1142</v>
      </c>
      <c r="J347" t="s">
        <v>24</v>
      </c>
      <c r="K347" t="s">
        <v>25</v>
      </c>
      <c r="L347" t="s">
        <v>64</v>
      </c>
      <c r="M347" t="s">
        <v>73</v>
      </c>
      <c r="O347" t="s">
        <v>42</v>
      </c>
      <c r="P347" t="s">
        <v>58</v>
      </c>
      <c r="Q347" t="s">
        <v>1143</v>
      </c>
      <c r="R347" t="s">
        <v>32</v>
      </c>
      <c r="S347">
        <v>2</v>
      </c>
      <c r="T347">
        <v>2765.3</v>
      </c>
      <c r="U347" s="2">
        <f t="shared" si="61"/>
        <v>5530.6</v>
      </c>
      <c r="V347" s="13">
        <v>0</v>
      </c>
      <c r="W347" s="2">
        <f t="shared" si="62"/>
        <v>0</v>
      </c>
      <c r="X347" s="2" t="str">
        <f t="shared" si="63"/>
        <v>Valid</v>
      </c>
      <c r="Y347" s="2" t="str">
        <f t="shared" si="64"/>
        <v>Clean</v>
      </c>
      <c r="Z347">
        <v>5530.6</v>
      </c>
      <c r="AA347">
        <v>4453.1099999999997</v>
      </c>
      <c r="AB347" s="2">
        <f t="shared" si="58"/>
        <v>1077.4900000000007</v>
      </c>
      <c r="AC347">
        <v>1077.49</v>
      </c>
      <c r="AD347" s="11">
        <f t="shared" si="65"/>
        <v>0.1948233464723538</v>
      </c>
      <c r="AE347" t="s">
        <v>33</v>
      </c>
      <c r="AF347" t="s">
        <v>34</v>
      </c>
    </row>
    <row r="348" spans="1:32">
      <c r="A348" t="s">
        <v>1144</v>
      </c>
      <c r="B348" s="2" t="str">
        <f t="shared" si="55"/>
        <v>Unique</v>
      </c>
      <c r="C348" s="2" t="str">
        <f t="shared" si="59"/>
        <v>Jul</v>
      </c>
      <c r="D348" s="2">
        <f t="shared" si="60"/>
        <v>2025</v>
      </c>
      <c r="E348" s="4">
        <v>45860</v>
      </c>
      <c r="F348" s="4">
        <v>45866</v>
      </c>
      <c r="G348" s="6">
        <f t="shared" si="56"/>
        <v>6</v>
      </c>
      <c r="H348" s="6" t="str">
        <f t="shared" si="57"/>
        <v>Valid</v>
      </c>
      <c r="I348" t="s">
        <v>1145</v>
      </c>
      <c r="J348" t="s">
        <v>119</v>
      </c>
      <c r="K348" t="s">
        <v>91</v>
      </c>
      <c r="L348" t="s">
        <v>55</v>
      </c>
      <c r="M348" t="s">
        <v>186</v>
      </c>
      <c r="O348" t="s">
        <v>42</v>
      </c>
      <c r="P348" t="s">
        <v>67</v>
      </c>
      <c r="Q348" t="s">
        <v>1146</v>
      </c>
      <c r="R348" t="s">
        <v>32</v>
      </c>
      <c r="S348">
        <v>6</v>
      </c>
      <c r="T348">
        <v>1607.46</v>
      </c>
      <c r="U348" s="2">
        <f t="shared" si="61"/>
        <v>7715.8080000000009</v>
      </c>
      <c r="V348" s="13">
        <v>0.2</v>
      </c>
      <c r="W348" s="2">
        <f t="shared" si="62"/>
        <v>0.2</v>
      </c>
      <c r="X348" s="2" t="str">
        <f t="shared" si="63"/>
        <v>Valid</v>
      </c>
      <c r="Y348" s="2" t="str">
        <f t="shared" si="64"/>
        <v>Clean</v>
      </c>
      <c r="Z348">
        <v>7715.81</v>
      </c>
      <c r="AA348">
        <v>4258.42</v>
      </c>
      <c r="AB348" s="2">
        <f t="shared" si="58"/>
        <v>3457.3880000000008</v>
      </c>
      <c r="AC348">
        <v>3457.39</v>
      </c>
      <c r="AD348" s="11">
        <f t="shared" si="65"/>
        <v>0.44809164559521292</v>
      </c>
      <c r="AE348" t="s">
        <v>33</v>
      </c>
      <c r="AF348" t="s">
        <v>34</v>
      </c>
    </row>
    <row r="349" spans="1:32">
      <c r="A349" t="s">
        <v>1147</v>
      </c>
      <c r="B349" s="2" t="str">
        <f t="shared" si="55"/>
        <v>Unique</v>
      </c>
      <c r="C349" s="2" t="str">
        <f t="shared" si="59"/>
        <v>Dec</v>
      </c>
      <c r="D349" s="2">
        <f t="shared" si="60"/>
        <v>2024</v>
      </c>
      <c r="E349" s="4">
        <v>45627</v>
      </c>
      <c r="F349" s="4">
        <v>45634</v>
      </c>
      <c r="G349" s="6">
        <f t="shared" si="56"/>
        <v>7</v>
      </c>
      <c r="H349" s="6" t="str">
        <f t="shared" si="57"/>
        <v>Valid</v>
      </c>
      <c r="I349" t="s">
        <v>1148</v>
      </c>
      <c r="J349" t="s">
        <v>129</v>
      </c>
      <c r="K349" t="s">
        <v>38</v>
      </c>
      <c r="L349" t="s">
        <v>64</v>
      </c>
      <c r="M349" t="s">
        <v>191</v>
      </c>
      <c r="O349" t="s">
        <v>42</v>
      </c>
      <c r="P349" t="s">
        <v>67</v>
      </c>
      <c r="Q349" t="s">
        <v>1149</v>
      </c>
      <c r="R349" t="s">
        <v>32</v>
      </c>
      <c r="S349">
        <v>5</v>
      </c>
      <c r="T349">
        <v>2981.49</v>
      </c>
      <c r="U349" s="2">
        <f t="shared" si="61"/>
        <v>11925.96</v>
      </c>
      <c r="V349" s="13">
        <v>0.2</v>
      </c>
      <c r="W349" s="2">
        <f t="shared" si="62"/>
        <v>0.2</v>
      </c>
      <c r="X349" s="2" t="str">
        <f t="shared" si="63"/>
        <v>Valid</v>
      </c>
      <c r="Y349" s="2" t="str">
        <f t="shared" si="64"/>
        <v>Clean</v>
      </c>
      <c r="Z349">
        <v>11925.96</v>
      </c>
      <c r="AA349">
        <v>10103.51</v>
      </c>
      <c r="AB349" s="2">
        <f t="shared" si="58"/>
        <v>1822.4499999999989</v>
      </c>
      <c r="AC349">
        <v>1822.45</v>
      </c>
      <c r="AD349" s="11">
        <f t="shared" si="65"/>
        <v>0.15281369382422885</v>
      </c>
      <c r="AE349" t="s">
        <v>103</v>
      </c>
      <c r="AF349" t="s">
        <v>104</v>
      </c>
    </row>
    <row r="350" spans="1:32">
      <c r="A350" t="s">
        <v>1150</v>
      </c>
      <c r="B350" s="2" t="str">
        <f t="shared" si="55"/>
        <v>Unique</v>
      </c>
      <c r="C350" s="2" t="str">
        <f t="shared" si="59"/>
        <v>Jun</v>
      </c>
      <c r="D350" s="2">
        <f t="shared" si="60"/>
        <v>2024</v>
      </c>
      <c r="E350" s="4">
        <v>45445</v>
      </c>
      <c r="F350" s="4">
        <v>45450</v>
      </c>
      <c r="G350" s="6">
        <f t="shared" si="56"/>
        <v>5</v>
      </c>
      <c r="H350" s="6" t="str">
        <f t="shared" si="57"/>
        <v>Valid</v>
      </c>
      <c r="I350" t="s">
        <v>1151</v>
      </c>
      <c r="J350" t="s">
        <v>129</v>
      </c>
      <c r="K350" t="s">
        <v>91</v>
      </c>
      <c r="L350" t="s">
        <v>55</v>
      </c>
      <c r="M350" t="s">
        <v>176</v>
      </c>
      <c r="O350" t="s">
        <v>75</v>
      </c>
      <c r="P350" t="s">
        <v>172</v>
      </c>
      <c r="Q350" t="s">
        <v>1152</v>
      </c>
      <c r="R350" t="s">
        <v>45</v>
      </c>
      <c r="S350">
        <v>9</v>
      </c>
      <c r="T350">
        <v>2860.26</v>
      </c>
      <c r="U350" s="2">
        <f t="shared" si="61"/>
        <v>19306.755000000005</v>
      </c>
      <c r="V350" s="13">
        <v>0.25</v>
      </c>
      <c r="W350" s="2">
        <f t="shared" si="62"/>
        <v>0.25</v>
      </c>
      <c r="X350" s="2" t="str">
        <f t="shared" si="63"/>
        <v>Valid</v>
      </c>
      <c r="Y350" s="2" t="str">
        <f t="shared" si="64"/>
        <v>Clean</v>
      </c>
      <c r="Z350">
        <v>19306.759999999998</v>
      </c>
      <c r="AA350">
        <v>14442.38</v>
      </c>
      <c r="AB350" s="2">
        <f t="shared" si="58"/>
        <v>4864.3750000000055</v>
      </c>
      <c r="AC350">
        <v>4864.38</v>
      </c>
      <c r="AD350" s="11">
        <f t="shared" si="65"/>
        <v>0.25195216597709819</v>
      </c>
      <c r="AE350" t="s">
        <v>33</v>
      </c>
      <c r="AF350" t="s">
        <v>34</v>
      </c>
    </row>
    <row r="351" spans="1:32">
      <c r="A351" t="s">
        <v>1153</v>
      </c>
      <c r="B351" s="2" t="str">
        <f t="shared" si="55"/>
        <v>Unique</v>
      </c>
      <c r="C351" s="2" t="str">
        <f t="shared" si="59"/>
        <v>Sep</v>
      </c>
      <c r="D351" s="2">
        <f t="shared" si="60"/>
        <v>2025</v>
      </c>
      <c r="E351" s="4">
        <v>45927</v>
      </c>
      <c r="F351" s="4">
        <v>45929</v>
      </c>
      <c r="G351" s="6">
        <f t="shared" si="56"/>
        <v>2</v>
      </c>
      <c r="H351" s="6" t="str">
        <f t="shared" si="57"/>
        <v>Valid</v>
      </c>
      <c r="I351" t="s">
        <v>1154</v>
      </c>
      <c r="J351" t="s">
        <v>265</v>
      </c>
      <c r="K351" t="s">
        <v>96</v>
      </c>
      <c r="L351" t="s">
        <v>39</v>
      </c>
      <c r="M351" t="s">
        <v>229</v>
      </c>
      <c r="O351" t="s">
        <v>42</v>
      </c>
      <c r="P351" t="s">
        <v>58</v>
      </c>
      <c r="Q351" t="s">
        <v>1155</v>
      </c>
      <c r="R351" t="s">
        <v>32</v>
      </c>
      <c r="S351">
        <v>9</v>
      </c>
      <c r="T351">
        <v>2867.55</v>
      </c>
      <c r="U351" s="2">
        <f t="shared" si="61"/>
        <v>19355.962500000001</v>
      </c>
      <c r="V351" s="13">
        <v>0.25</v>
      </c>
      <c r="W351" s="2">
        <f t="shared" si="62"/>
        <v>0.25</v>
      </c>
      <c r="X351" s="2" t="str">
        <f t="shared" si="63"/>
        <v>Valid</v>
      </c>
      <c r="Y351" s="2" t="str">
        <f t="shared" si="64"/>
        <v>Clean</v>
      </c>
      <c r="Z351">
        <v>19355.96</v>
      </c>
      <c r="AA351">
        <v>15012.45</v>
      </c>
      <c r="AB351" s="2">
        <f t="shared" si="58"/>
        <v>4343.5125000000007</v>
      </c>
      <c r="AC351">
        <v>4017.4</v>
      </c>
      <c r="AD351" s="11">
        <f t="shared" si="65"/>
        <v>0.20755364239231741</v>
      </c>
      <c r="AE351" t="s">
        <v>33</v>
      </c>
      <c r="AF351" t="s">
        <v>34</v>
      </c>
    </row>
    <row r="352" spans="1:32">
      <c r="A352" t="s">
        <v>1156</v>
      </c>
      <c r="B352" s="2" t="str">
        <f t="shared" si="55"/>
        <v>Unique</v>
      </c>
      <c r="C352" s="2" t="str">
        <f t="shared" si="59"/>
        <v>Jan</v>
      </c>
      <c r="D352" s="2">
        <f t="shared" si="60"/>
        <v>2024</v>
      </c>
      <c r="E352" s="4">
        <v>45298</v>
      </c>
      <c r="F352" s="4">
        <v>45305</v>
      </c>
      <c r="G352" s="6">
        <f t="shared" si="56"/>
        <v>7</v>
      </c>
      <c r="H352" s="6" t="str">
        <f t="shared" si="57"/>
        <v>Valid</v>
      </c>
      <c r="I352" t="s">
        <v>1157</v>
      </c>
      <c r="J352" t="s">
        <v>133</v>
      </c>
      <c r="K352" t="s">
        <v>38</v>
      </c>
      <c r="L352" t="s">
        <v>39</v>
      </c>
      <c r="M352" t="s">
        <v>229</v>
      </c>
      <c r="O352" t="s">
        <v>42</v>
      </c>
      <c r="P352" t="s">
        <v>58</v>
      </c>
      <c r="Q352" t="s">
        <v>1158</v>
      </c>
      <c r="R352" t="s">
        <v>32</v>
      </c>
      <c r="S352">
        <v>4</v>
      </c>
      <c r="T352">
        <v>3309.54</v>
      </c>
      <c r="U352" s="2">
        <f t="shared" si="61"/>
        <v>11914.344000000001</v>
      </c>
      <c r="V352" s="13">
        <v>0.1</v>
      </c>
      <c r="W352" s="2">
        <f t="shared" si="62"/>
        <v>0.1</v>
      </c>
      <c r="X352" s="2" t="str">
        <f t="shared" si="63"/>
        <v>Valid</v>
      </c>
      <c r="Y352" s="2" t="str">
        <f t="shared" si="64"/>
        <v>Clean</v>
      </c>
      <c r="Z352">
        <v>11914.34</v>
      </c>
      <c r="AA352">
        <v>9771.24</v>
      </c>
      <c r="AB352" s="2">
        <f t="shared" si="58"/>
        <v>2143.1040000000012</v>
      </c>
      <c r="AC352">
        <v>2143.1</v>
      </c>
      <c r="AD352" s="11">
        <f t="shared" si="65"/>
        <v>0.1798756792235239</v>
      </c>
      <c r="AE352" t="s">
        <v>103</v>
      </c>
      <c r="AF352" t="s">
        <v>104</v>
      </c>
    </row>
    <row r="353" spans="1:32">
      <c r="A353" t="s">
        <v>1159</v>
      </c>
      <c r="B353" s="2" t="str">
        <f t="shared" si="55"/>
        <v>Unique</v>
      </c>
      <c r="C353" s="2" t="str">
        <f t="shared" si="59"/>
        <v>May</v>
      </c>
      <c r="D353" s="2">
        <f t="shared" si="60"/>
        <v>2025</v>
      </c>
      <c r="E353" s="4">
        <v>45800</v>
      </c>
      <c r="F353" s="4">
        <v>45804</v>
      </c>
      <c r="G353" s="6">
        <f t="shared" si="56"/>
        <v>4</v>
      </c>
      <c r="H353" s="6" t="str">
        <f t="shared" si="57"/>
        <v>Valid</v>
      </c>
      <c r="I353" t="s">
        <v>1160</v>
      </c>
      <c r="J353" t="s">
        <v>72</v>
      </c>
      <c r="K353" t="s">
        <v>38</v>
      </c>
      <c r="L353" t="s">
        <v>55</v>
      </c>
      <c r="M353" t="s">
        <v>56</v>
      </c>
      <c r="O353" t="s">
        <v>29</v>
      </c>
      <c r="P353" t="s">
        <v>125</v>
      </c>
      <c r="Q353" t="s">
        <v>1161</v>
      </c>
      <c r="R353" t="s">
        <v>51</v>
      </c>
      <c r="S353">
        <v>6</v>
      </c>
      <c r="T353">
        <v>719.44</v>
      </c>
      <c r="U353" s="2">
        <f t="shared" si="61"/>
        <v>3237.4800000000005</v>
      </c>
      <c r="V353" s="13">
        <v>0.25</v>
      </c>
      <c r="W353" s="2">
        <f t="shared" si="62"/>
        <v>0.25</v>
      </c>
      <c r="X353" s="2" t="str">
        <f t="shared" si="63"/>
        <v>Valid</v>
      </c>
      <c r="Y353" s="2" t="str">
        <f t="shared" si="64"/>
        <v>Clean</v>
      </c>
      <c r="Z353">
        <v>3237.48</v>
      </c>
      <c r="AA353">
        <v>2118.34</v>
      </c>
      <c r="AB353" s="2">
        <f t="shared" si="58"/>
        <v>1119.1400000000003</v>
      </c>
      <c r="AC353">
        <v>1119.1400000000001</v>
      </c>
      <c r="AD353" s="11">
        <f t="shared" si="65"/>
        <v>0.34568244437031276</v>
      </c>
      <c r="AE353" t="s">
        <v>112</v>
      </c>
      <c r="AF353" t="s">
        <v>69</v>
      </c>
    </row>
    <row r="354" spans="1:32">
      <c r="A354" t="s">
        <v>1162</v>
      </c>
      <c r="B354" s="2" t="str">
        <f t="shared" si="55"/>
        <v>Unique</v>
      </c>
      <c r="C354" s="2" t="str">
        <f t="shared" si="59"/>
        <v>Aug</v>
      </c>
      <c r="D354" s="2">
        <f t="shared" si="60"/>
        <v>2025</v>
      </c>
      <c r="E354" s="4">
        <v>45884</v>
      </c>
      <c r="F354" s="4">
        <v>45886</v>
      </c>
      <c r="G354" s="6">
        <f t="shared" si="56"/>
        <v>2</v>
      </c>
      <c r="H354" s="6" t="str">
        <f t="shared" si="57"/>
        <v>Valid</v>
      </c>
      <c r="I354" t="s">
        <v>1163</v>
      </c>
      <c r="J354" t="s">
        <v>163</v>
      </c>
      <c r="K354" t="s">
        <v>38</v>
      </c>
      <c r="L354" t="s">
        <v>39</v>
      </c>
      <c r="M354" t="s">
        <v>167</v>
      </c>
      <c r="O354" t="s">
        <v>75</v>
      </c>
      <c r="P354" t="s">
        <v>81</v>
      </c>
      <c r="Q354" t="s">
        <v>1164</v>
      </c>
      <c r="R354" t="s">
        <v>51</v>
      </c>
      <c r="S354">
        <v>5</v>
      </c>
      <c r="T354">
        <v>2862.6</v>
      </c>
      <c r="U354" s="2">
        <f t="shared" si="61"/>
        <v>10734.75</v>
      </c>
      <c r="V354" s="13">
        <v>0.25</v>
      </c>
      <c r="W354" s="2">
        <f t="shared" si="62"/>
        <v>0.25</v>
      </c>
      <c r="X354" s="2" t="str">
        <f t="shared" si="63"/>
        <v>Valid</v>
      </c>
      <c r="Y354" s="2" t="str">
        <f t="shared" si="64"/>
        <v>Clean</v>
      </c>
      <c r="Z354">
        <v>10734.75</v>
      </c>
      <c r="AA354">
        <v>6475.73</v>
      </c>
      <c r="AB354" s="2">
        <f t="shared" si="58"/>
        <v>4259.0200000000004</v>
      </c>
      <c r="AC354">
        <v>4259.0200000000004</v>
      </c>
      <c r="AD354" s="11">
        <f t="shared" si="65"/>
        <v>0.39675073942103917</v>
      </c>
      <c r="AE354" t="s">
        <v>33</v>
      </c>
      <c r="AF354" t="s">
        <v>34</v>
      </c>
    </row>
    <row r="355" spans="1:32">
      <c r="A355" t="s">
        <v>1165</v>
      </c>
      <c r="B355" s="2" t="str">
        <f t="shared" si="55"/>
        <v>Unique</v>
      </c>
      <c r="C355" s="2" t="str">
        <f t="shared" si="59"/>
        <v>Feb</v>
      </c>
      <c r="D355" s="2">
        <f t="shared" si="60"/>
        <v>2025</v>
      </c>
      <c r="E355" s="4">
        <v>45709</v>
      </c>
      <c r="F355" s="4">
        <v>45715</v>
      </c>
      <c r="G355" s="6">
        <f t="shared" si="56"/>
        <v>6</v>
      </c>
      <c r="H355" s="6" t="str">
        <f t="shared" si="57"/>
        <v>Valid</v>
      </c>
      <c r="I355" t="s">
        <v>1166</v>
      </c>
      <c r="J355" t="s">
        <v>63</v>
      </c>
      <c r="K355" t="s">
        <v>25</v>
      </c>
      <c r="L355" t="s">
        <v>26</v>
      </c>
      <c r="M355" t="s">
        <v>27</v>
      </c>
      <c r="O355" t="s">
        <v>29</v>
      </c>
      <c r="P355" t="s">
        <v>49</v>
      </c>
      <c r="Q355" t="s">
        <v>1167</v>
      </c>
      <c r="R355" t="s">
        <v>45</v>
      </c>
      <c r="S355">
        <v>9</v>
      </c>
      <c r="T355">
        <v>1431.67</v>
      </c>
      <c r="U355" s="2">
        <f t="shared" si="61"/>
        <v>10308.024000000001</v>
      </c>
      <c r="V355" s="13">
        <v>0.2</v>
      </c>
      <c r="W355" s="2">
        <f t="shared" si="62"/>
        <v>0.2</v>
      </c>
      <c r="X355" s="2" t="str">
        <f t="shared" si="63"/>
        <v>Valid</v>
      </c>
      <c r="Y355" s="2" t="str">
        <f t="shared" si="64"/>
        <v>Clean</v>
      </c>
      <c r="Z355">
        <v>10308.02</v>
      </c>
      <c r="AA355">
        <v>5822.31</v>
      </c>
      <c r="AB355" s="2">
        <f t="shared" si="58"/>
        <v>4485.7140000000009</v>
      </c>
      <c r="AC355">
        <v>4485.71</v>
      </c>
      <c r="AD355" s="11">
        <f t="shared" si="65"/>
        <v>0.43516698648237001</v>
      </c>
      <c r="AE355" t="s">
        <v>33</v>
      </c>
      <c r="AF355" t="s">
        <v>34</v>
      </c>
    </row>
    <row r="356" spans="1:32">
      <c r="A356" t="s">
        <v>1168</v>
      </c>
      <c r="B356" s="2" t="str">
        <f t="shared" si="55"/>
        <v>Unique</v>
      </c>
      <c r="C356" s="2" t="str">
        <f t="shared" si="59"/>
        <v>Dec</v>
      </c>
      <c r="D356" s="2">
        <f t="shared" si="60"/>
        <v>2024</v>
      </c>
      <c r="E356" s="4">
        <v>45653</v>
      </c>
      <c r="F356" s="4">
        <v>45657</v>
      </c>
      <c r="G356" s="6">
        <f t="shared" si="56"/>
        <v>4</v>
      </c>
      <c r="H356" s="6" t="str">
        <f t="shared" si="57"/>
        <v>Valid</v>
      </c>
      <c r="I356" t="s">
        <v>1169</v>
      </c>
      <c r="J356" t="s">
        <v>265</v>
      </c>
      <c r="K356" t="s">
        <v>91</v>
      </c>
      <c r="L356" t="s">
        <v>26</v>
      </c>
      <c r="M356" t="s">
        <v>123</v>
      </c>
      <c r="O356" t="s">
        <v>42</v>
      </c>
      <c r="P356" t="s">
        <v>58</v>
      </c>
      <c r="Q356" t="s">
        <v>1170</v>
      </c>
      <c r="R356" t="s">
        <v>60</v>
      </c>
      <c r="S356">
        <v>6</v>
      </c>
      <c r="T356">
        <v>3346.78</v>
      </c>
      <c r="U356" s="2" t="str">
        <f t="shared" si="61"/>
        <v>Invalid</v>
      </c>
      <c r="V356" s="13">
        <v>-0.06</v>
      </c>
      <c r="W356" s="2" t="str">
        <f t="shared" si="62"/>
        <v>Invalid</v>
      </c>
      <c r="X356" s="2" t="str">
        <f t="shared" si="63"/>
        <v>Invalid</v>
      </c>
      <c r="Y356" s="2" t="str">
        <f t="shared" si="64"/>
        <v>Invalid</v>
      </c>
      <c r="Z356">
        <v>20080.68</v>
      </c>
      <c r="AA356">
        <v>12908.84</v>
      </c>
      <c r="AB356" s="2" t="str">
        <f t="shared" si="58"/>
        <v>Invalid</v>
      </c>
      <c r="AC356">
        <v>7171.84</v>
      </c>
      <c r="AD356" s="11">
        <f t="shared" si="65"/>
        <v>0.35715125185003693</v>
      </c>
      <c r="AE356" t="s">
        <v>112</v>
      </c>
      <c r="AF356" t="s">
        <v>69</v>
      </c>
    </row>
    <row r="357" spans="1:32">
      <c r="A357" t="s">
        <v>1171</v>
      </c>
      <c r="B357" s="2" t="str">
        <f t="shared" si="55"/>
        <v>Unique</v>
      </c>
      <c r="C357" s="2" t="str">
        <f t="shared" si="59"/>
        <v>May</v>
      </c>
      <c r="D357" s="2">
        <f t="shared" si="60"/>
        <v>2024</v>
      </c>
      <c r="E357" s="4">
        <v>45424</v>
      </c>
      <c r="F357" s="4">
        <v>45421</v>
      </c>
      <c r="G357" s="6">
        <f t="shared" si="56"/>
        <v>-3</v>
      </c>
      <c r="H357" s="6" t="str">
        <f t="shared" si="57"/>
        <v>Invalid: Ship Date Before Order Date</v>
      </c>
      <c r="I357" t="s">
        <v>1172</v>
      </c>
      <c r="J357" t="s">
        <v>115</v>
      </c>
      <c r="K357" t="s">
        <v>91</v>
      </c>
      <c r="L357" t="s">
        <v>64</v>
      </c>
      <c r="M357" t="s">
        <v>27</v>
      </c>
      <c r="O357" t="s">
        <v>42</v>
      </c>
      <c r="P357" t="s">
        <v>43</v>
      </c>
      <c r="Q357" t="s">
        <v>1173</v>
      </c>
      <c r="R357" t="s">
        <v>60</v>
      </c>
      <c r="S357">
        <v>5</v>
      </c>
      <c r="T357">
        <v>3203.48</v>
      </c>
      <c r="U357" s="2">
        <f t="shared" si="61"/>
        <v>16017.4</v>
      </c>
      <c r="V357" s="13">
        <v>0</v>
      </c>
      <c r="W357" s="2">
        <f t="shared" si="62"/>
        <v>0</v>
      </c>
      <c r="X357" s="2" t="str">
        <f t="shared" si="63"/>
        <v>Valid</v>
      </c>
      <c r="Y357" s="2" t="str">
        <f t="shared" si="64"/>
        <v>Invalid</v>
      </c>
      <c r="Z357">
        <v>16017.4</v>
      </c>
      <c r="AA357">
        <v>9557.7999999999993</v>
      </c>
      <c r="AB357" s="2">
        <f t="shared" si="58"/>
        <v>6459.6</v>
      </c>
      <c r="AC357">
        <v>6459.6</v>
      </c>
      <c r="AD357" s="11">
        <f t="shared" si="65"/>
        <v>0.40328642601171227</v>
      </c>
      <c r="AE357" t="s">
        <v>112</v>
      </c>
      <c r="AF357" t="s">
        <v>69</v>
      </c>
    </row>
    <row r="358" spans="1:32">
      <c r="A358" t="s">
        <v>1174</v>
      </c>
      <c r="B358" s="2" t="str">
        <f t="shared" si="55"/>
        <v>Unique</v>
      </c>
      <c r="C358" s="2" t="str">
        <f t="shared" si="59"/>
        <v>Jun</v>
      </c>
      <c r="D358" s="2">
        <f t="shared" si="60"/>
        <v>2025</v>
      </c>
      <c r="E358" s="4">
        <v>45835</v>
      </c>
      <c r="F358" s="4">
        <v>45837</v>
      </c>
      <c r="G358" s="6">
        <f t="shared" si="56"/>
        <v>2</v>
      </c>
      <c r="H358" s="6" t="str">
        <f t="shared" si="57"/>
        <v>Valid</v>
      </c>
      <c r="I358" t="s">
        <v>1175</v>
      </c>
      <c r="J358" t="s">
        <v>142</v>
      </c>
      <c r="K358" t="s">
        <v>96</v>
      </c>
      <c r="L358" t="s">
        <v>55</v>
      </c>
      <c r="M358" t="s">
        <v>56</v>
      </c>
      <c r="O358" t="s">
        <v>42</v>
      </c>
      <c r="P358" t="s">
        <v>67</v>
      </c>
      <c r="Q358" t="s">
        <v>1176</v>
      </c>
      <c r="R358" t="s">
        <v>51</v>
      </c>
      <c r="S358">
        <v>5</v>
      </c>
      <c r="T358">
        <v>621.70000000000005</v>
      </c>
      <c r="U358" s="2">
        <f t="shared" si="61"/>
        <v>2486.8000000000002</v>
      </c>
      <c r="V358" s="13">
        <v>0.2</v>
      </c>
      <c r="W358" s="2">
        <f t="shared" si="62"/>
        <v>0.2</v>
      </c>
      <c r="X358" s="2" t="str">
        <f t="shared" si="63"/>
        <v>Valid</v>
      </c>
      <c r="Y358" s="2" t="str">
        <f t="shared" si="64"/>
        <v>Clean</v>
      </c>
      <c r="Z358">
        <v>2486.8000000000002</v>
      </c>
      <c r="AA358">
        <v>2131.73</v>
      </c>
      <c r="AB358" s="2">
        <f t="shared" si="58"/>
        <v>355.07000000000016</v>
      </c>
      <c r="AC358">
        <v>355.07</v>
      </c>
      <c r="AD358" s="11">
        <f t="shared" si="65"/>
        <v>0.14278188837059674</v>
      </c>
      <c r="AE358" t="s">
        <v>112</v>
      </c>
      <c r="AF358" t="s">
        <v>104</v>
      </c>
    </row>
    <row r="359" spans="1:32">
      <c r="A359" t="s">
        <v>1177</v>
      </c>
      <c r="B359" s="2" t="str">
        <f t="shared" si="55"/>
        <v>Unique</v>
      </c>
      <c r="C359" s="2" t="str">
        <f t="shared" si="59"/>
        <v>Jan</v>
      </c>
      <c r="D359" s="2">
        <f t="shared" si="60"/>
        <v>2025</v>
      </c>
      <c r="E359" s="4">
        <v>45678</v>
      </c>
      <c r="F359" s="4">
        <v>45686</v>
      </c>
      <c r="G359" s="6">
        <f t="shared" si="56"/>
        <v>8</v>
      </c>
      <c r="H359" s="6" t="str">
        <f t="shared" si="57"/>
        <v>Valid</v>
      </c>
      <c r="I359" t="s">
        <v>1178</v>
      </c>
      <c r="J359" t="s">
        <v>37</v>
      </c>
      <c r="K359" t="s">
        <v>96</v>
      </c>
      <c r="L359" t="s">
        <v>55</v>
      </c>
      <c r="M359" t="s">
        <v>85</v>
      </c>
      <c r="O359" t="s">
        <v>75</v>
      </c>
      <c r="P359" t="s">
        <v>275</v>
      </c>
      <c r="Q359" t="s">
        <v>1179</v>
      </c>
      <c r="R359" t="s">
        <v>32</v>
      </c>
      <c r="S359">
        <v>8</v>
      </c>
      <c r="T359">
        <v>546.13</v>
      </c>
      <c r="U359" s="2">
        <f t="shared" si="61"/>
        <v>4369.04</v>
      </c>
      <c r="V359" s="13">
        <v>0</v>
      </c>
      <c r="W359" s="2">
        <f t="shared" si="62"/>
        <v>0</v>
      </c>
      <c r="X359" s="2" t="str">
        <f t="shared" si="63"/>
        <v>Valid</v>
      </c>
      <c r="Y359" s="2" t="str">
        <f t="shared" si="64"/>
        <v>Clean</v>
      </c>
      <c r="Z359">
        <v>4369.04</v>
      </c>
      <c r="AA359">
        <v>3716.88</v>
      </c>
      <c r="AB359" s="2">
        <f t="shared" si="58"/>
        <v>652.15999999999985</v>
      </c>
      <c r="AC359">
        <v>652.16</v>
      </c>
      <c r="AD359" s="11">
        <f t="shared" si="65"/>
        <v>0.14926848918755606</v>
      </c>
      <c r="AE359" t="s">
        <v>33</v>
      </c>
      <c r="AF359" t="s">
        <v>69</v>
      </c>
    </row>
    <row r="360" spans="1:32">
      <c r="A360" t="s">
        <v>1180</v>
      </c>
      <c r="B360" s="2" t="str">
        <f t="shared" si="55"/>
        <v>Unique</v>
      </c>
      <c r="C360" s="2" t="str">
        <f t="shared" si="59"/>
        <v>Aug</v>
      </c>
      <c r="D360" s="2">
        <f t="shared" si="60"/>
        <v>2025</v>
      </c>
      <c r="E360" s="4">
        <v>45878</v>
      </c>
      <c r="F360" s="4">
        <v>45876</v>
      </c>
      <c r="G360" s="6">
        <f t="shared" si="56"/>
        <v>-2</v>
      </c>
      <c r="H360" s="6" t="str">
        <f t="shared" si="57"/>
        <v>Invalid: Ship Date Before Order Date</v>
      </c>
      <c r="I360" t="s">
        <v>1181</v>
      </c>
      <c r="J360" t="s">
        <v>72</v>
      </c>
      <c r="K360" t="s">
        <v>96</v>
      </c>
      <c r="L360" t="s">
        <v>64</v>
      </c>
      <c r="M360" t="s">
        <v>181</v>
      </c>
      <c r="O360" t="s">
        <v>42</v>
      </c>
      <c r="P360" t="s">
        <v>159</v>
      </c>
      <c r="Q360" t="s">
        <v>1182</v>
      </c>
      <c r="R360" t="s">
        <v>32</v>
      </c>
      <c r="S360">
        <v>5</v>
      </c>
      <c r="T360">
        <v>1253.92</v>
      </c>
      <c r="U360" s="2">
        <f t="shared" si="61"/>
        <v>5956.12</v>
      </c>
      <c r="V360" s="13">
        <v>0.05</v>
      </c>
      <c r="W360" s="2">
        <f t="shared" si="62"/>
        <v>0.05</v>
      </c>
      <c r="X360" s="2" t="str">
        <f t="shared" si="63"/>
        <v>Valid</v>
      </c>
      <c r="Y360" s="2" t="str">
        <f t="shared" si="64"/>
        <v>Invalid</v>
      </c>
      <c r="Z360">
        <v>5956.12</v>
      </c>
      <c r="AA360">
        <v>4379.18</v>
      </c>
      <c r="AB360" s="2">
        <f t="shared" si="58"/>
        <v>1576.9399999999996</v>
      </c>
      <c r="AC360">
        <v>1576.94</v>
      </c>
      <c r="AD360" s="11">
        <f t="shared" si="65"/>
        <v>0.26475960860425918</v>
      </c>
      <c r="AE360" t="s">
        <v>112</v>
      </c>
      <c r="AF360" t="s">
        <v>104</v>
      </c>
    </row>
    <row r="361" spans="1:32">
      <c r="A361" t="s">
        <v>1183</v>
      </c>
      <c r="B361" s="2" t="str">
        <f t="shared" si="55"/>
        <v>Unique</v>
      </c>
      <c r="C361" s="2" t="str">
        <f t="shared" si="59"/>
        <v>Aug</v>
      </c>
      <c r="D361" s="2">
        <f t="shared" si="60"/>
        <v>2024</v>
      </c>
      <c r="E361" s="4">
        <v>45525</v>
      </c>
      <c r="F361" s="4">
        <v>45526</v>
      </c>
      <c r="G361" s="6">
        <f t="shared" si="56"/>
        <v>1</v>
      </c>
      <c r="H361" s="6" t="str">
        <f t="shared" si="57"/>
        <v>Valid</v>
      </c>
      <c r="I361" t="s">
        <v>1184</v>
      </c>
      <c r="J361" t="s">
        <v>48</v>
      </c>
      <c r="K361" t="s">
        <v>25</v>
      </c>
      <c r="L361" t="s">
        <v>55</v>
      </c>
      <c r="M361" t="s">
        <v>248</v>
      </c>
      <c r="O361" t="s">
        <v>75</v>
      </c>
      <c r="P361" t="s">
        <v>172</v>
      </c>
      <c r="Q361" t="s">
        <v>1185</v>
      </c>
      <c r="R361" t="s">
        <v>45</v>
      </c>
      <c r="S361">
        <v>9</v>
      </c>
      <c r="T361">
        <v>616.96</v>
      </c>
      <c r="U361" s="2">
        <f t="shared" si="61"/>
        <v>4997.3760000000002</v>
      </c>
      <c r="V361" s="13">
        <v>0.1</v>
      </c>
      <c r="W361" s="2">
        <f t="shared" si="62"/>
        <v>0.1</v>
      </c>
      <c r="X361" s="2" t="str">
        <f t="shared" si="63"/>
        <v>Valid</v>
      </c>
      <c r="Y361" s="2" t="str">
        <f t="shared" si="64"/>
        <v>Clean</v>
      </c>
      <c r="Z361">
        <v>4997.38</v>
      </c>
      <c r="AA361">
        <v>2971.39</v>
      </c>
      <c r="AB361" s="2">
        <f t="shared" si="58"/>
        <v>2025.9860000000003</v>
      </c>
      <c r="AC361">
        <v>2025.99</v>
      </c>
      <c r="AD361" s="11">
        <f t="shared" si="65"/>
        <v>0.40541043506797564</v>
      </c>
      <c r="AE361" t="s">
        <v>33</v>
      </c>
      <c r="AF361" t="s">
        <v>34</v>
      </c>
    </row>
    <row r="362" spans="1:32">
      <c r="A362" t="s">
        <v>1186</v>
      </c>
      <c r="B362" s="2" t="str">
        <f t="shared" si="55"/>
        <v>Unique</v>
      </c>
      <c r="C362" s="2" t="str">
        <f t="shared" si="59"/>
        <v>Jun</v>
      </c>
      <c r="D362" s="2">
        <f t="shared" si="60"/>
        <v>2024</v>
      </c>
      <c r="E362" s="4">
        <v>45460</v>
      </c>
      <c r="F362" s="4">
        <v>45463</v>
      </c>
      <c r="G362" s="6">
        <f t="shared" si="56"/>
        <v>3</v>
      </c>
      <c r="H362" s="6" t="str">
        <f t="shared" si="57"/>
        <v>Valid</v>
      </c>
      <c r="I362" t="s">
        <v>1187</v>
      </c>
      <c r="J362" t="s">
        <v>133</v>
      </c>
      <c r="K362" t="s">
        <v>38</v>
      </c>
      <c r="L362" t="s">
        <v>64</v>
      </c>
      <c r="M362" t="s">
        <v>181</v>
      </c>
      <c r="O362" t="s">
        <v>42</v>
      </c>
      <c r="P362" t="s">
        <v>58</v>
      </c>
      <c r="Q362" t="s">
        <v>1188</v>
      </c>
      <c r="R362" t="s">
        <v>60</v>
      </c>
      <c r="S362">
        <v>7</v>
      </c>
      <c r="T362">
        <v>3155.25</v>
      </c>
      <c r="U362" s="2">
        <f t="shared" si="61"/>
        <v>17669.400000000001</v>
      </c>
      <c r="V362" s="13">
        <v>0.2</v>
      </c>
      <c r="W362" s="2">
        <f t="shared" si="62"/>
        <v>0.2</v>
      </c>
      <c r="X362" s="2" t="str">
        <f t="shared" si="63"/>
        <v>Valid</v>
      </c>
      <c r="Y362" s="2" t="str">
        <f t="shared" si="64"/>
        <v>Clean</v>
      </c>
      <c r="Z362">
        <v>17669.400000000001</v>
      </c>
      <c r="AA362">
        <v>13718.77</v>
      </c>
      <c r="AB362" s="2">
        <f t="shared" si="58"/>
        <v>3950.630000000001</v>
      </c>
      <c r="AC362">
        <v>3950.63</v>
      </c>
      <c r="AD362" s="11">
        <f t="shared" si="65"/>
        <v>0.22358597349089385</v>
      </c>
      <c r="AE362" t="s">
        <v>103</v>
      </c>
      <c r="AF362" t="s">
        <v>69</v>
      </c>
    </row>
    <row r="363" spans="1:32">
      <c r="A363" t="s">
        <v>1189</v>
      </c>
      <c r="B363" s="2" t="str">
        <f t="shared" si="55"/>
        <v>Unique</v>
      </c>
      <c r="C363" s="2" t="str">
        <f t="shared" si="59"/>
        <v>Apr</v>
      </c>
      <c r="D363" s="2">
        <f t="shared" si="60"/>
        <v>2025</v>
      </c>
      <c r="E363" s="4">
        <v>45748</v>
      </c>
      <c r="F363" s="4">
        <v>45749</v>
      </c>
      <c r="G363" s="6">
        <f t="shared" si="56"/>
        <v>1</v>
      </c>
      <c r="H363" s="6" t="str">
        <f t="shared" si="57"/>
        <v>Valid</v>
      </c>
      <c r="I363" t="s">
        <v>1190</v>
      </c>
      <c r="J363" t="s">
        <v>142</v>
      </c>
      <c r="K363" t="s">
        <v>91</v>
      </c>
      <c r="L363" t="s">
        <v>39</v>
      </c>
      <c r="M363" t="s">
        <v>40</v>
      </c>
      <c r="O363" t="s">
        <v>42</v>
      </c>
      <c r="P363" t="s">
        <v>67</v>
      </c>
      <c r="Q363" t="s">
        <v>1191</v>
      </c>
      <c r="R363" t="s">
        <v>32</v>
      </c>
      <c r="S363">
        <v>9</v>
      </c>
      <c r="T363">
        <v>4165.58</v>
      </c>
      <c r="U363" s="2">
        <f t="shared" si="61"/>
        <v>35615.709000000003</v>
      </c>
      <c r="V363" s="13">
        <v>0.05</v>
      </c>
      <c r="W363" s="2">
        <f t="shared" si="62"/>
        <v>0.05</v>
      </c>
      <c r="X363" s="2" t="str">
        <f t="shared" si="63"/>
        <v>Valid</v>
      </c>
      <c r="Y363" s="2" t="str">
        <f t="shared" si="64"/>
        <v>Clean</v>
      </c>
      <c r="Z363">
        <v>35615.71</v>
      </c>
      <c r="AA363">
        <v>20389.71</v>
      </c>
      <c r="AB363" s="2">
        <f t="shared" si="58"/>
        <v>15225.999000000003</v>
      </c>
      <c r="AC363">
        <v>15226</v>
      </c>
      <c r="AD363" s="11">
        <f t="shared" si="65"/>
        <v>0.42750797330728491</v>
      </c>
      <c r="AE363" t="s">
        <v>112</v>
      </c>
      <c r="AF363" t="s">
        <v>104</v>
      </c>
    </row>
    <row r="364" spans="1:32">
      <c r="A364" t="s">
        <v>1192</v>
      </c>
      <c r="B364" s="2" t="str">
        <f t="shared" si="55"/>
        <v>Unique</v>
      </c>
      <c r="C364" s="2" t="str">
        <f t="shared" si="59"/>
        <v>Aug</v>
      </c>
      <c r="D364" s="2">
        <f t="shared" si="60"/>
        <v>2024</v>
      </c>
      <c r="E364" s="4">
        <v>45527</v>
      </c>
      <c r="F364" s="4">
        <v>45529</v>
      </c>
      <c r="G364" s="6">
        <f t="shared" si="56"/>
        <v>2</v>
      </c>
      <c r="H364" s="6" t="str">
        <f t="shared" si="57"/>
        <v>Valid</v>
      </c>
      <c r="I364" t="s">
        <v>1193</v>
      </c>
      <c r="J364" t="s">
        <v>72</v>
      </c>
      <c r="K364" t="s">
        <v>25</v>
      </c>
      <c r="L364" t="s">
        <v>64</v>
      </c>
      <c r="M364" t="s">
        <v>191</v>
      </c>
      <c r="O364" t="s">
        <v>75</v>
      </c>
      <c r="P364" t="s">
        <v>275</v>
      </c>
      <c r="Q364" t="s">
        <v>1194</v>
      </c>
      <c r="R364" t="s">
        <v>45</v>
      </c>
      <c r="S364">
        <v>4</v>
      </c>
      <c r="T364">
        <v>491.16</v>
      </c>
      <c r="U364" s="2">
        <f t="shared" si="61"/>
        <v>1866.4079999999999</v>
      </c>
      <c r="V364" s="13">
        <v>0.05</v>
      </c>
      <c r="W364" s="2">
        <f t="shared" si="62"/>
        <v>0.05</v>
      </c>
      <c r="X364" s="2" t="str">
        <f t="shared" si="63"/>
        <v>Valid</v>
      </c>
      <c r="Y364" s="2" t="str">
        <f t="shared" si="64"/>
        <v>Clean</v>
      </c>
      <c r="Z364">
        <v>1866.41</v>
      </c>
      <c r="AA364">
        <v>1576.49</v>
      </c>
      <c r="AB364" s="2">
        <f t="shared" si="58"/>
        <v>289.91799999999989</v>
      </c>
      <c r="AC364">
        <v>289.92</v>
      </c>
      <c r="AD364" s="11">
        <f t="shared" si="65"/>
        <v>0.15533564436538597</v>
      </c>
      <c r="AE364" t="s">
        <v>33</v>
      </c>
      <c r="AF364" t="s">
        <v>34</v>
      </c>
    </row>
    <row r="365" spans="1:32">
      <c r="A365" t="s">
        <v>1195</v>
      </c>
      <c r="B365" s="2" t="str">
        <f t="shared" si="55"/>
        <v>Unique</v>
      </c>
      <c r="C365" s="2" t="str">
        <f t="shared" si="59"/>
        <v>Jul</v>
      </c>
      <c r="D365" s="2">
        <f t="shared" si="60"/>
        <v>2025</v>
      </c>
      <c r="E365" s="4">
        <v>45845</v>
      </c>
      <c r="F365" s="4">
        <v>45850</v>
      </c>
      <c r="G365" s="6">
        <f t="shared" si="56"/>
        <v>5</v>
      </c>
      <c r="H365" s="6" t="str">
        <f t="shared" si="57"/>
        <v>Valid</v>
      </c>
      <c r="I365" t="s">
        <v>1196</v>
      </c>
      <c r="J365" t="s">
        <v>163</v>
      </c>
      <c r="K365" t="s">
        <v>91</v>
      </c>
      <c r="L365" t="s">
        <v>39</v>
      </c>
      <c r="M365" t="s">
        <v>100</v>
      </c>
      <c r="O365" t="s">
        <v>42</v>
      </c>
      <c r="P365" t="s">
        <v>43</v>
      </c>
      <c r="Q365" t="s">
        <v>1197</v>
      </c>
      <c r="R365" t="s">
        <v>32</v>
      </c>
      <c r="S365">
        <v>5</v>
      </c>
      <c r="T365">
        <v>1831.37</v>
      </c>
      <c r="U365" s="2">
        <f t="shared" si="61"/>
        <v>6867.6374999999989</v>
      </c>
      <c r="V365" s="13">
        <v>0.25</v>
      </c>
      <c r="W365" s="2">
        <f t="shared" si="62"/>
        <v>0.25</v>
      </c>
      <c r="X365" s="2" t="str">
        <f t="shared" si="63"/>
        <v>Valid</v>
      </c>
      <c r="Y365" s="2" t="str">
        <f t="shared" si="64"/>
        <v>Clean</v>
      </c>
      <c r="Z365">
        <v>6867.64</v>
      </c>
      <c r="AA365">
        <v>5205.3599999999997</v>
      </c>
      <c r="AB365" s="2">
        <f t="shared" si="58"/>
        <v>1662.2774999999992</v>
      </c>
      <c r="AC365">
        <v>1662.28</v>
      </c>
      <c r="AD365" s="11">
        <f t="shared" si="65"/>
        <v>0.24204530231637067</v>
      </c>
      <c r="AE365" t="s">
        <v>33</v>
      </c>
      <c r="AF365" t="s">
        <v>34</v>
      </c>
    </row>
    <row r="366" spans="1:32">
      <c r="A366" t="s">
        <v>1198</v>
      </c>
      <c r="B366" s="2" t="str">
        <f t="shared" si="55"/>
        <v>Unique</v>
      </c>
      <c r="C366" s="2" t="str">
        <f t="shared" si="59"/>
        <v>Mar</v>
      </c>
      <c r="D366" s="2">
        <f t="shared" si="60"/>
        <v>2025</v>
      </c>
      <c r="E366" s="4">
        <v>45737</v>
      </c>
      <c r="F366" s="4">
        <v>45740</v>
      </c>
      <c r="G366" s="6">
        <f t="shared" si="56"/>
        <v>3</v>
      </c>
      <c r="H366" s="6" t="str">
        <f t="shared" si="57"/>
        <v>Valid</v>
      </c>
      <c r="I366" t="s">
        <v>1199</v>
      </c>
      <c r="J366" t="s">
        <v>129</v>
      </c>
      <c r="K366" t="s">
        <v>38</v>
      </c>
      <c r="L366" t="s">
        <v>55</v>
      </c>
      <c r="M366" t="s">
        <v>85</v>
      </c>
      <c r="O366" t="s">
        <v>42</v>
      </c>
      <c r="P366" t="s">
        <v>67</v>
      </c>
      <c r="Q366" t="s">
        <v>1200</v>
      </c>
      <c r="R366" t="s">
        <v>32</v>
      </c>
      <c r="S366">
        <v>5</v>
      </c>
      <c r="T366">
        <v>1239.1500000000001</v>
      </c>
      <c r="U366" s="2">
        <f t="shared" si="61"/>
        <v>6195.75</v>
      </c>
      <c r="V366" s="13">
        <v>0</v>
      </c>
      <c r="W366" s="2">
        <f t="shared" si="62"/>
        <v>0</v>
      </c>
      <c r="X366" s="2" t="str">
        <f t="shared" si="63"/>
        <v>Valid</v>
      </c>
      <c r="Y366" s="2" t="str">
        <f t="shared" si="64"/>
        <v>Clean</v>
      </c>
      <c r="Z366">
        <v>6195.75</v>
      </c>
      <c r="AA366">
        <v>3967.02</v>
      </c>
      <c r="AB366" s="2">
        <f t="shared" si="58"/>
        <v>2228.73</v>
      </c>
      <c r="AC366">
        <v>2228.73</v>
      </c>
      <c r="AD366" s="11">
        <f t="shared" si="65"/>
        <v>0.35971916232901585</v>
      </c>
      <c r="AE366" t="s">
        <v>33</v>
      </c>
      <c r="AF366" t="s">
        <v>34</v>
      </c>
    </row>
    <row r="367" spans="1:32">
      <c r="A367" t="s">
        <v>1201</v>
      </c>
      <c r="B367" s="2" t="str">
        <f t="shared" si="55"/>
        <v>Unique</v>
      </c>
      <c r="C367" s="2" t="str">
        <f t="shared" si="59"/>
        <v>Jun</v>
      </c>
      <c r="D367" s="2">
        <f t="shared" si="60"/>
        <v>2024</v>
      </c>
      <c r="E367" s="4">
        <v>45458</v>
      </c>
      <c r="F367" s="4">
        <v>45464</v>
      </c>
      <c r="G367" s="6">
        <f t="shared" si="56"/>
        <v>6</v>
      </c>
      <c r="H367" s="6" t="str">
        <f t="shared" si="57"/>
        <v>Valid</v>
      </c>
      <c r="I367" t="s">
        <v>1202</v>
      </c>
      <c r="J367" t="s">
        <v>90</v>
      </c>
      <c r="K367" t="s">
        <v>91</v>
      </c>
      <c r="L367" t="s">
        <v>64</v>
      </c>
      <c r="M367" t="s">
        <v>191</v>
      </c>
      <c r="O367" t="s">
        <v>75</v>
      </c>
      <c r="P367" t="s">
        <v>76</v>
      </c>
      <c r="Q367" t="s">
        <v>1203</v>
      </c>
      <c r="R367" t="s">
        <v>51</v>
      </c>
      <c r="S367">
        <v>8</v>
      </c>
      <c r="T367">
        <v>1706.4</v>
      </c>
      <c r="U367" s="2">
        <f t="shared" si="61"/>
        <v>13651.2</v>
      </c>
      <c r="V367" s="13">
        <v>0</v>
      </c>
      <c r="W367" s="2">
        <f t="shared" si="62"/>
        <v>0</v>
      </c>
      <c r="X367" s="2" t="str">
        <f t="shared" si="63"/>
        <v>Valid</v>
      </c>
      <c r="Y367" s="2" t="str">
        <f t="shared" si="64"/>
        <v>Clean</v>
      </c>
      <c r="Z367">
        <v>12968.64</v>
      </c>
      <c r="AA367">
        <v>10119.61</v>
      </c>
      <c r="AB367" s="2">
        <f t="shared" si="58"/>
        <v>3531.59</v>
      </c>
      <c r="AC367">
        <v>2849.03</v>
      </c>
      <c r="AD367" s="11">
        <f t="shared" si="65"/>
        <v>0.21968610432551142</v>
      </c>
      <c r="AE367" t="s">
        <v>33</v>
      </c>
      <c r="AF367" t="s">
        <v>34</v>
      </c>
    </row>
    <row r="368" spans="1:32">
      <c r="A368" t="s">
        <v>1204</v>
      </c>
      <c r="B368" s="2" t="str">
        <f t="shared" si="55"/>
        <v>Unique</v>
      </c>
      <c r="C368" s="2" t="str">
        <f t="shared" si="59"/>
        <v>Jan</v>
      </c>
      <c r="D368" s="2">
        <f t="shared" si="60"/>
        <v>2025</v>
      </c>
      <c r="E368" s="4">
        <v>45673</v>
      </c>
      <c r="F368" s="4">
        <v>45679</v>
      </c>
      <c r="G368" s="6">
        <f t="shared" si="56"/>
        <v>6</v>
      </c>
      <c r="H368" s="6" t="str">
        <f t="shared" si="57"/>
        <v>Valid</v>
      </c>
      <c r="I368" t="s">
        <v>1205</v>
      </c>
      <c r="J368" t="s">
        <v>133</v>
      </c>
      <c r="K368" t="s">
        <v>91</v>
      </c>
      <c r="L368" t="s">
        <v>26</v>
      </c>
      <c r="M368" t="s">
        <v>27</v>
      </c>
      <c r="O368" t="s">
        <v>42</v>
      </c>
      <c r="P368" t="s">
        <v>43</v>
      </c>
      <c r="Q368" t="s">
        <v>1206</v>
      </c>
      <c r="R368" t="s">
        <v>45</v>
      </c>
      <c r="S368">
        <v>2</v>
      </c>
      <c r="T368">
        <v>4418.28</v>
      </c>
      <c r="U368" s="2">
        <f t="shared" si="61"/>
        <v>8836.56</v>
      </c>
      <c r="V368" s="13">
        <v>0</v>
      </c>
      <c r="W368" s="2">
        <f t="shared" si="62"/>
        <v>0</v>
      </c>
      <c r="X368" s="2" t="str">
        <f t="shared" si="63"/>
        <v>Valid</v>
      </c>
      <c r="Y368" s="2" t="str">
        <f t="shared" si="64"/>
        <v>Clean</v>
      </c>
      <c r="Z368">
        <v>8836.56</v>
      </c>
      <c r="AA368">
        <v>5867.75</v>
      </c>
      <c r="AB368" s="2">
        <f t="shared" si="58"/>
        <v>2968.8099999999995</v>
      </c>
      <c r="AC368">
        <v>2968.81</v>
      </c>
      <c r="AD368" s="11">
        <f t="shared" si="65"/>
        <v>0.33596897435201029</v>
      </c>
      <c r="AE368" t="s">
        <v>33</v>
      </c>
      <c r="AF368" t="s">
        <v>34</v>
      </c>
    </row>
    <row r="369" spans="1:32">
      <c r="A369" t="s">
        <v>1207</v>
      </c>
      <c r="B369" s="2" t="str">
        <f t="shared" si="55"/>
        <v>Unique</v>
      </c>
      <c r="C369" s="2" t="str">
        <f t="shared" si="59"/>
        <v>Mar</v>
      </c>
      <c r="D369" s="2">
        <f t="shared" si="60"/>
        <v>2024</v>
      </c>
      <c r="E369" s="4">
        <v>45366</v>
      </c>
      <c r="F369" s="4">
        <v>45367</v>
      </c>
      <c r="G369" s="6">
        <f t="shared" si="56"/>
        <v>1</v>
      </c>
      <c r="H369" s="6" t="str">
        <f t="shared" si="57"/>
        <v>Valid</v>
      </c>
      <c r="I369" t="s">
        <v>1208</v>
      </c>
      <c r="J369" t="s">
        <v>142</v>
      </c>
      <c r="K369" t="s">
        <v>25</v>
      </c>
      <c r="L369" t="s">
        <v>26</v>
      </c>
      <c r="M369" t="s">
        <v>351</v>
      </c>
      <c r="O369" t="s">
        <v>29</v>
      </c>
      <c r="P369" t="s">
        <v>49</v>
      </c>
      <c r="Q369" t="s">
        <v>1209</v>
      </c>
      <c r="R369" t="s">
        <v>60</v>
      </c>
      <c r="S369">
        <v>6</v>
      </c>
      <c r="T369">
        <v>3815.09</v>
      </c>
      <c r="U369" s="2">
        <f t="shared" si="61"/>
        <v>19456.958999999999</v>
      </c>
      <c r="V369" s="13">
        <v>0.15</v>
      </c>
      <c r="W369" s="2">
        <f t="shared" si="62"/>
        <v>0.15</v>
      </c>
      <c r="X369" s="2" t="str">
        <f t="shared" si="63"/>
        <v>Valid</v>
      </c>
      <c r="Y369" s="2" t="str">
        <f t="shared" si="64"/>
        <v>Clean</v>
      </c>
      <c r="Z369">
        <v>19456.96</v>
      </c>
      <c r="AA369">
        <v>14520.06</v>
      </c>
      <c r="AB369" s="2">
        <f t="shared" si="58"/>
        <v>4936.8989999999994</v>
      </c>
      <c r="AC369">
        <v>4936.8999999999996</v>
      </c>
      <c r="AD369" s="11">
        <f t="shared" si="65"/>
        <v>0.25373439632912848</v>
      </c>
      <c r="AE369" t="s">
        <v>156</v>
      </c>
      <c r="AF369" t="s">
        <v>69</v>
      </c>
    </row>
    <row r="370" spans="1:32">
      <c r="A370" t="s">
        <v>1210</v>
      </c>
      <c r="B370" s="2" t="str">
        <f t="shared" si="55"/>
        <v>Unique</v>
      </c>
      <c r="C370" s="2" t="str">
        <f t="shared" si="59"/>
        <v>Jul</v>
      </c>
      <c r="D370" s="2">
        <f t="shared" si="60"/>
        <v>2025</v>
      </c>
      <c r="E370" s="4">
        <v>45844</v>
      </c>
      <c r="F370" s="4">
        <v>45844</v>
      </c>
      <c r="G370" s="6">
        <f t="shared" si="56"/>
        <v>0</v>
      </c>
      <c r="H370" s="6" t="str">
        <f t="shared" si="57"/>
        <v>Valid</v>
      </c>
      <c r="I370" t="s">
        <v>1211</v>
      </c>
      <c r="J370" t="s">
        <v>129</v>
      </c>
      <c r="K370" t="s">
        <v>96</v>
      </c>
      <c r="L370" t="s">
        <v>26</v>
      </c>
      <c r="M370" t="s">
        <v>27</v>
      </c>
      <c r="O370" t="s">
        <v>75</v>
      </c>
      <c r="P370" t="s">
        <v>76</v>
      </c>
      <c r="Q370" t="s">
        <v>1212</v>
      </c>
      <c r="R370" t="s">
        <v>45</v>
      </c>
      <c r="S370">
        <v>9</v>
      </c>
      <c r="T370">
        <v>243.19</v>
      </c>
      <c r="U370" s="2">
        <f t="shared" si="61"/>
        <v>2079.2745</v>
      </c>
      <c r="V370" s="13">
        <v>0.05</v>
      </c>
      <c r="W370" s="2">
        <f t="shared" si="62"/>
        <v>0.05</v>
      </c>
      <c r="X370" s="2" t="str">
        <f t="shared" si="63"/>
        <v>Valid</v>
      </c>
      <c r="Y370" s="2" t="str">
        <f t="shared" si="64"/>
        <v>Clean</v>
      </c>
      <c r="Z370">
        <v>2079.27</v>
      </c>
      <c r="AA370">
        <v>1512.17</v>
      </c>
      <c r="AB370" s="2">
        <f t="shared" si="58"/>
        <v>567.10449999999992</v>
      </c>
      <c r="AC370">
        <v>567.1</v>
      </c>
      <c r="AD370" s="11">
        <f t="shared" si="65"/>
        <v>0.27273995200238549</v>
      </c>
      <c r="AE370" t="s">
        <v>103</v>
      </c>
      <c r="AF370" t="s">
        <v>104</v>
      </c>
    </row>
    <row r="371" spans="1:32">
      <c r="A371" t="s">
        <v>1213</v>
      </c>
      <c r="B371" s="2" t="str">
        <f t="shared" si="55"/>
        <v>Unique</v>
      </c>
      <c r="C371" s="2" t="str">
        <f t="shared" si="59"/>
        <v>Jan</v>
      </c>
      <c r="D371" s="2">
        <f t="shared" si="60"/>
        <v>2025</v>
      </c>
      <c r="E371" s="4">
        <v>45680</v>
      </c>
      <c r="F371" s="4">
        <v>45687</v>
      </c>
      <c r="G371" s="6">
        <f t="shared" si="56"/>
        <v>7</v>
      </c>
      <c r="H371" s="6" t="str">
        <f t="shared" si="57"/>
        <v>Valid</v>
      </c>
      <c r="I371" t="s">
        <v>1214</v>
      </c>
      <c r="J371" t="s">
        <v>115</v>
      </c>
      <c r="K371" t="s">
        <v>25</v>
      </c>
      <c r="L371" t="s">
        <v>26</v>
      </c>
      <c r="M371" t="s">
        <v>351</v>
      </c>
      <c r="O371" t="s">
        <v>29</v>
      </c>
      <c r="P371" t="s">
        <v>92</v>
      </c>
      <c r="Q371" t="s">
        <v>1215</v>
      </c>
      <c r="R371" t="s">
        <v>60</v>
      </c>
      <c r="S371">
        <v>9</v>
      </c>
      <c r="T371">
        <v>1169.3699999999999</v>
      </c>
      <c r="U371" s="2">
        <f t="shared" si="61"/>
        <v>8945.6804999999986</v>
      </c>
      <c r="V371" s="13">
        <v>0.15</v>
      </c>
      <c r="W371" s="2">
        <f t="shared" si="62"/>
        <v>0.15</v>
      </c>
      <c r="X371" s="2" t="str">
        <f t="shared" si="63"/>
        <v>Valid</v>
      </c>
      <c r="Y371" s="2" t="str">
        <f t="shared" si="64"/>
        <v>Clean</v>
      </c>
      <c r="Z371">
        <v>8945.68</v>
      </c>
      <c r="AA371">
        <v>6740.35</v>
      </c>
      <c r="AB371" s="2">
        <f t="shared" si="58"/>
        <v>2205.3304999999982</v>
      </c>
      <c r="AC371">
        <v>2205.33</v>
      </c>
      <c r="AD371" s="11">
        <f t="shared" si="65"/>
        <v>0.24652457946181844</v>
      </c>
      <c r="AE371" t="s">
        <v>33</v>
      </c>
      <c r="AF371" t="s">
        <v>34</v>
      </c>
    </row>
    <row r="372" spans="1:32">
      <c r="A372" t="s">
        <v>1216</v>
      </c>
      <c r="B372" s="2" t="str">
        <f t="shared" si="55"/>
        <v>Unique</v>
      </c>
      <c r="C372" s="2" t="str">
        <f t="shared" si="59"/>
        <v>Aug</v>
      </c>
      <c r="D372" s="2">
        <f t="shared" si="60"/>
        <v>2024</v>
      </c>
      <c r="E372" s="4">
        <v>45519</v>
      </c>
      <c r="F372" s="4">
        <v>45525</v>
      </c>
      <c r="G372" s="6">
        <f t="shared" si="56"/>
        <v>6</v>
      </c>
      <c r="H372" s="6" t="str">
        <f t="shared" si="57"/>
        <v>Valid</v>
      </c>
      <c r="I372" t="s">
        <v>1217</v>
      </c>
      <c r="J372" t="s">
        <v>63</v>
      </c>
      <c r="K372" t="s">
        <v>38</v>
      </c>
      <c r="L372" t="s">
        <v>64</v>
      </c>
      <c r="M372" t="s">
        <v>27</v>
      </c>
      <c r="O372" t="s">
        <v>75</v>
      </c>
      <c r="P372" t="s">
        <v>81</v>
      </c>
      <c r="Q372" t="s">
        <v>1218</v>
      </c>
      <c r="R372" t="s">
        <v>51</v>
      </c>
      <c r="S372">
        <v>7</v>
      </c>
      <c r="T372">
        <v>2333.81</v>
      </c>
      <c r="U372" s="2">
        <f t="shared" si="61"/>
        <v>13069.336000000001</v>
      </c>
      <c r="V372" s="13">
        <v>0.2</v>
      </c>
      <c r="W372" s="2">
        <f t="shared" si="62"/>
        <v>0.2</v>
      </c>
      <c r="X372" s="2" t="str">
        <f t="shared" si="63"/>
        <v>Valid</v>
      </c>
      <c r="Y372" s="2" t="str">
        <f t="shared" si="64"/>
        <v>Clean</v>
      </c>
      <c r="Z372">
        <v>13069.34</v>
      </c>
      <c r="AA372">
        <v>8768.59</v>
      </c>
      <c r="AB372" s="2">
        <f t="shared" si="58"/>
        <v>4300.746000000001</v>
      </c>
      <c r="AC372">
        <v>4300.75</v>
      </c>
      <c r="AD372" s="11">
        <f t="shared" si="65"/>
        <v>0.32907170522765494</v>
      </c>
      <c r="AE372" t="s">
        <v>33</v>
      </c>
      <c r="AF372" t="s">
        <v>34</v>
      </c>
    </row>
    <row r="373" spans="1:32">
      <c r="A373" t="s">
        <v>1219</v>
      </c>
      <c r="B373" s="2" t="str">
        <f t="shared" si="55"/>
        <v>Unique</v>
      </c>
      <c r="C373" s="2" t="str">
        <f t="shared" si="59"/>
        <v>Jan</v>
      </c>
      <c r="D373" s="2">
        <f t="shared" si="60"/>
        <v>2024</v>
      </c>
      <c r="E373" s="4">
        <v>45313</v>
      </c>
      <c r="F373" s="4">
        <v>45315</v>
      </c>
      <c r="G373" s="6">
        <f t="shared" si="56"/>
        <v>2</v>
      </c>
      <c r="H373" s="6" t="str">
        <f t="shared" si="57"/>
        <v>Valid</v>
      </c>
      <c r="I373" t="s">
        <v>1220</v>
      </c>
      <c r="J373" t="s">
        <v>163</v>
      </c>
      <c r="K373" t="s">
        <v>96</v>
      </c>
      <c r="L373" t="s">
        <v>64</v>
      </c>
      <c r="M373" t="s">
        <v>65</v>
      </c>
      <c r="O373" t="s">
        <v>29</v>
      </c>
      <c r="P373" t="s">
        <v>49</v>
      </c>
      <c r="Q373" t="s">
        <v>1221</v>
      </c>
      <c r="R373" t="s">
        <v>60</v>
      </c>
      <c r="S373">
        <v>6</v>
      </c>
      <c r="T373">
        <v>1026.06</v>
      </c>
      <c r="U373" s="2">
        <f t="shared" si="61"/>
        <v>6156.36</v>
      </c>
      <c r="V373" s="13">
        <v>0</v>
      </c>
      <c r="W373" s="2">
        <f t="shared" si="62"/>
        <v>0</v>
      </c>
      <c r="X373" s="2" t="str">
        <f t="shared" si="63"/>
        <v>Valid</v>
      </c>
      <c r="Y373" s="2" t="str">
        <f t="shared" si="64"/>
        <v>Clean</v>
      </c>
      <c r="Z373">
        <v>4617.2700000000004</v>
      </c>
      <c r="AA373">
        <v>2981.94</v>
      </c>
      <c r="AB373" s="2">
        <f t="shared" si="58"/>
        <v>3174.4199999999996</v>
      </c>
      <c r="AC373">
        <v>1635.33</v>
      </c>
      <c r="AD373" s="11">
        <f t="shared" si="65"/>
        <v>0.35417681876953261</v>
      </c>
      <c r="AE373" t="s">
        <v>103</v>
      </c>
      <c r="AF373" t="s">
        <v>69</v>
      </c>
    </row>
    <row r="374" spans="1:32">
      <c r="A374" t="s">
        <v>1222</v>
      </c>
      <c r="B374" s="2" t="str">
        <f t="shared" si="55"/>
        <v>Unique</v>
      </c>
      <c r="C374" s="2" t="str">
        <f t="shared" si="59"/>
        <v>Aug</v>
      </c>
      <c r="D374" s="2">
        <f t="shared" si="60"/>
        <v>2025</v>
      </c>
      <c r="E374" s="4">
        <v>45885</v>
      </c>
      <c r="F374" s="4">
        <v>45887</v>
      </c>
      <c r="G374" s="6">
        <f t="shared" si="56"/>
        <v>2</v>
      </c>
      <c r="H374" s="6" t="str">
        <f t="shared" si="57"/>
        <v>Valid</v>
      </c>
      <c r="I374" t="s">
        <v>642</v>
      </c>
      <c r="J374" t="s">
        <v>265</v>
      </c>
      <c r="K374" t="s">
        <v>25</v>
      </c>
      <c r="L374" t="s">
        <v>39</v>
      </c>
      <c r="M374" t="s">
        <v>229</v>
      </c>
      <c r="O374" t="s">
        <v>42</v>
      </c>
      <c r="P374" t="s">
        <v>67</v>
      </c>
      <c r="Q374" t="s">
        <v>1223</v>
      </c>
      <c r="R374" t="s">
        <v>45</v>
      </c>
      <c r="S374">
        <v>5</v>
      </c>
      <c r="T374">
        <v>1530.36</v>
      </c>
      <c r="U374" s="2">
        <f t="shared" si="61"/>
        <v>7651.7999999999993</v>
      </c>
      <c r="V374" s="13">
        <v>0</v>
      </c>
      <c r="W374" s="2">
        <f t="shared" si="62"/>
        <v>0</v>
      </c>
      <c r="X374" s="2" t="str">
        <f t="shared" si="63"/>
        <v>Valid</v>
      </c>
      <c r="Y374" s="2" t="str">
        <f t="shared" si="64"/>
        <v>Clean</v>
      </c>
      <c r="Z374">
        <v>7651.8</v>
      </c>
      <c r="AA374">
        <v>5171.78</v>
      </c>
      <c r="AB374" s="2">
        <f t="shared" si="58"/>
        <v>2480.0199999999995</v>
      </c>
      <c r="AC374">
        <v>2480.02</v>
      </c>
      <c r="AD374" s="11">
        <f t="shared" si="65"/>
        <v>0.32410935988917638</v>
      </c>
      <c r="AE374" t="s">
        <v>33</v>
      </c>
      <c r="AF374" t="s">
        <v>34</v>
      </c>
    </row>
    <row r="375" spans="1:32">
      <c r="A375" t="s">
        <v>1224</v>
      </c>
      <c r="B375" s="2" t="str">
        <f t="shared" si="55"/>
        <v>Duplicate Order ID</v>
      </c>
      <c r="C375" s="2" t="str">
        <f t="shared" si="59"/>
        <v>Apr</v>
      </c>
      <c r="D375" s="2">
        <f t="shared" si="60"/>
        <v>2025</v>
      </c>
      <c r="E375" s="4">
        <v>45760</v>
      </c>
      <c r="F375" s="4">
        <v>45760</v>
      </c>
      <c r="G375" s="6">
        <f t="shared" si="56"/>
        <v>0</v>
      </c>
      <c r="H375" s="6" t="str">
        <f t="shared" si="57"/>
        <v>Valid</v>
      </c>
      <c r="I375" t="s">
        <v>1225</v>
      </c>
      <c r="J375" t="s">
        <v>133</v>
      </c>
      <c r="K375" t="s">
        <v>38</v>
      </c>
      <c r="L375" t="s">
        <v>26</v>
      </c>
      <c r="M375" t="s">
        <v>137</v>
      </c>
      <c r="O375" t="s">
        <v>29</v>
      </c>
      <c r="P375" t="s">
        <v>125</v>
      </c>
      <c r="Q375" t="s">
        <v>1226</v>
      </c>
      <c r="R375" t="s">
        <v>32</v>
      </c>
      <c r="S375">
        <v>9</v>
      </c>
      <c r="T375">
        <v>1118.68</v>
      </c>
      <c r="U375" s="2">
        <f t="shared" si="61"/>
        <v>10068.120000000001</v>
      </c>
      <c r="V375" s="13">
        <v>0</v>
      </c>
      <c r="W375" s="2">
        <f t="shared" si="62"/>
        <v>0</v>
      </c>
      <c r="X375" s="2" t="str">
        <f t="shared" si="63"/>
        <v>Valid</v>
      </c>
      <c r="Y375" s="2" t="str">
        <f t="shared" si="64"/>
        <v>Clean</v>
      </c>
      <c r="Z375">
        <v>10068.120000000001</v>
      </c>
      <c r="AA375">
        <v>8595.3700000000008</v>
      </c>
      <c r="AB375" s="2">
        <f t="shared" si="58"/>
        <v>1472.75</v>
      </c>
      <c r="AC375">
        <v>1472.75</v>
      </c>
      <c r="AD375" s="11">
        <f t="shared" si="65"/>
        <v>0.14627855051389932</v>
      </c>
      <c r="AE375" t="s">
        <v>33</v>
      </c>
      <c r="AF375" t="s">
        <v>34</v>
      </c>
    </row>
    <row r="376" spans="1:32">
      <c r="A376" t="s">
        <v>1227</v>
      </c>
      <c r="B376" s="2" t="str">
        <f t="shared" si="55"/>
        <v>Unique</v>
      </c>
      <c r="C376" s="2" t="str">
        <f t="shared" si="59"/>
        <v>Feb</v>
      </c>
      <c r="D376" s="2">
        <f t="shared" si="60"/>
        <v>2025</v>
      </c>
      <c r="E376" s="4">
        <v>45715</v>
      </c>
      <c r="F376" s="4">
        <v>45716</v>
      </c>
      <c r="G376" s="6">
        <f t="shared" si="56"/>
        <v>1</v>
      </c>
      <c r="H376" s="6" t="str">
        <f t="shared" si="57"/>
        <v>Valid</v>
      </c>
      <c r="I376" t="s">
        <v>1228</v>
      </c>
      <c r="J376" t="s">
        <v>90</v>
      </c>
      <c r="K376" t="s">
        <v>38</v>
      </c>
      <c r="L376" t="s">
        <v>26</v>
      </c>
      <c r="M376" t="s">
        <v>137</v>
      </c>
      <c r="O376" t="s">
        <v>29</v>
      </c>
      <c r="P376" t="s">
        <v>92</v>
      </c>
      <c r="Q376" t="s">
        <v>1229</v>
      </c>
      <c r="R376" t="s">
        <v>60</v>
      </c>
      <c r="S376">
        <v>6</v>
      </c>
      <c r="T376">
        <v>2393.25</v>
      </c>
      <c r="U376" s="2">
        <f t="shared" si="61"/>
        <v>14359.5</v>
      </c>
      <c r="V376" s="13">
        <v>0</v>
      </c>
      <c r="W376" s="2">
        <f t="shared" si="62"/>
        <v>0</v>
      </c>
      <c r="X376" s="2" t="str">
        <f t="shared" si="63"/>
        <v>Valid</v>
      </c>
      <c r="Y376" s="2" t="str">
        <f t="shared" si="64"/>
        <v>Clean</v>
      </c>
      <c r="Z376">
        <v>14359.5</v>
      </c>
      <c r="AA376">
        <v>8117.71</v>
      </c>
      <c r="AB376" s="2">
        <f t="shared" si="58"/>
        <v>6241.79</v>
      </c>
      <c r="AC376">
        <v>6241.79</v>
      </c>
      <c r="AD376" s="11">
        <f t="shared" si="65"/>
        <v>0.43468017688638183</v>
      </c>
      <c r="AE376" t="s">
        <v>33</v>
      </c>
      <c r="AF376" t="s">
        <v>34</v>
      </c>
    </row>
    <row r="377" spans="1:32">
      <c r="A377" t="s">
        <v>1230</v>
      </c>
      <c r="B377" s="2" t="str">
        <f t="shared" si="55"/>
        <v>Unique</v>
      </c>
      <c r="C377" s="2" t="str">
        <f t="shared" si="59"/>
        <v>Dec</v>
      </c>
      <c r="D377" s="2">
        <f t="shared" si="60"/>
        <v>2024</v>
      </c>
      <c r="E377" s="4">
        <v>45657</v>
      </c>
      <c r="F377" s="4">
        <v>45661</v>
      </c>
      <c r="G377" s="6">
        <f t="shared" si="56"/>
        <v>4</v>
      </c>
      <c r="H377" s="6" t="str">
        <f t="shared" si="57"/>
        <v>Valid</v>
      </c>
      <c r="I377" t="s">
        <v>1231</v>
      </c>
      <c r="J377" t="s">
        <v>72</v>
      </c>
      <c r="K377" t="s">
        <v>25</v>
      </c>
      <c r="L377" t="s">
        <v>26</v>
      </c>
      <c r="M377" t="s">
        <v>351</v>
      </c>
      <c r="O377" t="s">
        <v>42</v>
      </c>
      <c r="P377" t="s">
        <v>67</v>
      </c>
      <c r="Q377" t="s">
        <v>1232</v>
      </c>
      <c r="R377" t="s">
        <v>45</v>
      </c>
      <c r="S377">
        <v>3</v>
      </c>
      <c r="T377">
        <v>1166.6099999999999</v>
      </c>
      <c r="U377" s="2">
        <f t="shared" si="61"/>
        <v>2624.8724999999999</v>
      </c>
      <c r="V377" s="13">
        <v>0.25</v>
      </c>
      <c r="W377" s="2">
        <f t="shared" si="62"/>
        <v>0.25</v>
      </c>
      <c r="X377" s="2" t="str">
        <f t="shared" si="63"/>
        <v>Valid</v>
      </c>
      <c r="Y377" s="2" t="str">
        <f t="shared" si="64"/>
        <v>Clean</v>
      </c>
      <c r="Z377">
        <v>2624.87</v>
      </c>
      <c r="AA377">
        <v>2253.88</v>
      </c>
      <c r="AB377" s="2">
        <f t="shared" si="58"/>
        <v>370.99249999999984</v>
      </c>
      <c r="AC377">
        <v>370.99</v>
      </c>
      <c r="AD377" s="11">
        <f t="shared" si="65"/>
        <v>0.14133652333258409</v>
      </c>
      <c r="AE377" t="s">
        <v>33</v>
      </c>
      <c r="AF377" t="s">
        <v>34</v>
      </c>
    </row>
    <row r="378" spans="1:32">
      <c r="A378" t="s">
        <v>1233</v>
      </c>
      <c r="B378" s="2" t="str">
        <f t="shared" si="55"/>
        <v>Unique</v>
      </c>
      <c r="C378" s="2" t="str">
        <f t="shared" si="59"/>
        <v>Dec</v>
      </c>
      <c r="D378" s="2">
        <f t="shared" si="60"/>
        <v>2024</v>
      </c>
      <c r="E378" s="4">
        <v>45655</v>
      </c>
      <c r="F378" s="4">
        <v>45657</v>
      </c>
      <c r="G378" s="6">
        <f t="shared" si="56"/>
        <v>2</v>
      </c>
      <c r="H378" s="6" t="str">
        <f t="shared" si="57"/>
        <v>Valid</v>
      </c>
      <c r="I378" t="s">
        <v>1234</v>
      </c>
      <c r="J378" t="s">
        <v>48</v>
      </c>
      <c r="K378" t="s">
        <v>38</v>
      </c>
      <c r="L378" t="s">
        <v>39</v>
      </c>
      <c r="M378" t="s">
        <v>146</v>
      </c>
      <c r="O378" t="s">
        <v>42</v>
      </c>
      <c r="P378" t="s">
        <v>67</v>
      </c>
      <c r="Q378" t="s">
        <v>1235</v>
      </c>
      <c r="R378" t="s">
        <v>51</v>
      </c>
      <c r="S378">
        <v>6</v>
      </c>
      <c r="T378">
        <v>1844.78</v>
      </c>
      <c r="U378" s="2">
        <f t="shared" si="61"/>
        <v>8854.9440000000013</v>
      </c>
      <c r="V378" s="13">
        <v>0.2</v>
      </c>
      <c r="W378" s="2">
        <f t="shared" si="62"/>
        <v>0.2</v>
      </c>
      <c r="X378" s="2" t="str">
        <f t="shared" si="63"/>
        <v>Valid</v>
      </c>
      <c r="Y378" s="2" t="str">
        <f t="shared" si="64"/>
        <v>Clean</v>
      </c>
      <c r="Z378">
        <v>8854.94</v>
      </c>
      <c r="AA378">
        <v>7433.95</v>
      </c>
      <c r="AB378" s="2">
        <f t="shared" si="58"/>
        <v>1420.9940000000015</v>
      </c>
      <c r="AC378">
        <v>1420.99</v>
      </c>
      <c r="AD378" s="11">
        <f t="shared" si="65"/>
        <v>0.16047426634172562</v>
      </c>
      <c r="AE378" t="s">
        <v>33</v>
      </c>
      <c r="AF378" t="s">
        <v>34</v>
      </c>
    </row>
    <row r="379" spans="1:32">
      <c r="A379" t="s">
        <v>1236</v>
      </c>
      <c r="B379" s="2" t="str">
        <f t="shared" si="55"/>
        <v>Unique</v>
      </c>
      <c r="C379" s="2" t="str">
        <f t="shared" si="59"/>
        <v>May</v>
      </c>
      <c r="D379" s="2">
        <f t="shared" si="60"/>
        <v>2025</v>
      </c>
      <c r="E379" s="4">
        <v>45801</v>
      </c>
      <c r="F379" s="4">
        <v>45807</v>
      </c>
      <c r="G379" s="6">
        <f t="shared" si="56"/>
        <v>6</v>
      </c>
      <c r="H379" s="6" t="str">
        <f t="shared" si="57"/>
        <v>Valid</v>
      </c>
      <c r="I379" t="s">
        <v>1237</v>
      </c>
      <c r="J379" t="s">
        <v>265</v>
      </c>
      <c r="K379" t="s">
        <v>38</v>
      </c>
      <c r="L379" t="s">
        <v>39</v>
      </c>
      <c r="M379" t="s">
        <v>40</v>
      </c>
      <c r="O379" t="s">
        <v>29</v>
      </c>
      <c r="P379" t="s">
        <v>1238</v>
      </c>
      <c r="Q379" t="s">
        <v>1239</v>
      </c>
      <c r="R379" t="s">
        <v>45</v>
      </c>
      <c r="S379">
        <v>1</v>
      </c>
      <c r="T379">
        <v>2564.7399999999998</v>
      </c>
      <c r="U379" s="2">
        <f t="shared" si="61"/>
        <v>2564.7399999999998</v>
      </c>
      <c r="V379" s="13">
        <v>0</v>
      </c>
      <c r="W379" s="2">
        <f t="shared" si="62"/>
        <v>0</v>
      </c>
      <c r="X379" s="2" t="str">
        <f t="shared" si="63"/>
        <v>Valid</v>
      </c>
      <c r="Y379" s="2" t="str">
        <f t="shared" si="64"/>
        <v>Clean</v>
      </c>
      <c r="Z379">
        <v>2564.7399999999998</v>
      </c>
      <c r="AA379">
        <v>1754.58</v>
      </c>
      <c r="AB379" s="2">
        <f t="shared" si="58"/>
        <v>810.15999999999985</v>
      </c>
      <c r="AC379">
        <v>810.16</v>
      </c>
      <c r="AD379" s="11">
        <f t="shared" si="65"/>
        <v>0.31588387126960238</v>
      </c>
      <c r="AE379" t="s">
        <v>33</v>
      </c>
      <c r="AF379" t="s">
        <v>34</v>
      </c>
    </row>
    <row r="380" spans="1:32">
      <c r="A380" t="s">
        <v>1240</v>
      </c>
      <c r="B380" s="2" t="str">
        <f t="shared" si="55"/>
        <v>Unique</v>
      </c>
      <c r="C380" s="2" t="str">
        <f t="shared" si="59"/>
        <v>May</v>
      </c>
      <c r="D380" s="2">
        <f t="shared" si="60"/>
        <v>2025</v>
      </c>
      <c r="E380" s="4">
        <v>45799</v>
      </c>
      <c r="F380" s="4">
        <v>45799</v>
      </c>
      <c r="G380" s="6">
        <f t="shared" si="56"/>
        <v>0</v>
      </c>
      <c r="H380" s="6" t="str">
        <f t="shared" si="57"/>
        <v>Valid</v>
      </c>
      <c r="I380" t="s">
        <v>1241</v>
      </c>
      <c r="J380" t="s">
        <v>37</v>
      </c>
      <c r="K380" t="s">
        <v>25</v>
      </c>
      <c r="L380" t="s">
        <v>64</v>
      </c>
      <c r="M380" t="s">
        <v>191</v>
      </c>
      <c r="O380" t="s">
        <v>75</v>
      </c>
      <c r="P380" t="s">
        <v>76</v>
      </c>
      <c r="Q380" t="s">
        <v>1242</v>
      </c>
      <c r="R380" t="s">
        <v>60</v>
      </c>
      <c r="S380">
        <v>2</v>
      </c>
      <c r="T380">
        <v>3910.61</v>
      </c>
      <c r="U380" s="2">
        <f t="shared" si="61"/>
        <v>7821.22</v>
      </c>
      <c r="V380" s="13">
        <v>0</v>
      </c>
      <c r="W380" s="2">
        <f t="shared" si="62"/>
        <v>0</v>
      </c>
      <c r="X380" s="2" t="str">
        <f t="shared" si="63"/>
        <v>Valid</v>
      </c>
      <c r="Y380" s="2" t="str">
        <f t="shared" si="64"/>
        <v>Clean</v>
      </c>
      <c r="Z380">
        <v>7821.22</v>
      </c>
      <c r="AA380">
        <v>4994.46</v>
      </c>
      <c r="AB380" s="2">
        <f t="shared" si="58"/>
        <v>2826.76</v>
      </c>
      <c r="AC380">
        <v>2826.76</v>
      </c>
      <c r="AD380" s="11">
        <f t="shared" si="65"/>
        <v>0.36142187535959863</v>
      </c>
      <c r="AE380" t="s">
        <v>33</v>
      </c>
      <c r="AF380" t="s">
        <v>34</v>
      </c>
    </row>
    <row r="381" spans="1:32">
      <c r="A381" t="s">
        <v>1243</v>
      </c>
      <c r="B381" s="2" t="str">
        <f t="shared" si="55"/>
        <v>Unique</v>
      </c>
      <c r="C381" s="2" t="str">
        <f t="shared" si="59"/>
        <v>Sep</v>
      </c>
      <c r="D381" s="2">
        <f t="shared" si="60"/>
        <v>2024</v>
      </c>
      <c r="E381" s="4">
        <v>45554</v>
      </c>
      <c r="F381" s="4">
        <v>45558</v>
      </c>
      <c r="G381" s="6">
        <f t="shared" si="56"/>
        <v>4</v>
      </c>
      <c r="H381" s="6" t="str">
        <f t="shared" si="57"/>
        <v>Valid</v>
      </c>
      <c r="I381" t="s">
        <v>1244</v>
      </c>
      <c r="J381" t="s">
        <v>37</v>
      </c>
      <c r="K381" t="s">
        <v>38</v>
      </c>
      <c r="L381" t="s">
        <v>55</v>
      </c>
      <c r="M381" t="s">
        <v>186</v>
      </c>
      <c r="O381" t="s">
        <v>29</v>
      </c>
      <c r="P381" t="s">
        <v>30</v>
      </c>
      <c r="Q381" t="s">
        <v>1245</v>
      </c>
      <c r="R381" t="s">
        <v>60</v>
      </c>
      <c r="S381">
        <v>7</v>
      </c>
      <c r="T381">
        <v>1136.68</v>
      </c>
      <c r="U381" s="2">
        <f t="shared" si="61"/>
        <v>7956.76</v>
      </c>
      <c r="V381" s="13">
        <v>0</v>
      </c>
      <c r="W381" s="2">
        <f t="shared" si="62"/>
        <v>0</v>
      </c>
      <c r="X381" s="2" t="str">
        <f t="shared" si="63"/>
        <v>Valid</v>
      </c>
      <c r="Y381" s="2" t="str">
        <f t="shared" si="64"/>
        <v>Clean</v>
      </c>
      <c r="Z381">
        <v>7956.76</v>
      </c>
      <c r="AA381">
        <v>4799.54</v>
      </c>
      <c r="AB381" s="2">
        <f t="shared" si="58"/>
        <v>3157.2200000000003</v>
      </c>
      <c r="AC381">
        <v>3157.22</v>
      </c>
      <c r="AD381" s="11">
        <f t="shared" si="65"/>
        <v>0.39679718880549364</v>
      </c>
      <c r="AE381" t="s">
        <v>33</v>
      </c>
      <c r="AF381" t="s">
        <v>34</v>
      </c>
    </row>
    <row r="382" spans="1:32">
      <c r="A382" t="s">
        <v>1246</v>
      </c>
      <c r="B382" s="2" t="str">
        <f t="shared" si="55"/>
        <v>Unique</v>
      </c>
      <c r="C382" s="2" t="str">
        <f t="shared" si="59"/>
        <v>Apr</v>
      </c>
      <c r="D382" s="2">
        <f t="shared" si="60"/>
        <v>2024</v>
      </c>
      <c r="E382" s="4">
        <v>45389</v>
      </c>
      <c r="F382" s="4">
        <v>45396</v>
      </c>
      <c r="G382" s="6">
        <f t="shared" si="56"/>
        <v>7</v>
      </c>
      <c r="H382" s="6" t="str">
        <f t="shared" si="57"/>
        <v>Valid</v>
      </c>
      <c r="I382" t="s">
        <v>1247</v>
      </c>
      <c r="J382" t="s">
        <v>72</v>
      </c>
      <c r="K382" t="s">
        <v>25</v>
      </c>
      <c r="L382" t="s">
        <v>64</v>
      </c>
      <c r="M382" t="s">
        <v>65</v>
      </c>
      <c r="O382" t="s">
        <v>42</v>
      </c>
      <c r="P382" t="s">
        <v>159</v>
      </c>
      <c r="Q382" t="s">
        <v>1248</v>
      </c>
      <c r="R382" t="s">
        <v>45</v>
      </c>
      <c r="S382">
        <v>5</v>
      </c>
      <c r="T382">
        <v>2235.85</v>
      </c>
      <c r="U382" s="2">
        <f t="shared" si="61"/>
        <v>8384.4375</v>
      </c>
      <c r="V382" s="13">
        <v>0.25</v>
      </c>
      <c r="W382" s="2">
        <f t="shared" si="62"/>
        <v>0.25</v>
      </c>
      <c r="X382" s="2" t="str">
        <f t="shared" si="63"/>
        <v>Valid</v>
      </c>
      <c r="Y382" s="2" t="str">
        <f t="shared" si="64"/>
        <v>Clean</v>
      </c>
      <c r="Z382">
        <v>8384.44</v>
      </c>
      <c r="AA382">
        <v>4765.96</v>
      </c>
      <c r="AB382" s="2">
        <f t="shared" si="58"/>
        <v>3618.4775</v>
      </c>
      <c r="AC382">
        <v>3618.48</v>
      </c>
      <c r="AD382" s="11">
        <f t="shared" si="65"/>
        <v>0.43157086221620045</v>
      </c>
      <c r="AE382" t="s">
        <v>33</v>
      </c>
      <c r="AF382" t="s">
        <v>104</v>
      </c>
    </row>
    <row r="383" spans="1:32">
      <c r="A383" t="s">
        <v>1249</v>
      </c>
      <c r="B383" s="2" t="str">
        <f t="shared" si="55"/>
        <v>Unique</v>
      </c>
      <c r="C383" s="2" t="str">
        <f t="shared" si="59"/>
        <v>Sep</v>
      </c>
      <c r="D383" s="2">
        <f t="shared" si="60"/>
        <v>2025</v>
      </c>
      <c r="E383" s="4">
        <v>45919</v>
      </c>
      <c r="F383" s="4">
        <v>45923</v>
      </c>
      <c r="G383" s="6">
        <f t="shared" si="56"/>
        <v>4</v>
      </c>
      <c r="H383" s="6" t="str">
        <f t="shared" si="57"/>
        <v>Valid</v>
      </c>
      <c r="I383" t="s">
        <v>1250</v>
      </c>
      <c r="J383" t="s">
        <v>54</v>
      </c>
      <c r="K383" t="s">
        <v>96</v>
      </c>
      <c r="L383" t="s">
        <v>26</v>
      </c>
      <c r="M383" t="s">
        <v>351</v>
      </c>
      <c r="O383" t="s">
        <v>29</v>
      </c>
      <c r="P383" t="s">
        <v>154</v>
      </c>
      <c r="Q383" t="s">
        <v>1251</v>
      </c>
      <c r="R383" t="s">
        <v>60</v>
      </c>
      <c r="S383">
        <v>4</v>
      </c>
      <c r="T383">
        <v>4387.1499999999996</v>
      </c>
      <c r="U383" s="2">
        <f t="shared" si="61"/>
        <v>16671.169999999998</v>
      </c>
      <c r="V383" s="13">
        <v>0.05</v>
      </c>
      <c r="W383" s="2">
        <f t="shared" si="62"/>
        <v>0.05</v>
      </c>
      <c r="X383" s="2" t="str">
        <f t="shared" si="63"/>
        <v>Valid</v>
      </c>
      <c r="Y383" s="2" t="str">
        <f t="shared" si="64"/>
        <v>Clean</v>
      </c>
      <c r="Z383">
        <v>16671.169999999998</v>
      </c>
      <c r="AA383">
        <v>10833.19</v>
      </c>
      <c r="AB383" s="2">
        <f t="shared" si="58"/>
        <v>5837.9799999999977</v>
      </c>
      <c r="AC383">
        <v>5837.98</v>
      </c>
      <c r="AD383" s="11">
        <f t="shared" si="65"/>
        <v>0.35018418023450065</v>
      </c>
      <c r="AE383" t="s">
        <v>156</v>
      </c>
      <c r="AF383" t="s">
        <v>69</v>
      </c>
    </row>
    <row r="384" spans="1:32">
      <c r="A384" t="s">
        <v>1252</v>
      </c>
      <c r="B384" s="2" t="str">
        <f t="shared" si="55"/>
        <v>Unique</v>
      </c>
      <c r="C384" s="2" t="str">
        <f t="shared" si="59"/>
        <v>Mar</v>
      </c>
      <c r="D384" s="2">
        <f t="shared" si="60"/>
        <v>2025</v>
      </c>
      <c r="E384" s="4">
        <v>45720</v>
      </c>
      <c r="F384" s="4">
        <v>45724</v>
      </c>
      <c r="G384" s="6">
        <f t="shared" si="56"/>
        <v>4</v>
      </c>
      <c r="H384" s="6" t="str">
        <f t="shared" si="57"/>
        <v>Valid</v>
      </c>
      <c r="I384" t="s">
        <v>158</v>
      </c>
      <c r="J384" t="s">
        <v>54</v>
      </c>
      <c r="K384" t="s">
        <v>38</v>
      </c>
      <c r="L384" t="s">
        <v>39</v>
      </c>
      <c r="M384" t="s">
        <v>146</v>
      </c>
      <c r="O384" t="s">
        <v>75</v>
      </c>
      <c r="P384" t="s">
        <v>172</v>
      </c>
      <c r="Q384" t="s">
        <v>1253</v>
      </c>
      <c r="R384" t="s">
        <v>51</v>
      </c>
      <c r="S384">
        <v>3</v>
      </c>
      <c r="T384">
        <v>4361.8500000000004</v>
      </c>
      <c r="U384" s="2">
        <f t="shared" si="61"/>
        <v>10468.440000000002</v>
      </c>
      <c r="V384" s="13">
        <v>0.2</v>
      </c>
      <c r="W384" s="2">
        <f t="shared" si="62"/>
        <v>0.2</v>
      </c>
      <c r="X384" s="2" t="str">
        <f t="shared" si="63"/>
        <v>Valid</v>
      </c>
      <c r="Y384" s="2" t="str">
        <f t="shared" si="64"/>
        <v>Clean</v>
      </c>
      <c r="Z384">
        <v>10468.44</v>
      </c>
      <c r="AA384">
        <v>8399.8700000000008</v>
      </c>
      <c r="AB384" s="2">
        <f t="shared" si="58"/>
        <v>2068.5700000000015</v>
      </c>
      <c r="AC384">
        <v>2068.5700000000002</v>
      </c>
      <c r="AD384" s="11">
        <f t="shared" si="65"/>
        <v>0.19760059760575596</v>
      </c>
      <c r="AE384" t="s">
        <v>33</v>
      </c>
      <c r="AF384" t="s">
        <v>34</v>
      </c>
    </row>
    <row r="385" spans="1:32">
      <c r="A385" t="s">
        <v>1254</v>
      </c>
      <c r="B385" s="2" t="str">
        <f t="shared" si="55"/>
        <v>Unique</v>
      </c>
      <c r="C385" s="2" t="str">
        <f t="shared" si="59"/>
        <v>Jun</v>
      </c>
      <c r="D385" s="2">
        <f t="shared" si="60"/>
        <v>2025</v>
      </c>
      <c r="E385" s="4">
        <v>45836</v>
      </c>
      <c r="F385" s="4">
        <v>45843</v>
      </c>
      <c r="G385" s="6">
        <f t="shared" si="56"/>
        <v>7</v>
      </c>
      <c r="H385" s="6" t="str">
        <f t="shared" si="57"/>
        <v>Valid</v>
      </c>
      <c r="I385" t="s">
        <v>1255</v>
      </c>
      <c r="J385" t="s">
        <v>72</v>
      </c>
      <c r="K385" t="s">
        <v>91</v>
      </c>
      <c r="L385" t="s">
        <v>39</v>
      </c>
      <c r="M385" t="s">
        <v>100</v>
      </c>
      <c r="O385" t="s">
        <v>29</v>
      </c>
      <c r="P385" t="s">
        <v>49</v>
      </c>
      <c r="Q385" t="s">
        <v>1256</v>
      </c>
      <c r="R385" t="s">
        <v>51</v>
      </c>
      <c r="S385">
        <v>2</v>
      </c>
      <c r="T385">
        <v>2242.75</v>
      </c>
      <c r="U385" s="2">
        <f t="shared" si="61"/>
        <v>4485.5</v>
      </c>
      <c r="V385" s="13">
        <v>0</v>
      </c>
      <c r="W385" s="2">
        <f t="shared" si="62"/>
        <v>0</v>
      </c>
      <c r="X385" s="2" t="str">
        <f t="shared" si="63"/>
        <v>Valid</v>
      </c>
      <c r="Y385" s="2" t="str">
        <f t="shared" si="64"/>
        <v>Clean</v>
      </c>
      <c r="Z385">
        <v>4485.5</v>
      </c>
      <c r="AA385">
        <v>3131.86</v>
      </c>
      <c r="AB385" s="2">
        <f t="shared" si="58"/>
        <v>1353.6399999999999</v>
      </c>
      <c r="AC385">
        <v>1353.64</v>
      </c>
      <c r="AD385" s="11">
        <f t="shared" si="65"/>
        <v>0.30178129528480663</v>
      </c>
      <c r="AE385" t="s">
        <v>33</v>
      </c>
      <c r="AF385" t="s">
        <v>69</v>
      </c>
    </row>
    <row r="386" spans="1:32">
      <c r="A386" t="s">
        <v>1257</v>
      </c>
      <c r="B386" s="2" t="str">
        <f t="shared" ref="B386:B449" si="66">IF(COUNTIF($A:$A,A386)&gt;1,"Duplicate Order ID","Unique")</f>
        <v>Unique</v>
      </c>
      <c r="C386" s="2" t="str">
        <f t="shared" si="59"/>
        <v>Mar</v>
      </c>
      <c r="D386" s="2">
        <f t="shared" si="60"/>
        <v>2024</v>
      </c>
      <c r="E386" s="4">
        <v>45366</v>
      </c>
      <c r="F386" s="4">
        <v>45371</v>
      </c>
      <c r="G386" s="6">
        <f t="shared" ref="G386:G449" si="67">F386-E386</f>
        <v>5</v>
      </c>
      <c r="H386" s="6" t="str">
        <f t="shared" ref="H386:H449" si="68">IF(G386&lt;0,"Invalid: Ship Date Before Order Date","Valid")</f>
        <v>Valid</v>
      </c>
      <c r="I386" t="s">
        <v>1258</v>
      </c>
      <c r="J386" t="s">
        <v>142</v>
      </c>
      <c r="K386" t="s">
        <v>25</v>
      </c>
      <c r="L386" t="s">
        <v>39</v>
      </c>
      <c r="M386" t="s">
        <v>229</v>
      </c>
      <c r="O386" t="s">
        <v>75</v>
      </c>
      <c r="P386" t="s">
        <v>81</v>
      </c>
      <c r="Q386" t="s">
        <v>1259</v>
      </c>
      <c r="R386" t="s">
        <v>60</v>
      </c>
      <c r="S386">
        <v>2</v>
      </c>
      <c r="T386">
        <v>1881.4</v>
      </c>
      <c r="U386" s="2">
        <f t="shared" si="61"/>
        <v>2822.1000000000004</v>
      </c>
      <c r="V386" s="13">
        <v>0.25</v>
      </c>
      <c r="W386" s="2">
        <f t="shared" si="62"/>
        <v>0.25</v>
      </c>
      <c r="X386" s="2" t="str">
        <f t="shared" si="63"/>
        <v>Valid</v>
      </c>
      <c r="Y386" s="2" t="str">
        <f t="shared" si="64"/>
        <v>Clean</v>
      </c>
      <c r="Z386">
        <v>2822.1</v>
      </c>
      <c r="AA386">
        <v>1624.57</v>
      </c>
      <c r="AB386" s="2">
        <f t="shared" ref="AB386:AB449" si="69">IF(ISNUMBER(U386),U386-AA386,"Invalid")</f>
        <v>1197.5300000000004</v>
      </c>
      <c r="AC386">
        <v>1197.53</v>
      </c>
      <c r="AD386" s="11">
        <f t="shared" si="65"/>
        <v>0.42434003047376068</v>
      </c>
      <c r="AE386" t="s">
        <v>33</v>
      </c>
      <c r="AF386" t="s">
        <v>104</v>
      </c>
    </row>
    <row r="387" spans="1:32">
      <c r="A387" t="s">
        <v>1260</v>
      </c>
      <c r="B387" s="2" t="str">
        <f t="shared" si="66"/>
        <v>Unique</v>
      </c>
      <c r="C387" s="2" t="str">
        <f t="shared" ref="C387:C450" si="70">TEXT(E387,"mmm")</f>
        <v>Jun</v>
      </c>
      <c r="D387" s="2">
        <f t="shared" ref="D387:D450" si="71">YEAR(E387)</f>
        <v>2025</v>
      </c>
      <c r="E387" s="4">
        <v>45832</v>
      </c>
      <c r="F387" s="4">
        <v>45838</v>
      </c>
      <c r="G387" s="6">
        <f t="shared" si="67"/>
        <v>6</v>
      </c>
      <c r="H387" s="6" t="str">
        <f t="shared" si="68"/>
        <v>Valid</v>
      </c>
      <c r="I387" t="s">
        <v>1261</v>
      </c>
      <c r="J387" t="s">
        <v>54</v>
      </c>
      <c r="K387" t="s">
        <v>25</v>
      </c>
      <c r="L387" t="s">
        <v>26</v>
      </c>
      <c r="M387" t="s">
        <v>237</v>
      </c>
      <c r="O387" t="s">
        <v>29</v>
      </c>
      <c r="P387" t="s">
        <v>92</v>
      </c>
      <c r="Q387" t="s">
        <v>1262</v>
      </c>
      <c r="R387" t="s">
        <v>60</v>
      </c>
      <c r="S387">
        <v>6</v>
      </c>
      <c r="T387">
        <v>365.76</v>
      </c>
      <c r="U387" s="2">
        <f t="shared" ref="U387:U450" si="72">IF(ISNUMBER(W387),S387*T387*(1-W387),"Invalid")</f>
        <v>1975.104</v>
      </c>
      <c r="V387" s="13">
        <v>0.1</v>
      </c>
      <c r="W387" s="2">
        <f t="shared" ref="W387:W450" si="73">IF(OR(V387&lt;0,V387&gt;1),"Invalid",V387)</f>
        <v>0.1</v>
      </c>
      <c r="X387" s="2" t="str">
        <f t="shared" ref="X387:X450" si="74">IF(OR(V387&lt;0,V387&gt;1),"Invalid","Valid")</f>
        <v>Valid</v>
      </c>
      <c r="Y387" s="2" t="str">
        <f t="shared" ref="Y387:Y450" si="75">IF(AND(H387="Valid",X387="Valid"),"Clean","Invalid")</f>
        <v>Clean</v>
      </c>
      <c r="Z387">
        <v>1975.1</v>
      </c>
      <c r="AA387">
        <v>1115.3499999999999</v>
      </c>
      <c r="AB387" s="2">
        <f t="shared" si="69"/>
        <v>859.75400000000013</v>
      </c>
      <c r="AC387">
        <v>859.75</v>
      </c>
      <c r="AD387" s="11">
        <f t="shared" ref="AD387:AD450" si="76">AC387/Z387</f>
        <v>0.43529441547263431</v>
      </c>
      <c r="AE387" t="s">
        <v>33</v>
      </c>
      <c r="AF387" t="s">
        <v>34</v>
      </c>
    </row>
    <row r="388" spans="1:32">
      <c r="A388" t="s">
        <v>1263</v>
      </c>
      <c r="B388" s="2" t="str">
        <f t="shared" si="66"/>
        <v>Unique</v>
      </c>
      <c r="C388" s="2" t="str">
        <f t="shared" si="70"/>
        <v>Feb</v>
      </c>
      <c r="D388" s="2">
        <f t="shared" si="71"/>
        <v>2025</v>
      </c>
      <c r="E388" s="4">
        <v>45700</v>
      </c>
      <c r="F388" s="4">
        <v>45702</v>
      </c>
      <c r="G388" s="6">
        <f t="shared" si="67"/>
        <v>2</v>
      </c>
      <c r="H388" s="6" t="str">
        <f t="shared" si="68"/>
        <v>Valid</v>
      </c>
      <c r="I388" t="s">
        <v>1264</v>
      </c>
      <c r="J388" t="s">
        <v>133</v>
      </c>
      <c r="K388" t="s">
        <v>25</v>
      </c>
      <c r="L388" t="s">
        <v>64</v>
      </c>
      <c r="M388" t="s">
        <v>65</v>
      </c>
      <c r="O388" t="s">
        <v>42</v>
      </c>
      <c r="P388" t="s">
        <v>58</v>
      </c>
      <c r="Q388" t="s">
        <v>1265</v>
      </c>
      <c r="R388" t="s">
        <v>32</v>
      </c>
      <c r="S388">
        <v>8</v>
      </c>
      <c r="T388">
        <v>2786.66</v>
      </c>
      <c r="U388" s="2">
        <f t="shared" si="72"/>
        <v>20063.952000000001</v>
      </c>
      <c r="V388" s="13">
        <v>0.1</v>
      </c>
      <c r="W388" s="2">
        <f t="shared" si="73"/>
        <v>0.1</v>
      </c>
      <c r="X388" s="2" t="str">
        <f t="shared" si="74"/>
        <v>Valid</v>
      </c>
      <c r="Y388" s="2" t="str">
        <f t="shared" si="75"/>
        <v>Clean</v>
      </c>
      <c r="Z388">
        <v>20063.95</v>
      </c>
      <c r="AA388">
        <v>14363.38</v>
      </c>
      <c r="AB388" s="2">
        <f t="shared" si="69"/>
        <v>5700.5720000000019</v>
      </c>
      <c r="AC388">
        <v>5700.57</v>
      </c>
      <c r="AD388" s="11">
        <f t="shared" si="76"/>
        <v>0.28412002621617377</v>
      </c>
      <c r="AE388" t="s">
        <v>33</v>
      </c>
      <c r="AF388" t="s">
        <v>34</v>
      </c>
    </row>
    <row r="389" spans="1:32">
      <c r="A389" t="s">
        <v>1266</v>
      </c>
      <c r="B389" s="2" t="str">
        <f t="shared" si="66"/>
        <v>Unique</v>
      </c>
      <c r="C389" s="2" t="str">
        <f t="shared" si="70"/>
        <v>Aug</v>
      </c>
      <c r="D389" s="2">
        <f t="shared" si="71"/>
        <v>2025</v>
      </c>
      <c r="E389" s="4">
        <v>45879</v>
      </c>
      <c r="F389" s="4">
        <v>45882</v>
      </c>
      <c r="G389" s="6">
        <f t="shared" si="67"/>
        <v>3</v>
      </c>
      <c r="H389" s="6" t="str">
        <f t="shared" si="68"/>
        <v>Valid</v>
      </c>
      <c r="I389" t="s">
        <v>1267</v>
      </c>
      <c r="J389" t="s">
        <v>115</v>
      </c>
      <c r="K389" t="s">
        <v>38</v>
      </c>
      <c r="L389" t="s">
        <v>64</v>
      </c>
      <c r="M389" t="s">
        <v>73</v>
      </c>
      <c r="O389" t="s">
        <v>42</v>
      </c>
      <c r="P389" t="s">
        <v>67</v>
      </c>
      <c r="Q389" t="s">
        <v>1268</v>
      </c>
      <c r="R389" t="s">
        <v>60</v>
      </c>
      <c r="S389">
        <v>5</v>
      </c>
      <c r="T389">
        <v>352.86</v>
      </c>
      <c r="U389" s="2">
        <f t="shared" si="72"/>
        <v>1764.3000000000002</v>
      </c>
      <c r="V389" s="13">
        <v>0</v>
      </c>
      <c r="W389" s="2">
        <f t="shared" si="73"/>
        <v>0</v>
      </c>
      <c r="X389" s="2" t="str">
        <f t="shared" si="74"/>
        <v>Valid</v>
      </c>
      <c r="Y389" s="2" t="str">
        <f t="shared" si="75"/>
        <v>Clean</v>
      </c>
      <c r="Z389">
        <v>1764.3</v>
      </c>
      <c r="AA389">
        <v>1332.49</v>
      </c>
      <c r="AB389" s="2">
        <f t="shared" si="69"/>
        <v>431.81000000000017</v>
      </c>
      <c r="AC389">
        <v>431.81</v>
      </c>
      <c r="AD389" s="11">
        <f t="shared" si="76"/>
        <v>0.24474862551720231</v>
      </c>
      <c r="AE389" t="s">
        <v>112</v>
      </c>
      <c r="AF389" t="s">
        <v>69</v>
      </c>
    </row>
    <row r="390" spans="1:32">
      <c r="A390" t="s">
        <v>1269</v>
      </c>
      <c r="B390" s="2" t="str">
        <f t="shared" si="66"/>
        <v>Unique</v>
      </c>
      <c r="C390" s="2" t="str">
        <f t="shared" si="70"/>
        <v>May</v>
      </c>
      <c r="D390" s="2">
        <f t="shared" si="71"/>
        <v>2024</v>
      </c>
      <c r="E390" s="4">
        <v>45425</v>
      </c>
      <c r="F390" s="4">
        <v>45430</v>
      </c>
      <c r="G390" s="6">
        <f t="shared" si="67"/>
        <v>5</v>
      </c>
      <c r="H390" s="6" t="str">
        <f t="shared" si="68"/>
        <v>Valid</v>
      </c>
      <c r="I390" t="s">
        <v>1270</v>
      </c>
      <c r="J390" t="s">
        <v>48</v>
      </c>
      <c r="K390" t="s">
        <v>38</v>
      </c>
      <c r="L390" t="s">
        <v>64</v>
      </c>
      <c r="M390" t="s">
        <v>181</v>
      </c>
      <c r="O390" t="s">
        <v>42</v>
      </c>
      <c r="P390" t="s">
        <v>67</v>
      </c>
      <c r="Q390" t="s">
        <v>1271</v>
      </c>
      <c r="R390" t="s">
        <v>60</v>
      </c>
      <c r="S390">
        <v>3</v>
      </c>
      <c r="T390">
        <v>3128.59</v>
      </c>
      <c r="U390" s="2">
        <f t="shared" si="72"/>
        <v>9385.77</v>
      </c>
      <c r="V390" s="13">
        <v>0</v>
      </c>
      <c r="W390" s="2">
        <f t="shared" si="73"/>
        <v>0</v>
      </c>
      <c r="X390" s="2" t="str">
        <f t="shared" si="74"/>
        <v>Valid</v>
      </c>
      <c r="Y390" s="2" t="str">
        <f t="shared" si="75"/>
        <v>Clean</v>
      </c>
      <c r="Z390">
        <v>9385.77</v>
      </c>
      <c r="AA390">
        <v>6872.44</v>
      </c>
      <c r="AB390" s="2">
        <f t="shared" si="69"/>
        <v>2513.3300000000008</v>
      </c>
      <c r="AC390">
        <v>2783.66</v>
      </c>
      <c r="AD390" s="11">
        <f t="shared" si="76"/>
        <v>0.29658301876138021</v>
      </c>
      <c r="AE390" t="s">
        <v>33</v>
      </c>
      <c r="AF390" t="s">
        <v>34</v>
      </c>
    </row>
    <row r="391" spans="1:32">
      <c r="A391" t="s">
        <v>1272</v>
      </c>
      <c r="B391" s="2" t="str">
        <f t="shared" si="66"/>
        <v>Unique</v>
      </c>
      <c r="C391" s="2" t="str">
        <f t="shared" si="70"/>
        <v>Apr</v>
      </c>
      <c r="D391" s="2">
        <f t="shared" si="71"/>
        <v>2024</v>
      </c>
      <c r="E391" s="4">
        <v>45387</v>
      </c>
      <c r="F391" s="4">
        <v>45395</v>
      </c>
      <c r="G391" s="6">
        <f t="shared" si="67"/>
        <v>8</v>
      </c>
      <c r="H391" s="6" t="str">
        <f t="shared" si="68"/>
        <v>Valid</v>
      </c>
      <c r="I391" t="s">
        <v>1273</v>
      </c>
      <c r="J391" t="s">
        <v>163</v>
      </c>
      <c r="K391" t="s">
        <v>91</v>
      </c>
      <c r="L391" t="s">
        <v>64</v>
      </c>
      <c r="M391" t="s">
        <v>181</v>
      </c>
      <c r="O391" t="s">
        <v>75</v>
      </c>
      <c r="P391" t="s">
        <v>275</v>
      </c>
      <c r="Q391" t="s">
        <v>1274</v>
      </c>
      <c r="R391" t="s">
        <v>32</v>
      </c>
      <c r="S391">
        <v>5</v>
      </c>
      <c r="T391">
        <v>1937.54</v>
      </c>
      <c r="U391" s="2">
        <f t="shared" si="72"/>
        <v>7750.1600000000008</v>
      </c>
      <c r="V391" s="13">
        <v>0.2</v>
      </c>
      <c r="W391" s="2">
        <f t="shared" si="73"/>
        <v>0.2</v>
      </c>
      <c r="X391" s="2" t="str">
        <f t="shared" si="74"/>
        <v>Valid</v>
      </c>
      <c r="Y391" s="2" t="str">
        <f t="shared" si="75"/>
        <v>Clean</v>
      </c>
      <c r="Z391">
        <v>7750.16</v>
      </c>
      <c r="AA391">
        <v>5434.3</v>
      </c>
      <c r="AB391" s="2">
        <f t="shared" si="69"/>
        <v>2315.8600000000006</v>
      </c>
      <c r="AC391">
        <v>2315.86</v>
      </c>
      <c r="AD391" s="11">
        <f t="shared" si="76"/>
        <v>0.29881447608823564</v>
      </c>
      <c r="AE391" t="s">
        <v>112</v>
      </c>
      <c r="AF391" t="s">
        <v>69</v>
      </c>
    </row>
    <row r="392" spans="1:32">
      <c r="A392" t="s">
        <v>1275</v>
      </c>
      <c r="B392" s="2" t="str">
        <f t="shared" si="66"/>
        <v>Unique</v>
      </c>
      <c r="C392" s="2" t="str">
        <f t="shared" si="70"/>
        <v>Nov</v>
      </c>
      <c r="D392" s="2">
        <f t="shared" si="71"/>
        <v>2024</v>
      </c>
      <c r="E392" s="4">
        <v>45602</v>
      </c>
      <c r="F392" s="4">
        <v>45607</v>
      </c>
      <c r="G392" s="6">
        <f t="shared" si="67"/>
        <v>5</v>
      </c>
      <c r="H392" s="6" t="str">
        <f t="shared" si="68"/>
        <v>Valid</v>
      </c>
      <c r="I392" t="s">
        <v>1276</v>
      </c>
      <c r="J392" t="s">
        <v>48</v>
      </c>
      <c r="K392" t="s">
        <v>25</v>
      </c>
      <c r="L392" t="s">
        <v>64</v>
      </c>
      <c r="M392" t="s">
        <v>181</v>
      </c>
      <c r="O392" t="s">
        <v>42</v>
      </c>
      <c r="P392" t="s">
        <v>58</v>
      </c>
      <c r="Q392" t="s">
        <v>1277</v>
      </c>
      <c r="R392" t="s">
        <v>60</v>
      </c>
      <c r="S392">
        <v>4</v>
      </c>
      <c r="T392">
        <v>1917.26</v>
      </c>
      <c r="U392" s="2">
        <f t="shared" si="72"/>
        <v>6135.232</v>
      </c>
      <c r="V392" s="13">
        <v>0.2</v>
      </c>
      <c r="W392" s="2">
        <f t="shared" si="73"/>
        <v>0.2</v>
      </c>
      <c r="X392" s="2" t="str">
        <f t="shared" si="74"/>
        <v>Valid</v>
      </c>
      <c r="Y392" s="2" t="str">
        <f t="shared" si="75"/>
        <v>Clean</v>
      </c>
      <c r="Z392">
        <v>6135.23</v>
      </c>
      <c r="AA392">
        <v>3439.79</v>
      </c>
      <c r="AB392" s="2">
        <f t="shared" si="69"/>
        <v>2695.442</v>
      </c>
      <c r="AC392">
        <v>2695.44</v>
      </c>
      <c r="AD392" s="11">
        <f t="shared" si="76"/>
        <v>0.43933805252614822</v>
      </c>
      <c r="AE392" t="s">
        <v>33</v>
      </c>
      <c r="AF392" t="s">
        <v>34</v>
      </c>
    </row>
    <row r="393" spans="1:32">
      <c r="A393" t="s">
        <v>1278</v>
      </c>
      <c r="B393" s="2" t="str">
        <f t="shared" si="66"/>
        <v>Unique</v>
      </c>
      <c r="C393" s="2" t="str">
        <f t="shared" si="70"/>
        <v>Feb</v>
      </c>
      <c r="D393" s="2">
        <f t="shared" si="71"/>
        <v>2025</v>
      </c>
      <c r="E393" s="4">
        <v>45702</v>
      </c>
      <c r="F393" s="4">
        <v>45702</v>
      </c>
      <c r="G393" s="6">
        <f t="shared" si="67"/>
        <v>0</v>
      </c>
      <c r="H393" s="6" t="str">
        <f t="shared" si="68"/>
        <v>Valid</v>
      </c>
      <c r="I393" t="s">
        <v>1279</v>
      </c>
      <c r="J393" t="s">
        <v>163</v>
      </c>
      <c r="K393" t="s">
        <v>25</v>
      </c>
      <c r="L393" t="s">
        <v>55</v>
      </c>
      <c r="M393" t="s">
        <v>176</v>
      </c>
      <c r="O393" t="s">
        <v>29</v>
      </c>
      <c r="P393" t="s">
        <v>125</v>
      </c>
      <c r="Q393" t="s">
        <v>1280</v>
      </c>
      <c r="R393" t="s">
        <v>51</v>
      </c>
      <c r="S393">
        <v>1</v>
      </c>
      <c r="T393">
        <v>714.43</v>
      </c>
      <c r="U393" s="2">
        <f t="shared" si="72"/>
        <v>714.43</v>
      </c>
      <c r="V393" s="13">
        <v>0</v>
      </c>
      <c r="W393" s="2">
        <f t="shared" si="73"/>
        <v>0</v>
      </c>
      <c r="X393" s="2" t="str">
        <f t="shared" si="74"/>
        <v>Valid</v>
      </c>
      <c r="Y393" s="2" t="str">
        <f t="shared" si="75"/>
        <v>Clean</v>
      </c>
      <c r="Z393">
        <v>714.43</v>
      </c>
      <c r="AA393">
        <v>565.44000000000005</v>
      </c>
      <c r="AB393" s="2">
        <f t="shared" si="69"/>
        <v>148.9899999999999</v>
      </c>
      <c r="AC393">
        <v>148.99</v>
      </c>
      <c r="AD393" s="11">
        <f t="shared" si="76"/>
        <v>0.20854387413742426</v>
      </c>
      <c r="AE393" t="s">
        <v>33</v>
      </c>
      <c r="AF393" t="s">
        <v>34</v>
      </c>
    </row>
    <row r="394" spans="1:32">
      <c r="A394" t="s">
        <v>1281</v>
      </c>
      <c r="B394" s="2" t="str">
        <f t="shared" si="66"/>
        <v>Unique</v>
      </c>
      <c r="C394" s="2" t="str">
        <f t="shared" si="70"/>
        <v>Feb</v>
      </c>
      <c r="D394" s="2">
        <f t="shared" si="71"/>
        <v>2024</v>
      </c>
      <c r="E394" s="4">
        <v>45341</v>
      </c>
      <c r="F394" s="4">
        <v>45344</v>
      </c>
      <c r="G394" s="6">
        <f t="shared" si="67"/>
        <v>3</v>
      </c>
      <c r="H394" s="6" t="str">
        <f t="shared" si="68"/>
        <v>Valid</v>
      </c>
      <c r="I394" t="s">
        <v>1282</v>
      </c>
      <c r="J394" t="s">
        <v>90</v>
      </c>
      <c r="K394" t="s">
        <v>38</v>
      </c>
      <c r="L394" t="s">
        <v>55</v>
      </c>
      <c r="M394" t="s">
        <v>186</v>
      </c>
      <c r="O394" t="s">
        <v>42</v>
      </c>
      <c r="P394" t="s">
        <v>58</v>
      </c>
      <c r="Q394" t="s">
        <v>1283</v>
      </c>
      <c r="R394" t="s">
        <v>45</v>
      </c>
      <c r="S394">
        <v>9</v>
      </c>
      <c r="T394">
        <v>4053.01</v>
      </c>
      <c r="U394" s="2">
        <f t="shared" si="72"/>
        <v>36477.090000000004</v>
      </c>
      <c r="V394" s="13">
        <v>0</v>
      </c>
      <c r="W394" s="2">
        <f t="shared" si="73"/>
        <v>0</v>
      </c>
      <c r="X394" s="2" t="str">
        <f t="shared" si="74"/>
        <v>Valid</v>
      </c>
      <c r="Y394" s="2" t="str">
        <f t="shared" si="75"/>
        <v>Clean</v>
      </c>
      <c r="Z394">
        <v>36477.089999999997</v>
      </c>
      <c r="AA394">
        <v>24525.48</v>
      </c>
      <c r="AB394" s="2">
        <f t="shared" si="69"/>
        <v>11951.610000000004</v>
      </c>
      <c r="AC394">
        <v>11951.61</v>
      </c>
      <c r="AD394" s="11">
        <f t="shared" si="76"/>
        <v>0.32764702447481425</v>
      </c>
      <c r="AE394" t="s">
        <v>33</v>
      </c>
      <c r="AF394" t="s">
        <v>34</v>
      </c>
    </row>
    <row r="395" spans="1:32">
      <c r="A395" t="s">
        <v>1284</v>
      </c>
      <c r="B395" s="2" t="str">
        <f t="shared" si="66"/>
        <v>Unique</v>
      </c>
      <c r="C395" s="2" t="str">
        <f t="shared" si="70"/>
        <v>Aug</v>
      </c>
      <c r="D395" s="2">
        <f t="shared" si="71"/>
        <v>2024</v>
      </c>
      <c r="E395" s="4">
        <v>45527</v>
      </c>
      <c r="F395" s="4">
        <v>45533</v>
      </c>
      <c r="G395" s="6">
        <f t="shared" si="67"/>
        <v>6</v>
      </c>
      <c r="H395" s="6" t="str">
        <f t="shared" si="68"/>
        <v>Valid</v>
      </c>
      <c r="I395" t="s">
        <v>1285</v>
      </c>
      <c r="J395" t="s">
        <v>37</v>
      </c>
      <c r="K395" t="s">
        <v>91</v>
      </c>
      <c r="L395" t="s">
        <v>26</v>
      </c>
      <c r="M395" t="s">
        <v>137</v>
      </c>
      <c r="O395" t="s">
        <v>29</v>
      </c>
      <c r="P395" t="s">
        <v>92</v>
      </c>
      <c r="Q395" t="s">
        <v>1286</v>
      </c>
      <c r="R395" t="s">
        <v>45</v>
      </c>
      <c r="S395">
        <v>2</v>
      </c>
      <c r="T395">
        <v>1936.91</v>
      </c>
      <c r="U395" s="2">
        <f t="shared" si="72"/>
        <v>3680.1289999999999</v>
      </c>
      <c r="V395" s="13">
        <v>0.05</v>
      </c>
      <c r="W395" s="2">
        <f t="shared" si="73"/>
        <v>0.05</v>
      </c>
      <c r="X395" s="2" t="str">
        <f t="shared" si="74"/>
        <v>Valid</v>
      </c>
      <c r="Y395" s="2" t="str">
        <f t="shared" si="75"/>
        <v>Clean</v>
      </c>
      <c r="Z395">
        <v>3680.13</v>
      </c>
      <c r="AA395">
        <v>2967.46</v>
      </c>
      <c r="AB395" s="2">
        <f t="shared" si="69"/>
        <v>712.66899999999987</v>
      </c>
      <c r="AC395">
        <v>712.67</v>
      </c>
      <c r="AD395" s="11">
        <f t="shared" si="76"/>
        <v>0.19365348506710359</v>
      </c>
      <c r="AE395" t="s">
        <v>33</v>
      </c>
      <c r="AF395" t="s">
        <v>34</v>
      </c>
    </row>
    <row r="396" spans="1:32">
      <c r="A396" t="s">
        <v>1287</v>
      </c>
      <c r="B396" s="2" t="str">
        <f t="shared" si="66"/>
        <v>Unique</v>
      </c>
      <c r="C396" s="2" t="str">
        <f t="shared" si="70"/>
        <v>Apr</v>
      </c>
      <c r="D396" s="2">
        <f t="shared" si="71"/>
        <v>2024</v>
      </c>
      <c r="E396" s="4">
        <v>45385</v>
      </c>
      <c r="F396" s="4">
        <v>45386</v>
      </c>
      <c r="G396" s="6">
        <f t="shared" si="67"/>
        <v>1</v>
      </c>
      <c r="H396" s="6" t="str">
        <f t="shared" si="68"/>
        <v>Valid</v>
      </c>
      <c r="I396" t="s">
        <v>1288</v>
      </c>
      <c r="J396" t="s">
        <v>265</v>
      </c>
      <c r="K396" t="s">
        <v>25</v>
      </c>
      <c r="L396" t="s">
        <v>64</v>
      </c>
      <c r="M396" t="s">
        <v>65</v>
      </c>
      <c r="O396" t="s">
        <v>42</v>
      </c>
      <c r="P396" t="s">
        <v>58</v>
      </c>
      <c r="Q396" t="s">
        <v>1289</v>
      </c>
      <c r="R396" t="s">
        <v>51</v>
      </c>
      <c r="S396">
        <v>7</v>
      </c>
      <c r="T396">
        <v>3945.21</v>
      </c>
      <c r="U396" s="2">
        <f t="shared" si="72"/>
        <v>27616.47</v>
      </c>
      <c r="V396" s="13">
        <v>0</v>
      </c>
      <c r="W396" s="2">
        <f t="shared" si="73"/>
        <v>0</v>
      </c>
      <c r="X396" s="2" t="str">
        <f t="shared" si="74"/>
        <v>Valid</v>
      </c>
      <c r="Y396" s="2" t="str">
        <f t="shared" si="75"/>
        <v>Clean</v>
      </c>
      <c r="Z396">
        <v>27616.47</v>
      </c>
      <c r="AA396">
        <v>21225.26</v>
      </c>
      <c r="AB396" s="2">
        <f t="shared" si="69"/>
        <v>6391.2100000000028</v>
      </c>
      <c r="AC396">
        <v>6391.21</v>
      </c>
      <c r="AD396" s="11">
        <f t="shared" si="76"/>
        <v>0.23142747787823714</v>
      </c>
      <c r="AE396" t="s">
        <v>33</v>
      </c>
      <c r="AF396" t="s">
        <v>34</v>
      </c>
    </row>
    <row r="397" spans="1:32">
      <c r="A397" t="s">
        <v>1290</v>
      </c>
      <c r="B397" s="2" t="str">
        <f t="shared" si="66"/>
        <v>Unique</v>
      </c>
      <c r="C397" s="2" t="str">
        <f t="shared" si="70"/>
        <v>Jun</v>
      </c>
      <c r="D397" s="2">
        <f t="shared" si="71"/>
        <v>2024</v>
      </c>
      <c r="E397" s="4">
        <v>45449</v>
      </c>
      <c r="F397" s="4">
        <v>45450</v>
      </c>
      <c r="G397" s="6">
        <f t="shared" si="67"/>
        <v>1</v>
      </c>
      <c r="H397" s="6" t="str">
        <f t="shared" si="68"/>
        <v>Valid</v>
      </c>
      <c r="I397" t="s">
        <v>1291</v>
      </c>
      <c r="J397" t="s">
        <v>119</v>
      </c>
      <c r="K397" t="s">
        <v>96</v>
      </c>
      <c r="L397" t="s">
        <v>55</v>
      </c>
      <c r="M397" t="s">
        <v>248</v>
      </c>
      <c r="O397" t="s">
        <v>42</v>
      </c>
      <c r="P397" t="s">
        <v>43</v>
      </c>
      <c r="Q397" t="s">
        <v>1292</v>
      </c>
      <c r="R397" t="s">
        <v>45</v>
      </c>
      <c r="S397">
        <v>7</v>
      </c>
      <c r="T397">
        <v>861.91</v>
      </c>
      <c r="U397" s="2">
        <f t="shared" si="72"/>
        <v>5731.7014999999992</v>
      </c>
      <c r="V397" s="13">
        <v>0.05</v>
      </c>
      <c r="W397" s="2">
        <f t="shared" si="73"/>
        <v>0.05</v>
      </c>
      <c r="X397" s="2" t="str">
        <f t="shared" si="74"/>
        <v>Valid</v>
      </c>
      <c r="Y397" s="2" t="str">
        <f t="shared" si="75"/>
        <v>Clean</v>
      </c>
      <c r="Z397">
        <v>5731.7</v>
      </c>
      <c r="AA397">
        <v>4115.5600000000004</v>
      </c>
      <c r="AB397" s="2">
        <f t="shared" si="69"/>
        <v>1616.1414999999988</v>
      </c>
      <c r="AC397">
        <v>1616.14</v>
      </c>
      <c r="AD397" s="11">
        <f t="shared" si="76"/>
        <v>0.28196521101941835</v>
      </c>
      <c r="AE397" t="s">
        <v>33</v>
      </c>
      <c r="AF397" t="s">
        <v>34</v>
      </c>
    </row>
    <row r="398" spans="1:32">
      <c r="A398" t="s">
        <v>1293</v>
      </c>
      <c r="B398" s="2" t="str">
        <f t="shared" si="66"/>
        <v>Unique</v>
      </c>
      <c r="C398" s="2" t="str">
        <f t="shared" si="70"/>
        <v>Apr</v>
      </c>
      <c r="D398" s="2">
        <f t="shared" si="71"/>
        <v>2025</v>
      </c>
      <c r="E398" s="4">
        <v>45761</v>
      </c>
      <c r="F398" s="4">
        <v>45769</v>
      </c>
      <c r="G398" s="6">
        <f t="shared" si="67"/>
        <v>8</v>
      </c>
      <c r="H398" s="6" t="str">
        <f t="shared" si="68"/>
        <v>Valid</v>
      </c>
      <c r="I398" t="s">
        <v>1294</v>
      </c>
      <c r="J398" t="s">
        <v>90</v>
      </c>
      <c r="K398" t="s">
        <v>38</v>
      </c>
      <c r="L398" t="s">
        <v>55</v>
      </c>
      <c r="M398" t="s">
        <v>176</v>
      </c>
      <c r="O398" t="s">
        <v>75</v>
      </c>
      <c r="P398" t="s">
        <v>275</v>
      </c>
      <c r="Q398" t="s">
        <v>1295</v>
      </c>
      <c r="R398" t="s">
        <v>60</v>
      </c>
      <c r="S398">
        <v>2</v>
      </c>
      <c r="T398">
        <v>638.73</v>
      </c>
      <c r="U398" s="2">
        <f t="shared" si="72"/>
        <v>1213.587</v>
      </c>
      <c r="V398" s="13">
        <v>0.05</v>
      </c>
      <c r="W398" s="2">
        <f t="shared" si="73"/>
        <v>0.05</v>
      </c>
      <c r="X398" s="2" t="str">
        <f t="shared" si="74"/>
        <v>Valid</v>
      </c>
      <c r="Y398" s="2" t="str">
        <f t="shared" si="75"/>
        <v>Clean</v>
      </c>
      <c r="Z398">
        <v>1213.5899999999999</v>
      </c>
      <c r="AA398">
        <v>956.22</v>
      </c>
      <c r="AB398" s="2">
        <f t="shared" si="69"/>
        <v>257.36699999999996</v>
      </c>
      <c r="AC398">
        <v>257.37</v>
      </c>
      <c r="AD398" s="11">
        <f t="shared" si="76"/>
        <v>0.2120732702148172</v>
      </c>
      <c r="AE398" t="s">
        <v>33</v>
      </c>
      <c r="AF398" t="s">
        <v>34</v>
      </c>
    </row>
    <row r="399" spans="1:32">
      <c r="A399" t="s">
        <v>1296</v>
      </c>
      <c r="B399" s="2" t="str">
        <f t="shared" si="66"/>
        <v>Unique</v>
      </c>
      <c r="C399" s="2" t="str">
        <f t="shared" si="70"/>
        <v>Jun</v>
      </c>
      <c r="D399" s="2">
        <f t="shared" si="71"/>
        <v>2025</v>
      </c>
      <c r="E399" s="4">
        <v>45817</v>
      </c>
      <c r="F399" s="4">
        <v>45818</v>
      </c>
      <c r="G399" s="6">
        <f t="shared" si="67"/>
        <v>1</v>
      </c>
      <c r="H399" s="6" t="str">
        <f t="shared" si="68"/>
        <v>Valid</v>
      </c>
      <c r="I399" t="s">
        <v>1297</v>
      </c>
      <c r="J399" t="s">
        <v>133</v>
      </c>
      <c r="K399" t="s">
        <v>38</v>
      </c>
      <c r="L399" t="s">
        <v>26</v>
      </c>
      <c r="M399" t="s">
        <v>137</v>
      </c>
      <c r="O399" t="s">
        <v>42</v>
      </c>
      <c r="P399" t="s">
        <v>43</v>
      </c>
      <c r="Q399" t="s">
        <v>1298</v>
      </c>
      <c r="R399" t="s">
        <v>32</v>
      </c>
      <c r="S399">
        <v>2</v>
      </c>
      <c r="T399">
        <v>1731.88</v>
      </c>
      <c r="U399" s="2">
        <f t="shared" si="72"/>
        <v>3463.76</v>
      </c>
      <c r="V399" s="13">
        <v>0</v>
      </c>
      <c r="W399" s="2">
        <f t="shared" si="73"/>
        <v>0</v>
      </c>
      <c r="X399" s="2" t="str">
        <f t="shared" si="74"/>
        <v>Valid</v>
      </c>
      <c r="Y399" s="2" t="str">
        <f t="shared" si="75"/>
        <v>Clean</v>
      </c>
      <c r="Z399">
        <v>3463.76</v>
      </c>
      <c r="AA399">
        <v>2143.7399999999998</v>
      </c>
      <c r="AB399" s="2">
        <f t="shared" si="69"/>
        <v>1320.0200000000004</v>
      </c>
      <c r="AC399">
        <v>1320.02</v>
      </c>
      <c r="AD399" s="11">
        <f t="shared" si="76"/>
        <v>0.38109453310852942</v>
      </c>
      <c r="AE399" t="s">
        <v>33</v>
      </c>
      <c r="AF399" t="s">
        <v>34</v>
      </c>
    </row>
    <row r="400" spans="1:32">
      <c r="A400" t="s">
        <v>1299</v>
      </c>
      <c r="B400" s="2" t="str">
        <f t="shared" si="66"/>
        <v>Unique</v>
      </c>
      <c r="C400" s="2" t="str">
        <f t="shared" si="70"/>
        <v>Jul</v>
      </c>
      <c r="D400" s="2">
        <f t="shared" si="71"/>
        <v>2024</v>
      </c>
      <c r="E400" s="4">
        <v>45492</v>
      </c>
      <c r="F400" s="4">
        <v>45499</v>
      </c>
      <c r="G400" s="6">
        <f t="shared" si="67"/>
        <v>7</v>
      </c>
      <c r="H400" s="6" t="str">
        <f t="shared" si="68"/>
        <v>Valid</v>
      </c>
      <c r="I400" t="s">
        <v>1300</v>
      </c>
      <c r="J400" t="s">
        <v>72</v>
      </c>
      <c r="K400" t="s">
        <v>91</v>
      </c>
      <c r="L400" t="s">
        <v>26</v>
      </c>
      <c r="M400" t="s">
        <v>123</v>
      </c>
      <c r="O400" t="s">
        <v>75</v>
      </c>
      <c r="P400" t="s">
        <v>275</v>
      </c>
      <c r="Q400" t="s">
        <v>1301</v>
      </c>
      <c r="R400" t="s">
        <v>45</v>
      </c>
      <c r="S400">
        <v>2</v>
      </c>
      <c r="T400">
        <v>1263.6500000000001</v>
      </c>
      <c r="U400" s="2">
        <f t="shared" si="72"/>
        <v>2021.8400000000001</v>
      </c>
      <c r="V400" s="13">
        <v>0.2</v>
      </c>
      <c r="W400" s="2">
        <f t="shared" si="73"/>
        <v>0.2</v>
      </c>
      <c r="X400" s="2" t="str">
        <f t="shared" si="74"/>
        <v>Valid</v>
      </c>
      <c r="Y400" s="2" t="str">
        <f t="shared" si="75"/>
        <v>Clean</v>
      </c>
      <c r="Z400">
        <v>2021.84</v>
      </c>
      <c r="AA400">
        <v>1355.22</v>
      </c>
      <c r="AB400" s="2">
        <f t="shared" si="69"/>
        <v>666.62000000000012</v>
      </c>
      <c r="AC400">
        <v>666.62</v>
      </c>
      <c r="AD400" s="11">
        <f t="shared" si="76"/>
        <v>0.32970957147944446</v>
      </c>
      <c r="AE400" t="s">
        <v>33</v>
      </c>
      <c r="AF400" t="s">
        <v>34</v>
      </c>
    </row>
    <row r="401" spans="1:32">
      <c r="A401" t="s">
        <v>1302</v>
      </c>
      <c r="B401" s="2" t="str">
        <f t="shared" si="66"/>
        <v>Unique</v>
      </c>
      <c r="C401" s="2" t="str">
        <f t="shared" si="70"/>
        <v>Apr</v>
      </c>
      <c r="D401" s="2">
        <f t="shared" si="71"/>
        <v>2025</v>
      </c>
      <c r="E401" s="4">
        <v>45771</v>
      </c>
      <c r="F401" s="4">
        <v>45776</v>
      </c>
      <c r="G401" s="6">
        <f t="shared" si="67"/>
        <v>5</v>
      </c>
      <c r="H401" s="6" t="str">
        <f t="shared" si="68"/>
        <v>Valid</v>
      </c>
      <c r="I401" t="s">
        <v>1303</v>
      </c>
      <c r="J401" t="s">
        <v>163</v>
      </c>
      <c r="K401" t="s">
        <v>38</v>
      </c>
      <c r="L401" t="s">
        <v>55</v>
      </c>
      <c r="M401" t="s">
        <v>85</v>
      </c>
      <c r="O401" t="s">
        <v>29</v>
      </c>
      <c r="P401" t="s">
        <v>30</v>
      </c>
      <c r="Q401" t="s">
        <v>1304</v>
      </c>
      <c r="R401" t="s">
        <v>45</v>
      </c>
      <c r="S401">
        <v>1</v>
      </c>
      <c r="T401">
        <v>4358.5</v>
      </c>
      <c r="U401" s="2">
        <f t="shared" si="72"/>
        <v>3268.875</v>
      </c>
      <c r="V401" s="13">
        <v>0.25</v>
      </c>
      <c r="W401" s="2">
        <f t="shared" si="73"/>
        <v>0.25</v>
      </c>
      <c r="X401" s="2" t="str">
        <f t="shared" si="74"/>
        <v>Valid</v>
      </c>
      <c r="Y401" s="2" t="str">
        <f t="shared" si="75"/>
        <v>Clean</v>
      </c>
      <c r="Z401">
        <v>3268.88</v>
      </c>
      <c r="AA401">
        <v>1993.74</v>
      </c>
      <c r="AB401" s="2">
        <f t="shared" si="69"/>
        <v>1275.135</v>
      </c>
      <c r="AC401">
        <v>1275.1400000000001</v>
      </c>
      <c r="AD401" s="11">
        <f t="shared" si="76"/>
        <v>0.39008467732067253</v>
      </c>
      <c r="AE401" t="s">
        <v>33</v>
      </c>
      <c r="AF401" t="s">
        <v>34</v>
      </c>
    </row>
    <row r="402" spans="1:32">
      <c r="A402" t="s">
        <v>1305</v>
      </c>
      <c r="B402" s="2" t="str">
        <f t="shared" si="66"/>
        <v>Unique</v>
      </c>
      <c r="C402" s="2" t="str">
        <f t="shared" si="70"/>
        <v>Jun</v>
      </c>
      <c r="D402" s="2">
        <f t="shared" si="71"/>
        <v>2025</v>
      </c>
      <c r="E402" s="4">
        <v>45814</v>
      </c>
      <c r="F402" s="4">
        <v>45819</v>
      </c>
      <c r="G402" s="6">
        <f t="shared" si="67"/>
        <v>5</v>
      </c>
      <c r="H402" s="6" t="str">
        <f t="shared" si="68"/>
        <v>Valid</v>
      </c>
      <c r="I402" t="s">
        <v>1306</v>
      </c>
      <c r="J402" t="s">
        <v>133</v>
      </c>
      <c r="K402" t="s">
        <v>38</v>
      </c>
      <c r="L402" t="s">
        <v>26</v>
      </c>
      <c r="M402" t="s">
        <v>137</v>
      </c>
      <c r="O402" t="s">
        <v>29</v>
      </c>
      <c r="P402" t="s">
        <v>30</v>
      </c>
      <c r="Q402" t="s">
        <v>1307</v>
      </c>
      <c r="R402" t="s">
        <v>45</v>
      </c>
      <c r="S402">
        <v>7</v>
      </c>
      <c r="T402">
        <v>878.09</v>
      </c>
      <c r="U402" s="2" t="str">
        <f t="shared" si="72"/>
        <v>Invalid</v>
      </c>
      <c r="V402" s="13">
        <v>-0.1</v>
      </c>
      <c r="W402" s="2" t="str">
        <f t="shared" si="73"/>
        <v>Invalid</v>
      </c>
      <c r="X402" s="2" t="str">
        <f t="shared" si="74"/>
        <v>Invalid</v>
      </c>
      <c r="Y402" s="2" t="str">
        <f t="shared" si="75"/>
        <v>Invalid</v>
      </c>
      <c r="Z402">
        <v>5839.3</v>
      </c>
      <c r="AA402">
        <v>4877.38</v>
      </c>
      <c r="AB402" s="2" t="str">
        <f t="shared" si="69"/>
        <v>Invalid</v>
      </c>
      <c r="AC402">
        <v>961.92</v>
      </c>
      <c r="AD402" s="11">
        <f t="shared" si="76"/>
        <v>0.16473207404997173</v>
      </c>
      <c r="AE402" t="s">
        <v>33</v>
      </c>
      <c r="AF402" t="s">
        <v>34</v>
      </c>
    </row>
    <row r="403" spans="1:32">
      <c r="A403" t="s">
        <v>1308</v>
      </c>
      <c r="B403" s="2" t="str">
        <f t="shared" si="66"/>
        <v>Unique</v>
      </c>
      <c r="C403" s="2" t="str">
        <f t="shared" si="70"/>
        <v>Mar</v>
      </c>
      <c r="D403" s="2">
        <f t="shared" si="71"/>
        <v>2025</v>
      </c>
      <c r="E403" s="4">
        <v>45725</v>
      </c>
      <c r="F403" s="4">
        <v>45732</v>
      </c>
      <c r="G403" s="6">
        <f t="shared" si="67"/>
        <v>7</v>
      </c>
      <c r="H403" s="6" t="str">
        <f t="shared" si="68"/>
        <v>Valid</v>
      </c>
      <c r="I403" t="s">
        <v>1309</v>
      </c>
      <c r="J403" t="s">
        <v>54</v>
      </c>
      <c r="K403" t="s">
        <v>38</v>
      </c>
      <c r="L403" t="s">
        <v>39</v>
      </c>
      <c r="M403" t="s">
        <v>229</v>
      </c>
      <c r="O403" t="s">
        <v>42</v>
      </c>
      <c r="P403" t="s">
        <v>43</v>
      </c>
      <c r="Q403" t="s">
        <v>1310</v>
      </c>
      <c r="R403" t="s">
        <v>45</v>
      </c>
      <c r="S403">
        <v>3</v>
      </c>
      <c r="T403">
        <v>2625.85</v>
      </c>
      <c r="U403" s="2">
        <f t="shared" si="72"/>
        <v>7877.5499999999993</v>
      </c>
      <c r="V403" s="13">
        <v>0</v>
      </c>
      <c r="W403" s="2">
        <f t="shared" si="73"/>
        <v>0</v>
      </c>
      <c r="X403" s="2" t="str">
        <f t="shared" si="74"/>
        <v>Valid</v>
      </c>
      <c r="Y403" s="2" t="str">
        <f t="shared" si="75"/>
        <v>Clean</v>
      </c>
      <c r="Z403">
        <v>7877.55</v>
      </c>
      <c r="AA403">
        <v>5562.77</v>
      </c>
      <c r="AB403" s="2">
        <f t="shared" si="69"/>
        <v>2314.7799999999988</v>
      </c>
      <c r="AC403">
        <v>2314.7800000000002</v>
      </c>
      <c r="AD403" s="11">
        <f t="shared" si="76"/>
        <v>0.29384516759652429</v>
      </c>
      <c r="AE403" t="s">
        <v>33</v>
      </c>
      <c r="AF403" t="s">
        <v>34</v>
      </c>
    </row>
    <row r="404" spans="1:32">
      <c r="A404" t="s">
        <v>1311</v>
      </c>
      <c r="B404" s="2" t="str">
        <f t="shared" si="66"/>
        <v>Unique</v>
      </c>
      <c r="C404" s="2" t="str">
        <f t="shared" si="70"/>
        <v>Mar</v>
      </c>
      <c r="D404" s="2">
        <f t="shared" si="71"/>
        <v>2024</v>
      </c>
      <c r="E404" s="4">
        <v>45373</v>
      </c>
      <c r="F404" s="4">
        <v>45373</v>
      </c>
      <c r="G404" s="6">
        <f t="shared" si="67"/>
        <v>0</v>
      </c>
      <c r="H404" s="6" t="str">
        <f t="shared" si="68"/>
        <v>Valid</v>
      </c>
      <c r="I404" t="s">
        <v>1312</v>
      </c>
      <c r="J404" t="s">
        <v>115</v>
      </c>
      <c r="K404" t="s">
        <v>38</v>
      </c>
      <c r="L404" t="s">
        <v>55</v>
      </c>
      <c r="M404" t="s">
        <v>176</v>
      </c>
      <c r="O404" t="s">
        <v>42</v>
      </c>
      <c r="P404" t="s">
        <v>43</v>
      </c>
      <c r="Q404" t="s">
        <v>1313</v>
      </c>
      <c r="R404" s="2" t="s">
        <v>2793</v>
      </c>
      <c r="S404">
        <v>3</v>
      </c>
      <c r="T404">
        <v>1365.26</v>
      </c>
      <c r="U404" s="2">
        <f t="shared" si="72"/>
        <v>4095.7799999999997</v>
      </c>
      <c r="V404" s="13">
        <v>0</v>
      </c>
      <c r="W404" s="2">
        <f t="shared" si="73"/>
        <v>0</v>
      </c>
      <c r="X404" s="2" t="str">
        <f t="shared" si="74"/>
        <v>Valid</v>
      </c>
      <c r="Y404" s="2" t="str">
        <f t="shared" si="75"/>
        <v>Clean</v>
      </c>
      <c r="Z404">
        <v>4095.78</v>
      </c>
      <c r="AA404">
        <v>2807.77</v>
      </c>
      <c r="AB404" s="2">
        <f t="shared" si="69"/>
        <v>1288.0099999999998</v>
      </c>
      <c r="AC404">
        <v>1288.01</v>
      </c>
      <c r="AD404" s="11">
        <f t="shared" si="76"/>
        <v>0.31447245701673426</v>
      </c>
      <c r="AE404" t="s">
        <v>33</v>
      </c>
      <c r="AF404" t="s">
        <v>34</v>
      </c>
    </row>
    <row r="405" spans="1:32">
      <c r="A405" t="s">
        <v>1314</v>
      </c>
      <c r="B405" s="2" t="str">
        <f t="shared" si="66"/>
        <v>Unique</v>
      </c>
      <c r="C405" s="2" t="str">
        <f t="shared" si="70"/>
        <v>Sep</v>
      </c>
      <c r="D405" s="2">
        <f t="shared" si="71"/>
        <v>2024</v>
      </c>
      <c r="E405" s="4">
        <v>45565</v>
      </c>
      <c r="F405" s="4">
        <v>45569</v>
      </c>
      <c r="G405" s="6">
        <f t="shared" si="67"/>
        <v>4</v>
      </c>
      <c r="H405" s="6" t="str">
        <f t="shared" si="68"/>
        <v>Valid</v>
      </c>
      <c r="I405" t="s">
        <v>1315</v>
      </c>
      <c r="J405" t="s">
        <v>54</v>
      </c>
      <c r="K405" t="s">
        <v>38</v>
      </c>
      <c r="L405" t="s">
        <v>55</v>
      </c>
      <c r="M405" t="s">
        <v>186</v>
      </c>
      <c r="O405" t="s">
        <v>29</v>
      </c>
      <c r="P405" t="s">
        <v>1316</v>
      </c>
      <c r="Q405" t="s">
        <v>1317</v>
      </c>
      <c r="R405" t="s">
        <v>45</v>
      </c>
      <c r="S405">
        <v>5</v>
      </c>
      <c r="T405">
        <v>3512.25</v>
      </c>
      <c r="U405" s="2">
        <f t="shared" si="72"/>
        <v>16683.1875</v>
      </c>
      <c r="V405" s="13">
        <v>0.05</v>
      </c>
      <c r="W405" s="2">
        <f t="shared" si="73"/>
        <v>0.05</v>
      </c>
      <c r="X405" s="2" t="str">
        <f t="shared" si="74"/>
        <v>Valid</v>
      </c>
      <c r="Y405" s="2" t="str">
        <f t="shared" si="75"/>
        <v>Clean</v>
      </c>
      <c r="Z405">
        <v>16683.189999999999</v>
      </c>
      <c r="AA405">
        <v>10301.16</v>
      </c>
      <c r="AB405" s="2">
        <f t="shared" si="69"/>
        <v>6382.0275000000001</v>
      </c>
      <c r="AC405">
        <v>6382.03</v>
      </c>
      <c r="AD405" s="11">
        <f t="shared" si="76"/>
        <v>0.38254254731858839</v>
      </c>
      <c r="AE405" t="s">
        <v>33</v>
      </c>
      <c r="AF405" t="s">
        <v>104</v>
      </c>
    </row>
    <row r="406" spans="1:32">
      <c r="A406" t="s">
        <v>1318</v>
      </c>
      <c r="B406" s="2" t="str">
        <f t="shared" si="66"/>
        <v>Unique</v>
      </c>
      <c r="C406" s="2" t="str">
        <f t="shared" si="70"/>
        <v>Jan</v>
      </c>
      <c r="D406" s="2">
        <f t="shared" si="71"/>
        <v>2024</v>
      </c>
      <c r="E406" s="4">
        <v>45318</v>
      </c>
      <c r="F406" s="4">
        <v>45325</v>
      </c>
      <c r="G406" s="6">
        <f t="shared" si="67"/>
        <v>7</v>
      </c>
      <c r="H406" s="6" t="str">
        <f t="shared" si="68"/>
        <v>Valid</v>
      </c>
      <c r="I406" t="s">
        <v>1319</v>
      </c>
      <c r="J406" t="s">
        <v>90</v>
      </c>
      <c r="K406" t="s">
        <v>91</v>
      </c>
      <c r="L406" t="s">
        <v>64</v>
      </c>
      <c r="M406" t="s">
        <v>27</v>
      </c>
      <c r="O406" t="s">
        <v>42</v>
      </c>
      <c r="P406" t="s">
        <v>67</v>
      </c>
      <c r="Q406" t="s">
        <v>1320</v>
      </c>
      <c r="R406" t="s">
        <v>45</v>
      </c>
      <c r="S406">
        <v>3</v>
      </c>
      <c r="T406">
        <v>359.61</v>
      </c>
      <c r="U406" s="2">
        <f t="shared" si="72"/>
        <v>1078.83</v>
      </c>
      <c r="V406" s="13">
        <v>0</v>
      </c>
      <c r="W406" s="2">
        <f t="shared" si="73"/>
        <v>0</v>
      </c>
      <c r="X406" s="2" t="str">
        <f t="shared" si="74"/>
        <v>Valid</v>
      </c>
      <c r="Y406" s="2" t="str">
        <f t="shared" si="75"/>
        <v>Clean</v>
      </c>
      <c r="Z406">
        <v>1078.83</v>
      </c>
      <c r="AA406">
        <v>926.35</v>
      </c>
      <c r="AB406" s="2">
        <f t="shared" si="69"/>
        <v>152.4799999999999</v>
      </c>
      <c r="AC406">
        <v>152.47999999999999</v>
      </c>
      <c r="AD406" s="11">
        <f t="shared" si="76"/>
        <v>0.14133830167867042</v>
      </c>
      <c r="AE406" t="s">
        <v>33</v>
      </c>
      <c r="AF406" t="s">
        <v>34</v>
      </c>
    </row>
    <row r="407" spans="1:32">
      <c r="A407" t="s">
        <v>1321</v>
      </c>
      <c r="B407" s="2" t="str">
        <f t="shared" si="66"/>
        <v>Unique</v>
      </c>
      <c r="C407" s="2" t="str">
        <f t="shared" si="70"/>
        <v>Sep</v>
      </c>
      <c r="D407" s="2">
        <f t="shared" si="71"/>
        <v>2024</v>
      </c>
      <c r="E407" s="4">
        <v>45558</v>
      </c>
      <c r="F407" s="4">
        <v>45559</v>
      </c>
      <c r="G407" s="6">
        <f t="shared" si="67"/>
        <v>1</v>
      </c>
      <c r="H407" s="6" t="str">
        <f t="shared" si="68"/>
        <v>Valid</v>
      </c>
      <c r="I407" t="s">
        <v>1322</v>
      </c>
      <c r="J407" t="s">
        <v>90</v>
      </c>
      <c r="K407" t="s">
        <v>96</v>
      </c>
      <c r="L407" t="s">
        <v>64</v>
      </c>
      <c r="M407" t="s">
        <v>181</v>
      </c>
      <c r="O407" t="s">
        <v>42</v>
      </c>
      <c r="P407" t="s">
        <v>159</v>
      </c>
      <c r="Q407" t="s">
        <v>1323</v>
      </c>
      <c r="R407" s="2" t="s">
        <v>2793</v>
      </c>
      <c r="S407">
        <v>7</v>
      </c>
      <c r="T407">
        <v>3878.01</v>
      </c>
      <c r="U407" s="2">
        <f t="shared" si="72"/>
        <v>24431.463</v>
      </c>
      <c r="V407" s="13">
        <v>0.1</v>
      </c>
      <c r="W407" s="2">
        <f t="shared" si="73"/>
        <v>0.1</v>
      </c>
      <c r="X407" s="2" t="str">
        <f t="shared" si="74"/>
        <v>Valid</v>
      </c>
      <c r="Y407" s="2" t="str">
        <f t="shared" si="75"/>
        <v>Clean</v>
      </c>
      <c r="Z407">
        <v>24431.46</v>
      </c>
      <c r="AA407">
        <v>18202.36</v>
      </c>
      <c r="AB407" s="2">
        <f t="shared" si="69"/>
        <v>6229.1029999999992</v>
      </c>
      <c r="AC407">
        <v>6229.1</v>
      </c>
      <c r="AD407" s="11">
        <f t="shared" si="76"/>
        <v>0.25496224949307167</v>
      </c>
      <c r="AE407" t="s">
        <v>33</v>
      </c>
      <c r="AF407" t="s">
        <v>34</v>
      </c>
    </row>
    <row r="408" spans="1:32">
      <c r="A408" t="s">
        <v>1324</v>
      </c>
      <c r="B408" s="2" t="str">
        <f t="shared" si="66"/>
        <v>Unique</v>
      </c>
      <c r="C408" s="2" t="str">
        <f t="shared" si="70"/>
        <v>Feb</v>
      </c>
      <c r="D408" s="2">
        <f t="shared" si="71"/>
        <v>2025</v>
      </c>
      <c r="E408" s="4">
        <v>45713</v>
      </c>
      <c r="F408" s="4">
        <v>45713</v>
      </c>
      <c r="G408" s="6">
        <f t="shared" si="67"/>
        <v>0</v>
      </c>
      <c r="H408" s="6" t="str">
        <f t="shared" si="68"/>
        <v>Valid</v>
      </c>
      <c r="I408" t="s">
        <v>1325</v>
      </c>
      <c r="J408" t="s">
        <v>265</v>
      </c>
      <c r="K408" t="s">
        <v>38</v>
      </c>
      <c r="L408" t="s">
        <v>64</v>
      </c>
      <c r="M408" t="s">
        <v>191</v>
      </c>
      <c r="O408" t="s">
        <v>42</v>
      </c>
      <c r="P408" t="s">
        <v>58</v>
      </c>
      <c r="Q408" t="s">
        <v>1326</v>
      </c>
      <c r="R408" t="s">
        <v>60</v>
      </c>
      <c r="S408">
        <v>2</v>
      </c>
      <c r="T408">
        <v>3924.2</v>
      </c>
      <c r="U408" s="2">
        <f t="shared" si="72"/>
        <v>5886.2999999999993</v>
      </c>
      <c r="V408" s="13">
        <v>0.25</v>
      </c>
      <c r="W408" s="2">
        <f t="shared" si="73"/>
        <v>0.25</v>
      </c>
      <c r="X408" s="2" t="str">
        <f t="shared" si="74"/>
        <v>Valid</v>
      </c>
      <c r="Y408" s="2" t="str">
        <f t="shared" si="75"/>
        <v>Clean</v>
      </c>
      <c r="Z408">
        <v>5886.3</v>
      </c>
      <c r="AA408">
        <v>3621.76</v>
      </c>
      <c r="AB408" s="2">
        <f t="shared" si="69"/>
        <v>2264.5399999999991</v>
      </c>
      <c r="AC408">
        <v>2264.54</v>
      </c>
      <c r="AD408" s="11">
        <f t="shared" si="76"/>
        <v>0.3847136571360617</v>
      </c>
      <c r="AE408" t="s">
        <v>112</v>
      </c>
      <c r="AF408" t="s">
        <v>104</v>
      </c>
    </row>
    <row r="409" spans="1:32">
      <c r="A409" t="s">
        <v>1327</v>
      </c>
      <c r="B409" s="2" t="str">
        <f t="shared" si="66"/>
        <v>Unique</v>
      </c>
      <c r="C409" s="2" t="str">
        <f t="shared" si="70"/>
        <v>May</v>
      </c>
      <c r="D409" s="2">
        <f t="shared" si="71"/>
        <v>2024</v>
      </c>
      <c r="E409" s="4">
        <v>45424</v>
      </c>
      <c r="F409" s="4">
        <v>45425</v>
      </c>
      <c r="G409" s="6">
        <f t="shared" si="67"/>
        <v>1</v>
      </c>
      <c r="H409" s="6" t="str">
        <f t="shared" si="68"/>
        <v>Valid</v>
      </c>
      <c r="I409" t="s">
        <v>1328</v>
      </c>
      <c r="J409" t="s">
        <v>119</v>
      </c>
      <c r="K409" t="s">
        <v>91</v>
      </c>
      <c r="L409" t="s">
        <v>64</v>
      </c>
      <c r="M409" t="s">
        <v>191</v>
      </c>
      <c r="O409" t="s">
        <v>29</v>
      </c>
      <c r="P409" t="s">
        <v>92</v>
      </c>
      <c r="Q409" t="s">
        <v>1329</v>
      </c>
      <c r="R409" t="s">
        <v>32</v>
      </c>
      <c r="S409">
        <v>3</v>
      </c>
      <c r="T409">
        <v>2644.55</v>
      </c>
      <c r="U409" s="2">
        <f t="shared" si="72"/>
        <v>7933.6500000000005</v>
      </c>
      <c r="V409" s="13">
        <v>0</v>
      </c>
      <c r="W409" s="2">
        <f t="shared" si="73"/>
        <v>0</v>
      </c>
      <c r="X409" s="2" t="str">
        <f t="shared" si="74"/>
        <v>Valid</v>
      </c>
      <c r="Y409" s="2" t="str">
        <f t="shared" si="75"/>
        <v>Clean</v>
      </c>
      <c r="Z409">
        <v>7933.65</v>
      </c>
      <c r="AA409">
        <v>5698.42</v>
      </c>
      <c r="AB409" s="2">
        <f t="shared" si="69"/>
        <v>2235.2300000000005</v>
      </c>
      <c r="AC409">
        <v>2235.23</v>
      </c>
      <c r="AD409" s="11">
        <f t="shared" si="76"/>
        <v>0.2817404347305465</v>
      </c>
      <c r="AE409" t="s">
        <v>33</v>
      </c>
      <c r="AF409" t="s">
        <v>34</v>
      </c>
    </row>
    <row r="410" spans="1:32">
      <c r="A410" t="s">
        <v>1330</v>
      </c>
      <c r="B410" s="2" t="str">
        <f t="shared" si="66"/>
        <v>Unique</v>
      </c>
      <c r="C410" s="2" t="str">
        <f t="shared" si="70"/>
        <v>Aug</v>
      </c>
      <c r="D410" s="2">
        <f t="shared" si="71"/>
        <v>2025</v>
      </c>
      <c r="E410" s="4">
        <v>45870</v>
      </c>
      <c r="F410" s="4">
        <v>45872</v>
      </c>
      <c r="G410" s="6">
        <f t="shared" si="67"/>
        <v>2</v>
      </c>
      <c r="H410" s="6" t="str">
        <f t="shared" si="68"/>
        <v>Valid</v>
      </c>
      <c r="I410" t="s">
        <v>1331</v>
      </c>
      <c r="J410" t="s">
        <v>133</v>
      </c>
      <c r="K410" t="s">
        <v>25</v>
      </c>
      <c r="L410" t="s">
        <v>64</v>
      </c>
      <c r="M410" t="s">
        <v>65</v>
      </c>
      <c r="O410" t="s">
        <v>42</v>
      </c>
      <c r="P410" t="s">
        <v>67</v>
      </c>
      <c r="Q410" t="s">
        <v>1332</v>
      </c>
      <c r="R410" t="s">
        <v>51</v>
      </c>
      <c r="S410">
        <v>4</v>
      </c>
      <c r="T410">
        <v>1773.46</v>
      </c>
      <c r="U410" s="2">
        <f t="shared" si="72"/>
        <v>7093.84</v>
      </c>
      <c r="V410" s="13">
        <v>0</v>
      </c>
      <c r="W410" s="2">
        <f t="shared" si="73"/>
        <v>0</v>
      </c>
      <c r="X410" s="2" t="str">
        <f t="shared" si="74"/>
        <v>Valid</v>
      </c>
      <c r="Y410" s="2" t="str">
        <f t="shared" si="75"/>
        <v>Clean</v>
      </c>
      <c r="Z410">
        <v>7093.84</v>
      </c>
      <c r="AA410">
        <v>4587.49</v>
      </c>
      <c r="AB410" s="2">
        <f t="shared" si="69"/>
        <v>2506.3500000000004</v>
      </c>
      <c r="AC410">
        <v>2506.35</v>
      </c>
      <c r="AD410" s="11">
        <f t="shared" si="76"/>
        <v>0.35331357910525185</v>
      </c>
      <c r="AE410" t="s">
        <v>156</v>
      </c>
      <c r="AF410" t="s">
        <v>104</v>
      </c>
    </row>
    <row r="411" spans="1:32">
      <c r="A411" t="s">
        <v>1333</v>
      </c>
      <c r="B411" s="2" t="str">
        <f t="shared" si="66"/>
        <v>Unique</v>
      </c>
      <c r="C411" s="2" t="str">
        <f t="shared" si="70"/>
        <v>Feb</v>
      </c>
      <c r="D411" s="2">
        <f t="shared" si="71"/>
        <v>2025</v>
      </c>
      <c r="E411" s="4">
        <v>45701</v>
      </c>
      <c r="F411" s="4">
        <v>45703</v>
      </c>
      <c r="G411" s="6">
        <f t="shared" si="67"/>
        <v>2</v>
      </c>
      <c r="H411" s="6" t="str">
        <f t="shared" si="68"/>
        <v>Valid</v>
      </c>
      <c r="I411" t="s">
        <v>1334</v>
      </c>
      <c r="J411" t="s">
        <v>24</v>
      </c>
      <c r="K411" t="s">
        <v>25</v>
      </c>
      <c r="L411" t="s">
        <v>39</v>
      </c>
      <c r="M411" t="s">
        <v>167</v>
      </c>
      <c r="O411" t="s">
        <v>75</v>
      </c>
      <c r="P411" t="s">
        <v>76</v>
      </c>
      <c r="Q411" t="s">
        <v>1335</v>
      </c>
      <c r="R411" t="s">
        <v>45</v>
      </c>
      <c r="S411">
        <v>1</v>
      </c>
      <c r="T411">
        <v>3025.46</v>
      </c>
      <c r="U411" s="2">
        <f t="shared" si="72"/>
        <v>2269.0950000000003</v>
      </c>
      <c r="V411" s="13">
        <v>0.25</v>
      </c>
      <c r="W411" s="2">
        <f t="shared" si="73"/>
        <v>0.25</v>
      </c>
      <c r="X411" s="2" t="str">
        <f t="shared" si="74"/>
        <v>Valid</v>
      </c>
      <c r="Y411" s="2" t="str">
        <f t="shared" si="75"/>
        <v>Clean</v>
      </c>
      <c r="Z411">
        <v>2269.1</v>
      </c>
      <c r="AA411">
        <v>1593.59</v>
      </c>
      <c r="AB411" s="2">
        <f t="shared" si="69"/>
        <v>675.50500000000034</v>
      </c>
      <c r="AC411">
        <v>675.51</v>
      </c>
      <c r="AD411" s="11">
        <f t="shared" si="76"/>
        <v>0.29769952844740205</v>
      </c>
      <c r="AE411" t="s">
        <v>103</v>
      </c>
      <c r="AF411" t="s">
        <v>104</v>
      </c>
    </row>
    <row r="412" spans="1:32">
      <c r="A412" t="s">
        <v>1336</v>
      </c>
      <c r="B412" s="2" t="str">
        <f t="shared" si="66"/>
        <v>Unique</v>
      </c>
      <c r="C412" s="2" t="str">
        <f t="shared" si="70"/>
        <v>Apr</v>
      </c>
      <c r="D412" s="2">
        <f t="shared" si="71"/>
        <v>2024</v>
      </c>
      <c r="E412" s="4">
        <v>45394</v>
      </c>
      <c r="F412" s="4">
        <v>45402</v>
      </c>
      <c r="G412" s="6">
        <f t="shared" si="67"/>
        <v>8</v>
      </c>
      <c r="H412" s="6" t="str">
        <f t="shared" si="68"/>
        <v>Valid</v>
      </c>
      <c r="I412" t="s">
        <v>1337</v>
      </c>
      <c r="J412" t="s">
        <v>163</v>
      </c>
      <c r="K412" t="s">
        <v>25</v>
      </c>
      <c r="L412" t="s">
        <v>64</v>
      </c>
      <c r="M412" t="s">
        <v>191</v>
      </c>
      <c r="O412" t="s">
        <v>42</v>
      </c>
      <c r="P412" t="s">
        <v>43</v>
      </c>
      <c r="Q412" t="s">
        <v>1338</v>
      </c>
      <c r="R412" t="s">
        <v>51</v>
      </c>
      <c r="S412">
        <v>9</v>
      </c>
      <c r="T412">
        <v>1302.6099999999999</v>
      </c>
      <c r="U412" s="2">
        <f t="shared" si="72"/>
        <v>9378.7919999999995</v>
      </c>
      <c r="V412" s="13">
        <v>0.2</v>
      </c>
      <c r="W412" s="2">
        <f t="shared" si="73"/>
        <v>0.2</v>
      </c>
      <c r="X412" s="2" t="str">
        <f t="shared" si="74"/>
        <v>Valid</v>
      </c>
      <c r="Y412" s="2" t="str">
        <f t="shared" si="75"/>
        <v>Clean</v>
      </c>
      <c r="Z412">
        <v>9378.7900000000009</v>
      </c>
      <c r="AA412">
        <v>6774.48</v>
      </c>
      <c r="AB412" s="2">
        <f t="shared" si="69"/>
        <v>2604.3119999999999</v>
      </c>
      <c r="AC412">
        <v>2604.31</v>
      </c>
      <c r="AD412" s="11">
        <f t="shared" si="76"/>
        <v>0.27768080957138391</v>
      </c>
      <c r="AE412" t="s">
        <v>33</v>
      </c>
      <c r="AF412" t="s">
        <v>34</v>
      </c>
    </row>
    <row r="413" spans="1:32">
      <c r="A413" t="s">
        <v>1339</v>
      </c>
      <c r="B413" s="2" t="str">
        <f t="shared" si="66"/>
        <v>Unique</v>
      </c>
      <c r="C413" s="2" t="str">
        <f t="shared" si="70"/>
        <v>Aug</v>
      </c>
      <c r="D413" s="2">
        <f t="shared" si="71"/>
        <v>2025</v>
      </c>
      <c r="E413" s="4">
        <v>45892</v>
      </c>
      <c r="F413" s="4">
        <v>45897</v>
      </c>
      <c r="G413" s="6">
        <f t="shared" si="67"/>
        <v>5</v>
      </c>
      <c r="H413" s="6" t="str">
        <f t="shared" si="68"/>
        <v>Valid</v>
      </c>
      <c r="I413" t="s">
        <v>1340</v>
      </c>
      <c r="J413" t="s">
        <v>54</v>
      </c>
      <c r="K413" t="s">
        <v>96</v>
      </c>
      <c r="L413" t="s">
        <v>64</v>
      </c>
      <c r="M413" t="s">
        <v>27</v>
      </c>
      <c r="O413" t="s">
        <v>42</v>
      </c>
      <c r="P413" t="s">
        <v>43</v>
      </c>
      <c r="Q413" t="s">
        <v>1341</v>
      </c>
      <c r="R413" t="s">
        <v>51</v>
      </c>
      <c r="S413">
        <v>1</v>
      </c>
      <c r="T413">
        <v>4167.8100000000004</v>
      </c>
      <c r="U413" s="2">
        <f t="shared" si="72"/>
        <v>3334.2480000000005</v>
      </c>
      <c r="V413" s="13">
        <v>0.2</v>
      </c>
      <c r="W413" s="2">
        <f t="shared" si="73"/>
        <v>0.2</v>
      </c>
      <c r="X413" s="2" t="str">
        <f t="shared" si="74"/>
        <v>Valid</v>
      </c>
      <c r="Y413" s="2" t="str">
        <f t="shared" si="75"/>
        <v>Clean</v>
      </c>
      <c r="Z413">
        <v>3334.25</v>
      </c>
      <c r="AA413">
        <v>2768.77</v>
      </c>
      <c r="AB413" s="2">
        <f t="shared" si="69"/>
        <v>565.47800000000052</v>
      </c>
      <c r="AC413">
        <v>565.48</v>
      </c>
      <c r="AD413" s="11">
        <f t="shared" si="76"/>
        <v>0.16959736072580042</v>
      </c>
      <c r="AE413" t="s">
        <v>156</v>
      </c>
      <c r="AF413" t="s">
        <v>104</v>
      </c>
    </row>
    <row r="414" spans="1:32">
      <c r="A414" t="s">
        <v>1342</v>
      </c>
      <c r="B414" s="2" t="str">
        <f t="shared" si="66"/>
        <v>Unique</v>
      </c>
      <c r="C414" s="2" t="str">
        <f t="shared" si="70"/>
        <v>Jan</v>
      </c>
      <c r="D414" s="2">
        <f t="shared" si="71"/>
        <v>2024</v>
      </c>
      <c r="E414" s="4">
        <v>45313</v>
      </c>
      <c r="F414" s="4">
        <v>45321</v>
      </c>
      <c r="G414" s="6">
        <f t="shared" si="67"/>
        <v>8</v>
      </c>
      <c r="H414" s="6" t="str">
        <f t="shared" si="68"/>
        <v>Valid</v>
      </c>
      <c r="I414" t="s">
        <v>1343</v>
      </c>
      <c r="J414" t="s">
        <v>48</v>
      </c>
      <c r="K414" t="s">
        <v>91</v>
      </c>
      <c r="L414" t="s">
        <v>55</v>
      </c>
      <c r="M414" t="s">
        <v>176</v>
      </c>
      <c r="O414" t="s">
        <v>42</v>
      </c>
      <c r="P414" t="s">
        <v>67</v>
      </c>
      <c r="Q414" t="s">
        <v>1344</v>
      </c>
      <c r="R414" t="s">
        <v>45</v>
      </c>
      <c r="S414">
        <v>1</v>
      </c>
      <c r="T414">
        <v>2111.39</v>
      </c>
      <c r="U414" s="2">
        <f t="shared" si="72"/>
        <v>1583.5425</v>
      </c>
      <c r="V414" s="13">
        <v>0.25</v>
      </c>
      <c r="W414" s="2">
        <f t="shared" si="73"/>
        <v>0.25</v>
      </c>
      <c r="X414" s="2" t="str">
        <f t="shared" si="74"/>
        <v>Valid</v>
      </c>
      <c r="Y414" s="2" t="str">
        <f t="shared" si="75"/>
        <v>Clean</v>
      </c>
      <c r="Z414">
        <v>1583.54</v>
      </c>
      <c r="AA414">
        <v>1014.19</v>
      </c>
      <c r="AB414" s="2">
        <f t="shared" si="69"/>
        <v>569.35249999999996</v>
      </c>
      <c r="AC414">
        <v>569.35</v>
      </c>
      <c r="AD414" s="11">
        <f t="shared" si="76"/>
        <v>0.35954254392058305</v>
      </c>
      <c r="AE414" t="s">
        <v>33</v>
      </c>
      <c r="AF414" t="s">
        <v>34</v>
      </c>
    </row>
    <row r="415" spans="1:32">
      <c r="A415" t="s">
        <v>1345</v>
      </c>
      <c r="B415" s="2" t="str">
        <f t="shared" si="66"/>
        <v>Unique</v>
      </c>
      <c r="C415" s="2" t="str">
        <f t="shared" si="70"/>
        <v>Aug</v>
      </c>
      <c r="D415" s="2">
        <f t="shared" si="71"/>
        <v>2025</v>
      </c>
      <c r="E415" s="4">
        <v>45882</v>
      </c>
      <c r="F415" s="4">
        <v>45886</v>
      </c>
      <c r="G415" s="6">
        <f t="shared" si="67"/>
        <v>4</v>
      </c>
      <c r="H415" s="6" t="str">
        <f t="shared" si="68"/>
        <v>Valid</v>
      </c>
      <c r="I415" t="s">
        <v>1346</v>
      </c>
      <c r="J415" t="s">
        <v>80</v>
      </c>
      <c r="K415" t="s">
        <v>96</v>
      </c>
      <c r="L415" t="s">
        <v>64</v>
      </c>
      <c r="M415" t="s">
        <v>73</v>
      </c>
      <c r="O415" t="s">
        <v>75</v>
      </c>
      <c r="P415" t="s">
        <v>76</v>
      </c>
      <c r="Q415" t="s">
        <v>1347</v>
      </c>
      <c r="R415" t="s">
        <v>32</v>
      </c>
      <c r="S415">
        <v>8</v>
      </c>
      <c r="T415">
        <v>1918.23</v>
      </c>
      <c r="U415" s="2">
        <f t="shared" si="72"/>
        <v>15345.84</v>
      </c>
      <c r="V415" s="13">
        <v>0</v>
      </c>
      <c r="W415" s="2">
        <f t="shared" si="73"/>
        <v>0</v>
      </c>
      <c r="X415" s="2" t="str">
        <f t="shared" si="74"/>
        <v>Valid</v>
      </c>
      <c r="Y415" s="2" t="str">
        <f t="shared" si="75"/>
        <v>Clean</v>
      </c>
      <c r="Z415">
        <v>15345.84</v>
      </c>
      <c r="AA415">
        <v>10735.33</v>
      </c>
      <c r="AB415" s="2">
        <f t="shared" si="69"/>
        <v>4610.51</v>
      </c>
      <c r="AC415">
        <v>4610.51</v>
      </c>
      <c r="AD415" s="11">
        <f t="shared" si="76"/>
        <v>0.30044037993358463</v>
      </c>
      <c r="AE415" t="s">
        <v>112</v>
      </c>
      <c r="AF415" t="s">
        <v>69</v>
      </c>
    </row>
    <row r="416" spans="1:32">
      <c r="A416" t="s">
        <v>1348</v>
      </c>
      <c r="B416" s="2" t="str">
        <f t="shared" si="66"/>
        <v>Unique</v>
      </c>
      <c r="C416" s="2" t="str">
        <f t="shared" si="70"/>
        <v>Aug</v>
      </c>
      <c r="D416" s="2">
        <f t="shared" si="71"/>
        <v>2024</v>
      </c>
      <c r="E416" s="4">
        <v>45533</v>
      </c>
      <c r="F416" s="4">
        <v>45534</v>
      </c>
      <c r="G416" s="6">
        <f t="shared" si="67"/>
        <v>1</v>
      </c>
      <c r="H416" s="6" t="str">
        <f t="shared" si="68"/>
        <v>Valid</v>
      </c>
      <c r="I416" t="s">
        <v>1349</v>
      </c>
      <c r="J416" t="s">
        <v>54</v>
      </c>
      <c r="K416" t="s">
        <v>96</v>
      </c>
      <c r="L416" t="s">
        <v>39</v>
      </c>
      <c r="M416" t="s">
        <v>167</v>
      </c>
      <c r="O416" t="s">
        <v>29</v>
      </c>
      <c r="P416" t="s">
        <v>125</v>
      </c>
      <c r="Q416" t="s">
        <v>1350</v>
      </c>
      <c r="R416" t="s">
        <v>51</v>
      </c>
      <c r="S416">
        <v>4</v>
      </c>
      <c r="T416">
        <v>2484.08</v>
      </c>
      <c r="U416" s="2">
        <f t="shared" si="72"/>
        <v>9439.503999999999</v>
      </c>
      <c r="V416" s="13">
        <v>0.05</v>
      </c>
      <c r="W416" s="2">
        <f t="shared" si="73"/>
        <v>0.05</v>
      </c>
      <c r="X416" s="2" t="str">
        <f t="shared" si="74"/>
        <v>Valid</v>
      </c>
      <c r="Y416" s="2" t="str">
        <f t="shared" si="75"/>
        <v>Clean</v>
      </c>
      <c r="Z416">
        <v>9439.5</v>
      </c>
      <c r="AA416">
        <v>5519.39</v>
      </c>
      <c r="AB416" s="2">
        <f t="shared" si="69"/>
        <v>3920.1139999999987</v>
      </c>
      <c r="AC416">
        <v>3920.11</v>
      </c>
      <c r="AD416" s="11">
        <f t="shared" si="76"/>
        <v>0.4152878860109116</v>
      </c>
      <c r="AE416" t="s">
        <v>33</v>
      </c>
      <c r="AF416" t="s">
        <v>34</v>
      </c>
    </row>
    <row r="417" spans="1:32">
      <c r="A417" t="s">
        <v>1351</v>
      </c>
      <c r="B417" s="2" t="str">
        <f t="shared" si="66"/>
        <v>Unique</v>
      </c>
      <c r="C417" s="2" t="str">
        <f t="shared" si="70"/>
        <v>Jan</v>
      </c>
      <c r="D417" s="2">
        <f t="shared" si="71"/>
        <v>2024</v>
      </c>
      <c r="E417" s="4">
        <v>45316</v>
      </c>
      <c r="F417" s="4">
        <v>45318</v>
      </c>
      <c r="G417" s="6">
        <f t="shared" si="67"/>
        <v>2</v>
      </c>
      <c r="H417" s="6" t="str">
        <f t="shared" si="68"/>
        <v>Valid</v>
      </c>
      <c r="I417" t="s">
        <v>1352</v>
      </c>
      <c r="J417" t="s">
        <v>129</v>
      </c>
      <c r="K417" t="s">
        <v>91</v>
      </c>
      <c r="L417" t="s">
        <v>55</v>
      </c>
      <c r="M417" t="s">
        <v>176</v>
      </c>
      <c r="O417" t="s">
        <v>29</v>
      </c>
      <c r="P417" t="s">
        <v>125</v>
      </c>
      <c r="Q417" t="s">
        <v>1353</v>
      </c>
      <c r="R417" t="s">
        <v>45</v>
      </c>
      <c r="S417">
        <v>7</v>
      </c>
      <c r="T417">
        <v>1727.26</v>
      </c>
      <c r="U417" s="2">
        <f t="shared" si="72"/>
        <v>10277.197</v>
      </c>
      <c r="V417" s="13">
        <v>0.15</v>
      </c>
      <c r="W417" s="2">
        <f t="shared" si="73"/>
        <v>0.15</v>
      </c>
      <c r="X417" s="2" t="str">
        <f t="shared" si="74"/>
        <v>Valid</v>
      </c>
      <c r="Y417" s="2" t="str">
        <f t="shared" si="75"/>
        <v>Clean</v>
      </c>
      <c r="Z417">
        <v>10277.200000000001</v>
      </c>
      <c r="AA417">
        <v>7906.5</v>
      </c>
      <c r="AB417" s="2">
        <f t="shared" si="69"/>
        <v>2370.6970000000001</v>
      </c>
      <c r="AC417">
        <v>2370.6999999999998</v>
      </c>
      <c r="AD417" s="11">
        <f t="shared" si="76"/>
        <v>0.2306756704160666</v>
      </c>
      <c r="AE417" t="s">
        <v>33</v>
      </c>
      <c r="AF417" t="s">
        <v>104</v>
      </c>
    </row>
    <row r="418" spans="1:32">
      <c r="A418" t="s">
        <v>1354</v>
      </c>
      <c r="B418" s="2" t="str">
        <f t="shared" si="66"/>
        <v>Unique</v>
      </c>
      <c r="C418" s="2" t="str">
        <f t="shared" si="70"/>
        <v>Jan</v>
      </c>
      <c r="D418" s="2">
        <f t="shared" si="71"/>
        <v>2025</v>
      </c>
      <c r="E418" s="4">
        <v>45665</v>
      </c>
      <c r="F418" s="4">
        <v>45673</v>
      </c>
      <c r="G418" s="6">
        <f t="shared" si="67"/>
        <v>8</v>
      </c>
      <c r="H418" s="6" t="str">
        <f t="shared" si="68"/>
        <v>Valid</v>
      </c>
      <c r="I418" t="s">
        <v>1355</v>
      </c>
      <c r="J418" t="s">
        <v>80</v>
      </c>
      <c r="K418" t="s">
        <v>25</v>
      </c>
      <c r="L418" t="s">
        <v>55</v>
      </c>
      <c r="M418" t="s">
        <v>56</v>
      </c>
      <c r="O418" t="s">
        <v>42</v>
      </c>
      <c r="P418" t="s">
        <v>58</v>
      </c>
      <c r="Q418" t="s">
        <v>1356</v>
      </c>
      <c r="R418" t="s">
        <v>51</v>
      </c>
      <c r="S418">
        <v>8</v>
      </c>
      <c r="T418">
        <v>638.95000000000005</v>
      </c>
      <c r="U418" s="2">
        <f t="shared" si="72"/>
        <v>3833.7000000000003</v>
      </c>
      <c r="V418" s="13">
        <v>0.25</v>
      </c>
      <c r="W418" s="2">
        <f t="shared" si="73"/>
        <v>0.25</v>
      </c>
      <c r="X418" s="2" t="str">
        <f t="shared" si="74"/>
        <v>Valid</v>
      </c>
      <c r="Y418" s="2" t="str">
        <f t="shared" si="75"/>
        <v>Clean</v>
      </c>
      <c r="Z418">
        <v>3833.7</v>
      </c>
      <c r="AA418">
        <v>2886.35</v>
      </c>
      <c r="AB418" s="2">
        <f t="shared" si="69"/>
        <v>947.35000000000036</v>
      </c>
      <c r="AC418">
        <v>947.35</v>
      </c>
      <c r="AD418" s="11">
        <f t="shared" si="76"/>
        <v>0.2471111458903931</v>
      </c>
      <c r="AE418" t="s">
        <v>33</v>
      </c>
      <c r="AF418" t="s">
        <v>34</v>
      </c>
    </row>
    <row r="419" spans="1:32">
      <c r="A419" t="s">
        <v>1357</v>
      </c>
      <c r="B419" s="2" t="str">
        <f t="shared" si="66"/>
        <v>Unique</v>
      </c>
      <c r="C419" s="2" t="str">
        <f t="shared" si="70"/>
        <v>Jan</v>
      </c>
      <c r="D419" s="2">
        <f t="shared" si="71"/>
        <v>2025</v>
      </c>
      <c r="E419" s="4">
        <v>45686</v>
      </c>
      <c r="F419" s="4">
        <v>45693</v>
      </c>
      <c r="G419" s="6">
        <f t="shared" si="67"/>
        <v>7</v>
      </c>
      <c r="H419" s="6" t="str">
        <f t="shared" si="68"/>
        <v>Valid</v>
      </c>
      <c r="I419" t="s">
        <v>1358</v>
      </c>
      <c r="J419" t="s">
        <v>37</v>
      </c>
      <c r="K419" t="s">
        <v>25</v>
      </c>
      <c r="L419" t="s">
        <v>64</v>
      </c>
      <c r="M419" t="s">
        <v>181</v>
      </c>
      <c r="O419" t="s">
        <v>29</v>
      </c>
      <c r="P419" t="s">
        <v>49</v>
      </c>
      <c r="Q419" t="s">
        <v>1359</v>
      </c>
      <c r="R419" t="s">
        <v>51</v>
      </c>
      <c r="S419">
        <v>6</v>
      </c>
      <c r="T419">
        <v>3863</v>
      </c>
      <c r="U419" s="2">
        <f t="shared" si="72"/>
        <v>18542.400000000001</v>
      </c>
      <c r="V419" s="13">
        <v>0.2</v>
      </c>
      <c r="W419" s="2">
        <f t="shared" si="73"/>
        <v>0.2</v>
      </c>
      <c r="X419" s="2" t="str">
        <f t="shared" si="74"/>
        <v>Valid</v>
      </c>
      <c r="Y419" s="2" t="str">
        <f t="shared" si="75"/>
        <v>Clean</v>
      </c>
      <c r="Z419">
        <v>18542.400000000001</v>
      </c>
      <c r="AA419">
        <v>11193.75</v>
      </c>
      <c r="AB419" s="2">
        <f t="shared" si="69"/>
        <v>7348.6500000000015</v>
      </c>
      <c r="AC419">
        <v>7348.65</v>
      </c>
      <c r="AD419" s="11">
        <f t="shared" si="76"/>
        <v>0.39631601087237894</v>
      </c>
      <c r="AE419" t="s">
        <v>33</v>
      </c>
      <c r="AF419" t="s">
        <v>34</v>
      </c>
    </row>
    <row r="420" spans="1:32">
      <c r="A420" t="s">
        <v>1360</v>
      </c>
      <c r="B420" s="2" t="str">
        <f t="shared" si="66"/>
        <v>Unique</v>
      </c>
      <c r="C420" s="2" t="str">
        <f t="shared" si="70"/>
        <v>Nov</v>
      </c>
      <c r="D420" s="2">
        <f t="shared" si="71"/>
        <v>2024</v>
      </c>
      <c r="E420" s="4">
        <v>45605</v>
      </c>
      <c r="F420" s="4">
        <v>45613</v>
      </c>
      <c r="G420" s="6">
        <f t="shared" si="67"/>
        <v>8</v>
      </c>
      <c r="H420" s="6" t="str">
        <f t="shared" si="68"/>
        <v>Valid</v>
      </c>
      <c r="I420" t="s">
        <v>1361</v>
      </c>
      <c r="J420" t="s">
        <v>133</v>
      </c>
      <c r="K420" t="s">
        <v>91</v>
      </c>
      <c r="L420" t="s">
        <v>39</v>
      </c>
      <c r="M420" t="s">
        <v>40</v>
      </c>
      <c r="O420" t="s">
        <v>75</v>
      </c>
      <c r="P420" t="s">
        <v>81</v>
      </c>
      <c r="Q420" t="s">
        <v>1362</v>
      </c>
      <c r="R420" t="s">
        <v>60</v>
      </c>
      <c r="S420">
        <v>6</v>
      </c>
      <c r="T420">
        <v>3660.4</v>
      </c>
      <c r="U420" s="2">
        <f t="shared" si="72"/>
        <v>21962.400000000001</v>
      </c>
      <c r="V420" s="13">
        <v>0</v>
      </c>
      <c r="W420" s="2">
        <f t="shared" si="73"/>
        <v>0</v>
      </c>
      <c r="X420" s="2" t="str">
        <f t="shared" si="74"/>
        <v>Valid</v>
      </c>
      <c r="Y420" s="2" t="str">
        <f t="shared" si="75"/>
        <v>Clean</v>
      </c>
      <c r="Z420">
        <v>21962.400000000001</v>
      </c>
      <c r="AA420">
        <v>15331.99</v>
      </c>
      <c r="AB420" s="2">
        <f t="shared" si="69"/>
        <v>6630.4100000000017</v>
      </c>
      <c r="AC420">
        <v>6630.41</v>
      </c>
      <c r="AD420" s="11">
        <f t="shared" si="76"/>
        <v>0.30189824427202855</v>
      </c>
      <c r="AE420" t="s">
        <v>156</v>
      </c>
      <c r="AF420" t="s">
        <v>69</v>
      </c>
    </row>
    <row r="421" spans="1:32">
      <c r="A421" t="s">
        <v>1363</v>
      </c>
      <c r="B421" s="2" t="str">
        <f t="shared" si="66"/>
        <v>Unique</v>
      </c>
      <c r="C421" s="2" t="str">
        <f t="shared" si="70"/>
        <v>Sep</v>
      </c>
      <c r="D421" s="2">
        <f t="shared" si="71"/>
        <v>2025</v>
      </c>
      <c r="E421" s="4">
        <v>45926</v>
      </c>
      <c r="F421" s="4">
        <v>45930</v>
      </c>
      <c r="G421" s="6">
        <f t="shared" si="67"/>
        <v>4</v>
      </c>
      <c r="H421" s="6" t="str">
        <f t="shared" si="68"/>
        <v>Valid</v>
      </c>
      <c r="I421" t="s">
        <v>1364</v>
      </c>
      <c r="J421" t="s">
        <v>133</v>
      </c>
      <c r="K421" t="s">
        <v>96</v>
      </c>
      <c r="L421" t="s">
        <v>26</v>
      </c>
      <c r="M421" t="s">
        <v>237</v>
      </c>
      <c r="O421" t="s">
        <v>75</v>
      </c>
      <c r="P421" t="s">
        <v>172</v>
      </c>
      <c r="Q421" t="s">
        <v>1365</v>
      </c>
      <c r="R421" t="s">
        <v>45</v>
      </c>
      <c r="S421">
        <v>2</v>
      </c>
      <c r="T421">
        <v>688.83</v>
      </c>
      <c r="U421" s="2">
        <f t="shared" si="72"/>
        <v>1308.777</v>
      </c>
      <c r="V421" s="13">
        <v>0.05</v>
      </c>
      <c r="W421" s="2">
        <f t="shared" si="73"/>
        <v>0.05</v>
      </c>
      <c r="X421" s="2" t="str">
        <f t="shared" si="74"/>
        <v>Valid</v>
      </c>
      <c r="Y421" s="2" t="str">
        <f t="shared" si="75"/>
        <v>Clean</v>
      </c>
      <c r="Z421">
        <v>1308.78</v>
      </c>
      <c r="AA421">
        <v>843</v>
      </c>
      <c r="AB421" s="2">
        <f t="shared" si="69"/>
        <v>465.77700000000004</v>
      </c>
      <c r="AC421">
        <v>465.78</v>
      </c>
      <c r="AD421" s="11">
        <f t="shared" si="76"/>
        <v>0.35588869023059644</v>
      </c>
      <c r="AE421" t="s">
        <v>33</v>
      </c>
      <c r="AF421" t="s">
        <v>34</v>
      </c>
    </row>
    <row r="422" spans="1:32">
      <c r="A422" t="s">
        <v>1366</v>
      </c>
      <c r="B422" s="2" t="str">
        <f t="shared" si="66"/>
        <v>Unique</v>
      </c>
      <c r="C422" s="2" t="str">
        <f t="shared" si="70"/>
        <v>Mar</v>
      </c>
      <c r="D422" s="2">
        <f t="shared" si="71"/>
        <v>2025</v>
      </c>
      <c r="E422" s="4">
        <v>45734</v>
      </c>
      <c r="F422" s="4">
        <v>45735</v>
      </c>
      <c r="G422" s="6">
        <f t="shared" si="67"/>
        <v>1</v>
      </c>
      <c r="H422" s="6" t="str">
        <f t="shared" si="68"/>
        <v>Valid</v>
      </c>
      <c r="I422" t="s">
        <v>1367</v>
      </c>
      <c r="J422" t="s">
        <v>48</v>
      </c>
      <c r="K422" t="s">
        <v>91</v>
      </c>
      <c r="L422" t="s">
        <v>55</v>
      </c>
      <c r="M422" t="s">
        <v>248</v>
      </c>
      <c r="O422" t="s">
        <v>75</v>
      </c>
      <c r="P422" t="s">
        <v>275</v>
      </c>
      <c r="Q422" t="s">
        <v>1368</v>
      </c>
      <c r="R422" t="s">
        <v>60</v>
      </c>
      <c r="S422">
        <v>2</v>
      </c>
      <c r="T422">
        <v>1209.99</v>
      </c>
      <c r="U422" s="2">
        <f t="shared" si="72"/>
        <v>1814.9850000000001</v>
      </c>
      <c r="V422" s="13">
        <v>0.25</v>
      </c>
      <c r="W422" s="2">
        <f t="shared" si="73"/>
        <v>0.25</v>
      </c>
      <c r="X422" s="2" t="str">
        <f t="shared" si="74"/>
        <v>Valid</v>
      </c>
      <c r="Y422" s="2" t="str">
        <f t="shared" si="75"/>
        <v>Clean</v>
      </c>
      <c r="Z422">
        <v>1814.99</v>
      </c>
      <c r="AA422">
        <v>1120.06</v>
      </c>
      <c r="AB422" s="2">
        <f t="shared" si="69"/>
        <v>694.92500000000018</v>
      </c>
      <c r="AC422">
        <v>694.93</v>
      </c>
      <c r="AD422" s="11">
        <f t="shared" si="76"/>
        <v>0.38288365225152754</v>
      </c>
      <c r="AE422" t="s">
        <v>112</v>
      </c>
      <c r="AF422" t="s">
        <v>69</v>
      </c>
    </row>
    <row r="423" spans="1:32">
      <c r="A423" t="s">
        <v>1369</v>
      </c>
      <c r="B423" s="2" t="str">
        <f t="shared" si="66"/>
        <v>Unique</v>
      </c>
      <c r="C423" s="2" t="str">
        <f t="shared" si="70"/>
        <v>Jun</v>
      </c>
      <c r="D423" s="2">
        <f t="shared" si="71"/>
        <v>2025</v>
      </c>
      <c r="E423" s="4">
        <v>45822</v>
      </c>
      <c r="F423" s="4">
        <v>45827</v>
      </c>
      <c r="G423" s="6">
        <f t="shared" si="67"/>
        <v>5</v>
      </c>
      <c r="H423" s="6" t="str">
        <f t="shared" si="68"/>
        <v>Valid</v>
      </c>
      <c r="I423" t="s">
        <v>1370</v>
      </c>
      <c r="J423" t="s">
        <v>142</v>
      </c>
      <c r="K423" t="s">
        <v>38</v>
      </c>
      <c r="L423" t="s">
        <v>26</v>
      </c>
      <c r="M423" t="s">
        <v>351</v>
      </c>
      <c r="O423" t="s">
        <v>29</v>
      </c>
      <c r="P423" t="s">
        <v>154</v>
      </c>
      <c r="Q423" t="s">
        <v>1371</v>
      </c>
      <c r="R423" t="s">
        <v>45</v>
      </c>
      <c r="S423">
        <v>3</v>
      </c>
      <c r="T423">
        <v>1037.45</v>
      </c>
      <c r="U423" s="2">
        <f t="shared" si="72"/>
        <v>2489.8800000000006</v>
      </c>
      <c r="V423" s="13">
        <v>0.2</v>
      </c>
      <c r="W423" s="2">
        <f t="shared" si="73"/>
        <v>0.2</v>
      </c>
      <c r="X423" s="2" t="str">
        <f t="shared" si="74"/>
        <v>Valid</v>
      </c>
      <c r="Y423" s="2" t="str">
        <f t="shared" si="75"/>
        <v>Clean</v>
      </c>
      <c r="Z423">
        <v>2489.88</v>
      </c>
      <c r="AA423">
        <v>1707.52</v>
      </c>
      <c r="AB423" s="2">
        <f t="shared" si="69"/>
        <v>782.36000000000058</v>
      </c>
      <c r="AC423">
        <v>782.36</v>
      </c>
      <c r="AD423" s="11">
        <f t="shared" si="76"/>
        <v>0.31421594615001525</v>
      </c>
      <c r="AE423" t="s">
        <v>112</v>
      </c>
      <c r="AF423" t="s">
        <v>104</v>
      </c>
    </row>
    <row r="424" spans="1:32">
      <c r="A424" t="s">
        <v>1372</v>
      </c>
      <c r="B424" s="2" t="str">
        <f t="shared" si="66"/>
        <v>Unique</v>
      </c>
      <c r="C424" s="2" t="str">
        <f t="shared" si="70"/>
        <v>Sep</v>
      </c>
      <c r="D424" s="2">
        <f t="shared" si="71"/>
        <v>2025</v>
      </c>
      <c r="E424" s="4">
        <v>45903</v>
      </c>
      <c r="F424" s="4">
        <v>45906</v>
      </c>
      <c r="G424" s="6">
        <f t="shared" si="67"/>
        <v>3</v>
      </c>
      <c r="H424" s="6" t="str">
        <f t="shared" si="68"/>
        <v>Valid</v>
      </c>
      <c r="I424" t="s">
        <v>1373</v>
      </c>
      <c r="J424" t="s">
        <v>265</v>
      </c>
      <c r="K424" t="s">
        <v>25</v>
      </c>
      <c r="L424" t="s">
        <v>64</v>
      </c>
      <c r="M424" t="s">
        <v>73</v>
      </c>
      <c r="O424" t="s">
        <v>75</v>
      </c>
      <c r="P424" t="s">
        <v>81</v>
      </c>
      <c r="Q424" t="s">
        <v>1374</v>
      </c>
      <c r="R424" t="s">
        <v>45</v>
      </c>
      <c r="S424">
        <v>7</v>
      </c>
      <c r="T424">
        <v>688.85</v>
      </c>
      <c r="U424" s="2">
        <f t="shared" si="72"/>
        <v>4098.6574999999993</v>
      </c>
      <c r="V424" s="13">
        <v>0.15</v>
      </c>
      <c r="W424" s="2">
        <f t="shared" si="73"/>
        <v>0.15</v>
      </c>
      <c r="X424" s="2" t="str">
        <f t="shared" si="74"/>
        <v>Valid</v>
      </c>
      <c r="Y424" s="2" t="str">
        <f t="shared" si="75"/>
        <v>Clean</v>
      </c>
      <c r="Z424">
        <v>4098.66</v>
      </c>
      <c r="AA424">
        <v>2678.06</v>
      </c>
      <c r="AB424" s="2">
        <f t="shared" si="69"/>
        <v>1420.5974999999994</v>
      </c>
      <c r="AC424">
        <v>1420.6</v>
      </c>
      <c r="AD424" s="11">
        <f t="shared" si="76"/>
        <v>0.34660108425680586</v>
      </c>
      <c r="AE424" t="s">
        <v>33</v>
      </c>
      <c r="AF424" t="s">
        <v>34</v>
      </c>
    </row>
    <row r="425" spans="1:32">
      <c r="A425" t="s">
        <v>1375</v>
      </c>
      <c r="B425" s="2" t="str">
        <f t="shared" si="66"/>
        <v>Duplicate Order ID</v>
      </c>
      <c r="C425" s="2" t="str">
        <f t="shared" si="70"/>
        <v>Feb</v>
      </c>
      <c r="D425" s="2">
        <f t="shared" si="71"/>
        <v>2024</v>
      </c>
      <c r="E425" s="4">
        <v>45342</v>
      </c>
      <c r="F425" s="4">
        <v>45349</v>
      </c>
      <c r="G425" s="6">
        <f t="shared" si="67"/>
        <v>7</v>
      </c>
      <c r="H425" s="6" t="str">
        <f t="shared" si="68"/>
        <v>Valid</v>
      </c>
      <c r="I425" t="s">
        <v>1376</v>
      </c>
      <c r="J425" t="s">
        <v>163</v>
      </c>
      <c r="K425" t="s">
        <v>25</v>
      </c>
      <c r="L425" t="s">
        <v>55</v>
      </c>
      <c r="M425" t="s">
        <v>186</v>
      </c>
      <c r="O425" t="s">
        <v>75</v>
      </c>
      <c r="P425" t="s">
        <v>76</v>
      </c>
      <c r="Q425" t="s">
        <v>1377</v>
      </c>
      <c r="R425" t="s">
        <v>51</v>
      </c>
      <c r="S425">
        <v>9</v>
      </c>
      <c r="T425">
        <v>3779.31</v>
      </c>
      <c r="U425" s="2">
        <f t="shared" si="72"/>
        <v>27211.032000000003</v>
      </c>
      <c r="V425" s="13">
        <v>0.2</v>
      </c>
      <c r="W425" s="2">
        <f t="shared" si="73"/>
        <v>0.2</v>
      </c>
      <c r="X425" s="2" t="str">
        <f t="shared" si="74"/>
        <v>Valid</v>
      </c>
      <c r="Y425" s="2" t="str">
        <f t="shared" si="75"/>
        <v>Clean</v>
      </c>
      <c r="Z425">
        <v>27211.03</v>
      </c>
      <c r="AA425">
        <v>17940.43</v>
      </c>
      <c r="AB425" s="2">
        <f t="shared" si="69"/>
        <v>9270.6020000000026</v>
      </c>
      <c r="AC425">
        <v>9270.6</v>
      </c>
      <c r="AD425" s="11">
        <f t="shared" si="76"/>
        <v>0.34069272644218174</v>
      </c>
      <c r="AE425" t="s">
        <v>33</v>
      </c>
      <c r="AF425" t="s">
        <v>34</v>
      </c>
    </row>
    <row r="426" spans="1:32">
      <c r="A426" t="s">
        <v>1378</v>
      </c>
      <c r="B426" s="2" t="str">
        <f t="shared" si="66"/>
        <v>Unique</v>
      </c>
      <c r="C426" s="2" t="str">
        <f t="shared" si="70"/>
        <v>Jun</v>
      </c>
      <c r="D426" s="2">
        <f t="shared" si="71"/>
        <v>2024</v>
      </c>
      <c r="E426" s="4">
        <v>45469</v>
      </c>
      <c r="F426" s="4">
        <v>45472</v>
      </c>
      <c r="G426" s="6">
        <f t="shared" si="67"/>
        <v>3</v>
      </c>
      <c r="H426" s="6" t="str">
        <f t="shared" si="68"/>
        <v>Valid</v>
      </c>
      <c r="I426" t="s">
        <v>1379</v>
      </c>
      <c r="J426" t="s">
        <v>80</v>
      </c>
      <c r="K426" t="s">
        <v>91</v>
      </c>
      <c r="L426" t="s">
        <v>26</v>
      </c>
      <c r="M426" t="s">
        <v>123</v>
      </c>
      <c r="O426" t="s">
        <v>75</v>
      </c>
      <c r="P426" t="s">
        <v>172</v>
      </c>
      <c r="Q426" t="s">
        <v>1380</v>
      </c>
      <c r="R426" t="s">
        <v>60</v>
      </c>
      <c r="S426">
        <v>8</v>
      </c>
      <c r="T426">
        <v>804.52</v>
      </c>
      <c r="U426" s="2">
        <f t="shared" si="72"/>
        <v>6436.16</v>
      </c>
      <c r="V426" s="13">
        <v>0</v>
      </c>
      <c r="W426" s="2">
        <f t="shared" si="73"/>
        <v>0</v>
      </c>
      <c r="X426" s="2" t="str">
        <f t="shared" si="74"/>
        <v>Valid</v>
      </c>
      <c r="Y426" s="2" t="str">
        <f t="shared" si="75"/>
        <v>Clean</v>
      </c>
      <c r="Z426">
        <v>6436.16</v>
      </c>
      <c r="AA426">
        <v>4263.83</v>
      </c>
      <c r="AB426" s="2">
        <f t="shared" si="69"/>
        <v>2172.33</v>
      </c>
      <c r="AC426">
        <v>2172.33</v>
      </c>
      <c r="AD426" s="11">
        <f t="shared" si="76"/>
        <v>0.33751957689056827</v>
      </c>
      <c r="AE426" t="s">
        <v>33</v>
      </c>
      <c r="AF426" t="s">
        <v>34</v>
      </c>
    </row>
    <row r="427" spans="1:32">
      <c r="A427" t="s">
        <v>1381</v>
      </c>
      <c r="B427" s="2" t="str">
        <f t="shared" si="66"/>
        <v>Unique</v>
      </c>
      <c r="C427" s="2" t="str">
        <f t="shared" si="70"/>
        <v>Sep</v>
      </c>
      <c r="D427" s="2">
        <f t="shared" si="71"/>
        <v>2024</v>
      </c>
      <c r="E427" s="4">
        <v>45561</v>
      </c>
      <c r="F427" s="4">
        <v>45562</v>
      </c>
      <c r="G427" s="6">
        <f t="shared" si="67"/>
        <v>1</v>
      </c>
      <c r="H427" s="6" t="str">
        <f t="shared" si="68"/>
        <v>Valid</v>
      </c>
      <c r="I427" t="s">
        <v>1382</v>
      </c>
      <c r="J427" t="s">
        <v>48</v>
      </c>
      <c r="K427" t="s">
        <v>96</v>
      </c>
      <c r="L427" t="s">
        <v>26</v>
      </c>
      <c r="M427" t="s">
        <v>351</v>
      </c>
      <c r="O427" t="s">
        <v>29</v>
      </c>
      <c r="P427" t="s">
        <v>92</v>
      </c>
      <c r="Q427" t="s">
        <v>1383</v>
      </c>
      <c r="R427" t="s">
        <v>51</v>
      </c>
      <c r="S427">
        <v>2</v>
      </c>
      <c r="T427">
        <v>1065.69</v>
      </c>
      <c r="U427" s="2">
        <f t="shared" si="72"/>
        <v>1918.2420000000002</v>
      </c>
      <c r="V427" s="13">
        <v>0.1</v>
      </c>
      <c r="W427" s="2">
        <f t="shared" si="73"/>
        <v>0.1</v>
      </c>
      <c r="X427" s="2" t="str">
        <f t="shared" si="74"/>
        <v>Valid</v>
      </c>
      <c r="Y427" s="2" t="str">
        <f t="shared" si="75"/>
        <v>Clean</v>
      </c>
      <c r="Z427">
        <v>1918.24</v>
      </c>
      <c r="AA427">
        <v>1373.52</v>
      </c>
      <c r="AB427" s="2">
        <f t="shared" si="69"/>
        <v>544.72200000000021</v>
      </c>
      <c r="AC427">
        <v>544.72</v>
      </c>
      <c r="AD427" s="11">
        <f t="shared" si="76"/>
        <v>0.28396863791809157</v>
      </c>
      <c r="AE427" t="s">
        <v>103</v>
      </c>
      <c r="AF427" t="s">
        <v>69</v>
      </c>
    </row>
    <row r="428" spans="1:32">
      <c r="A428" t="s">
        <v>1384</v>
      </c>
      <c r="B428" s="2" t="str">
        <f t="shared" si="66"/>
        <v>Unique</v>
      </c>
      <c r="C428" s="2" t="str">
        <f t="shared" si="70"/>
        <v>Jun</v>
      </c>
      <c r="D428" s="2">
        <f t="shared" si="71"/>
        <v>2024</v>
      </c>
      <c r="E428" s="4">
        <v>45473</v>
      </c>
      <c r="F428" s="4">
        <v>45474</v>
      </c>
      <c r="G428" s="6">
        <f t="shared" si="67"/>
        <v>1</v>
      </c>
      <c r="H428" s="6" t="str">
        <f t="shared" si="68"/>
        <v>Valid</v>
      </c>
      <c r="I428" t="s">
        <v>1385</v>
      </c>
      <c r="J428" t="s">
        <v>90</v>
      </c>
      <c r="K428" t="s">
        <v>25</v>
      </c>
      <c r="L428" t="s">
        <v>26</v>
      </c>
      <c r="M428" t="s">
        <v>237</v>
      </c>
      <c r="O428" t="s">
        <v>75</v>
      </c>
      <c r="P428" t="s">
        <v>81</v>
      </c>
      <c r="Q428" t="s">
        <v>1386</v>
      </c>
      <c r="R428" t="s">
        <v>45</v>
      </c>
      <c r="S428">
        <v>8</v>
      </c>
      <c r="T428">
        <v>3756.66</v>
      </c>
      <c r="U428" s="2">
        <f t="shared" si="72"/>
        <v>27047.952000000001</v>
      </c>
      <c r="V428" s="13">
        <v>0.1</v>
      </c>
      <c r="W428" s="2">
        <f t="shared" si="73"/>
        <v>0.1</v>
      </c>
      <c r="X428" s="2" t="str">
        <f t="shared" si="74"/>
        <v>Valid</v>
      </c>
      <c r="Y428" s="2" t="str">
        <f t="shared" si="75"/>
        <v>Clean</v>
      </c>
      <c r="Z428">
        <v>27047.95</v>
      </c>
      <c r="AA428">
        <v>18431.330000000002</v>
      </c>
      <c r="AB428" s="2">
        <f t="shared" si="69"/>
        <v>8616.6219999999994</v>
      </c>
      <c r="AC428">
        <v>8616.6200000000008</v>
      </c>
      <c r="AD428" s="11">
        <f t="shared" si="76"/>
        <v>0.3185683203348128</v>
      </c>
      <c r="AE428" t="s">
        <v>33</v>
      </c>
      <c r="AF428" t="s">
        <v>34</v>
      </c>
    </row>
    <row r="429" spans="1:32">
      <c r="A429" t="s">
        <v>1387</v>
      </c>
      <c r="B429" s="2" t="str">
        <f t="shared" si="66"/>
        <v>Unique</v>
      </c>
      <c r="C429" s="2" t="str">
        <f t="shared" si="70"/>
        <v>Apr</v>
      </c>
      <c r="D429" s="2">
        <f t="shared" si="71"/>
        <v>2025</v>
      </c>
      <c r="E429" s="4">
        <v>45769</v>
      </c>
      <c r="F429" s="4">
        <v>45771</v>
      </c>
      <c r="G429" s="6">
        <f t="shared" si="67"/>
        <v>2</v>
      </c>
      <c r="H429" s="6" t="str">
        <f t="shared" si="68"/>
        <v>Valid</v>
      </c>
      <c r="I429" t="s">
        <v>1388</v>
      </c>
      <c r="J429" t="s">
        <v>48</v>
      </c>
      <c r="K429" t="s">
        <v>91</v>
      </c>
      <c r="L429" s="2" t="s">
        <v>2793</v>
      </c>
      <c r="M429" t="s">
        <v>229</v>
      </c>
      <c r="O429" t="s">
        <v>75</v>
      </c>
      <c r="P429" t="s">
        <v>76</v>
      </c>
      <c r="Q429" t="s">
        <v>1389</v>
      </c>
      <c r="R429" t="s">
        <v>60</v>
      </c>
      <c r="S429">
        <v>9</v>
      </c>
      <c r="T429">
        <v>2939.44</v>
      </c>
      <c r="U429" s="2">
        <f t="shared" si="72"/>
        <v>26454.959999999999</v>
      </c>
      <c r="V429" s="13">
        <v>0</v>
      </c>
      <c r="W429" s="2">
        <f t="shared" si="73"/>
        <v>0</v>
      </c>
      <c r="X429" s="2" t="str">
        <f t="shared" si="74"/>
        <v>Valid</v>
      </c>
      <c r="Y429" s="2" t="str">
        <f t="shared" si="75"/>
        <v>Clean</v>
      </c>
      <c r="Z429">
        <v>26454.959999999999</v>
      </c>
      <c r="AA429">
        <v>17630.25</v>
      </c>
      <c r="AB429" s="2">
        <f t="shared" si="69"/>
        <v>8824.7099999999991</v>
      </c>
      <c r="AC429">
        <v>8824.7099999999991</v>
      </c>
      <c r="AD429" s="11">
        <f t="shared" si="76"/>
        <v>0.33357487594008833</v>
      </c>
      <c r="AE429" t="s">
        <v>33</v>
      </c>
      <c r="AF429" t="s">
        <v>34</v>
      </c>
    </row>
    <row r="430" spans="1:32">
      <c r="A430" t="s">
        <v>1390</v>
      </c>
      <c r="B430" s="2" t="str">
        <f t="shared" si="66"/>
        <v>Unique</v>
      </c>
      <c r="C430" s="2" t="str">
        <f t="shared" si="70"/>
        <v>Mar</v>
      </c>
      <c r="D430" s="2">
        <f t="shared" si="71"/>
        <v>2025</v>
      </c>
      <c r="E430" s="4">
        <v>45731</v>
      </c>
      <c r="F430" s="4">
        <v>45738</v>
      </c>
      <c r="G430" s="6">
        <f t="shared" si="67"/>
        <v>7</v>
      </c>
      <c r="H430" s="6" t="str">
        <f t="shared" si="68"/>
        <v>Valid</v>
      </c>
      <c r="I430" t="s">
        <v>1391</v>
      </c>
      <c r="J430" t="s">
        <v>24</v>
      </c>
      <c r="K430" t="s">
        <v>38</v>
      </c>
      <c r="L430" t="s">
        <v>39</v>
      </c>
      <c r="M430" t="s">
        <v>100</v>
      </c>
      <c r="O430" t="s">
        <v>75</v>
      </c>
      <c r="P430" t="s">
        <v>172</v>
      </c>
      <c r="Q430" t="s">
        <v>1392</v>
      </c>
      <c r="R430" t="s">
        <v>45</v>
      </c>
      <c r="S430">
        <v>2</v>
      </c>
      <c r="T430">
        <v>1235.93</v>
      </c>
      <c r="U430" s="2">
        <f t="shared" si="72"/>
        <v>1853.895</v>
      </c>
      <c r="V430" s="13">
        <v>0.25</v>
      </c>
      <c r="W430" s="2">
        <f t="shared" si="73"/>
        <v>0.25</v>
      </c>
      <c r="X430" s="2" t="str">
        <f t="shared" si="74"/>
        <v>Valid</v>
      </c>
      <c r="Y430" s="2" t="str">
        <f t="shared" si="75"/>
        <v>Clean</v>
      </c>
      <c r="Z430">
        <v>1853.89</v>
      </c>
      <c r="AA430">
        <v>1101.23</v>
      </c>
      <c r="AB430" s="2">
        <f t="shared" si="69"/>
        <v>752.66499999999996</v>
      </c>
      <c r="AC430">
        <v>752.66</v>
      </c>
      <c r="AD430" s="11">
        <f t="shared" si="76"/>
        <v>0.40598956788158946</v>
      </c>
      <c r="AE430" t="s">
        <v>112</v>
      </c>
      <c r="AF430" t="s">
        <v>69</v>
      </c>
    </row>
    <row r="431" spans="1:32">
      <c r="A431" t="s">
        <v>1393</v>
      </c>
      <c r="B431" s="2" t="str">
        <f t="shared" si="66"/>
        <v>Unique</v>
      </c>
      <c r="C431" s="2" t="str">
        <f t="shared" si="70"/>
        <v>Mar</v>
      </c>
      <c r="D431" s="2">
        <f t="shared" si="71"/>
        <v>2025</v>
      </c>
      <c r="E431" s="4">
        <v>45717</v>
      </c>
      <c r="F431" s="4">
        <v>45724</v>
      </c>
      <c r="G431" s="6">
        <f t="shared" si="67"/>
        <v>7</v>
      </c>
      <c r="H431" s="6" t="str">
        <f t="shared" si="68"/>
        <v>Valid</v>
      </c>
      <c r="I431" t="s">
        <v>1394</v>
      </c>
      <c r="J431" t="s">
        <v>80</v>
      </c>
      <c r="K431" t="s">
        <v>96</v>
      </c>
      <c r="L431" t="s">
        <v>26</v>
      </c>
      <c r="M431" t="s">
        <v>27</v>
      </c>
      <c r="O431" t="s">
        <v>75</v>
      </c>
      <c r="P431" t="s">
        <v>81</v>
      </c>
      <c r="Q431" t="s">
        <v>1395</v>
      </c>
      <c r="R431" t="s">
        <v>45</v>
      </c>
      <c r="S431">
        <v>8</v>
      </c>
      <c r="T431">
        <v>2943.1</v>
      </c>
      <c r="U431" s="2">
        <f t="shared" si="72"/>
        <v>17658.599999999999</v>
      </c>
      <c r="V431" s="13">
        <v>0.25</v>
      </c>
      <c r="W431" s="2">
        <f t="shared" si="73"/>
        <v>0.25</v>
      </c>
      <c r="X431" s="2" t="str">
        <f t="shared" si="74"/>
        <v>Valid</v>
      </c>
      <c r="Y431" s="2" t="str">
        <f t="shared" si="75"/>
        <v>Clean</v>
      </c>
      <c r="Z431">
        <v>17658.599999999999</v>
      </c>
      <c r="AA431">
        <v>13842.48</v>
      </c>
      <c r="AB431" s="2">
        <f t="shared" si="69"/>
        <v>3816.119999999999</v>
      </c>
      <c r="AC431">
        <v>3816.12</v>
      </c>
      <c r="AD431" s="11">
        <f t="shared" si="76"/>
        <v>0.21610546702456596</v>
      </c>
      <c r="AE431" t="s">
        <v>33</v>
      </c>
      <c r="AF431" t="s">
        <v>34</v>
      </c>
    </row>
    <row r="432" spans="1:32">
      <c r="A432" t="s">
        <v>1396</v>
      </c>
      <c r="B432" s="2" t="str">
        <f t="shared" si="66"/>
        <v>Unique</v>
      </c>
      <c r="C432" s="2" t="str">
        <f t="shared" si="70"/>
        <v>Aug</v>
      </c>
      <c r="D432" s="2">
        <f t="shared" si="71"/>
        <v>2024</v>
      </c>
      <c r="E432" s="4">
        <v>45534</v>
      </c>
      <c r="F432" s="4">
        <v>45537</v>
      </c>
      <c r="G432" s="6">
        <f t="shared" si="67"/>
        <v>3</v>
      </c>
      <c r="H432" s="6" t="str">
        <f t="shared" si="68"/>
        <v>Valid</v>
      </c>
      <c r="I432" t="s">
        <v>1397</v>
      </c>
      <c r="J432" t="s">
        <v>80</v>
      </c>
      <c r="K432" t="s">
        <v>38</v>
      </c>
      <c r="L432" t="s">
        <v>26</v>
      </c>
      <c r="M432" t="s">
        <v>237</v>
      </c>
      <c r="O432" t="s">
        <v>29</v>
      </c>
      <c r="P432" t="s">
        <v>30</v>
      </c>
      <c r="Q432" t="s">
        <v>1398</v>
      </c>
      <c r="R432" t="s">
        <v>32</v>
      </c>
      <c r="S432">
        <v>1</v>
      </c>
      <c r="T432">
        <v>4320.84</v>
      </c>
      <c r="U432" s="2">
        <f t="shared" si="72"/>
        <v>3672.7139999999999</v>
      </c>
      <c r="V432" s="13">
        <v>0.15</v>
      </c>
      <c r="W432" s="2">
        <f t="shared" si="73"/>
        <v>0.15</v>
      </c>
      <c r="X432" s="2" t="str">
        <f t="shared" si="74"/>
        <v>Valid</v>
      </c>
      <c r="Y432" s="2" t="str">
        <f t="shared" si="75"/>
        <v>Clean</v>
      </c>
      <c r="Z432">
        <v>3672.71</v>
      </c>
      <c r="AA432">
        <v>2714.23</v>
      </c>
      <c r="AB432" s="2">
        <f t="shared" si="69"/>
        <v>958.48399999999992</v>
      </c>
      <c r="AC432">
        <v>763.38</v>
      </c>
      <c r="AD432" s="11">
        <f t="shared" si="76"/>
        <v>0.20785196762063979</v>
      </c>
      <c r="AE432" t="s">
        <v>33</v>
      </c>
      <c r="AF432" t="s">
        <v>34</v>
      </c>
    </row>
    <row r="433" spans="1:32">
      <c r="A433" t="s">
        <v>1399</v>
      </c>
      <c r="B433" s="2" t="str">
        <f t="shared" si="66"/>
        <v>Unique</v>
      </c>
      <c r="C433" s="2" t="str">
        <f t="shared" si="70"/>
        <v>Feb</v>
      </c>
      <c r="D433" s="2">
        <f t="shared" si="71"/>
        <v>2024</v>
      </c>
      <c r="E433" s="4">
        <v>45332</v>
      </c>
      <c r="F433" s="4">
        <v>45335</v>
      </c>
      <c r="G433" s="6">
        <f t="shared" si="67"/>
        <v>3</v>
      </c>
      <c r="H433" s="6" t="str">
        <f t="shared" si="68"/>
        <v>Valid</v>
      </c>
      <c r="I433" t="s">
        <v>1400</v>
      </c>
      <c r="J433" t="s">
        <v>24</v>
      </c>
      <c r="K433" t="s">
        <v>96</v>
      </c>
      <c r="L433" t="s">
        <v>64</v>
      </c>
      <c r="M433" t="s">
        <v>191</v>
      </c>
      <c r="O433" t="s">
        <v>75</v>
      </c>
      <c r="P433" t="s">
        <v>275</v>
      </c>
      <c r="Q433" t="s">
        <v>1401</v>
      </c>
      <c r="R433" t="s">
        <v>45</v>
      </c>
      <c r="S433">
        <v>2</v>
      </c>
      <c r="T433">
        <v>4118.45</v>
      </c>
      <c r="U433" s="2">
        <f t="shared" si="72"/>
        <v>6177.6749999999993</v>
      </c>
      <c r="V433" s="13">
        <v>0.25</v>
      </c>
      <c r="W433" s="2">
        <f t="shared" si="73"/>
        <v>0.25</v>
      </c>
      <c r="X433" s="2" t="str">
        <f t="shared" si="74"/>
        <v>Valid</v>
      </c>
      <c r="Y433" s="2" t="str">
        <f t="shared" si="75"/>
        <v>Clean</v>
      </c>
      <c r="Z433">
        <v>6177.67</v>
      </c>
      <c r="AA433">
        <v>4520.75</v>
      </c>
      <c r="AB433" s="2">
        <f t="shared" si="69"/>
        <v>1656.9249999999993</v>
      </c>
      <c r="AC433">
        <v>1656.92</v>
      </c>
      <c r="AD433" s="11">
        <f t="shared" si="76"/>
        <v>0.26821115404351481</v>
      </c>
      <c r="AE433" t="s">
        <v>33</v>
      </c>
      <c r="AF433" t="s">
        <v>34</v>
      </c>
    </row>
    <row r="434" spans="1:32">
      <c r="A434" t="s">
        <v>1402</v>
      </c>
      <c r="B434" s="2" t="str">
        <f t="shared" si="66"/>
        <v>Unique</v>
      </c>
      <c r="C434" s="2" t="str">
        <f t="shared" si="70"/>
        <v>Aug</v>
      </c>
      <c r="D434" s="2">
        <f t="shared" si="71"/>
        <v>2024</v>
      </c>
      <c r="E434" s="4">
        <v>45533</v>
      </c>
      <c r="F434" s="4">
        <v>45537</v>
      </c>
      <c r="G434" s="6">
        <f t="shared" si="67"/>
        <v>4</v>
      </c>
      <c r="H434" s="6" t="str">
        <f t="shared" si="68"/>
        <v>Valid</v>
      </c>
      <c r="I434" t="s">
        <v>1403</v>
      </c>
      <c r="J434" t="s">
        <v>115</v>
      </c>
      <c r="K434" t="s">
        <v>38</v>
      </c>
      <c r="L434" t="s">
        <v>64</v>
      </c>
      <c r="M434" t="s">
        <v>65</v>
      </c>
      <c r="O434" t="s">
        <v>42</v>
      </c>
      <c r="P434" t="s">
        <v>159</v>
      </c>
      <c r="Q434" t="s">
        <v>1404</v>
      </c>
      <c r="R434" t="s">
        <v>60</v>
      </c>
      <c r="S434">
        <v>6</v>
      </c>
      <c r="T434">
        <v>172.82</v>
      </c>
      <c r="U434" s="2">
        <f t="shared" si="72"/>
        <v>985.07400000000007</v>
      </c>
      <c r="V434" s="13">
        <v>0.05</v>
      </c>
      <c r="W434" s="2">
        <f t="shared" si="73"/>
        <v>0.05</v>
      </c>
      <c r="X434" s="2" t="str">
        <f t="shared" si="74"/>
        <v>Valid</v>
      </c>
      <c r="Y434" s="2" t="str">
        <f t="shared" si="75"/>
        <v>Clean</v>
      </c>
      <c r="Z434">
        <v>985.07</v>
      </c>
      <c r="AA434">
        <v>844.48</v>
      </c>
      <c r="AB434" s="2">
        <f t="shared" si="69"/>
        <v>140.59400000000005</v>
      </c>
      <c r="AC434">
        <v>140.59</v>
      </c>
      <c r="AD434" s="11">
        <f t="shared" si="76"/>
        <v>0.14272082187052695</v>
      </c>
      <c r="AE434" t="s">
        <v>33</v>
      </c>
      <c r="AF434" t="s">
        <v>34</v>
      </c>
    </row>
    <row r="435" spans="1:32">
      <c r="A435" t="s">
        <v>1405</v>
      </c>
      <c r="B435" s="2" t="str">
        <f t="shared" si="66"/>
        <v>Unique</v>
      </c>
      <c r="C435" s="2" t="str">
        <f t="shared" si="70"/>
        <v>Apr</v>
      </c>
      <c r="D435" s="2">
        <f t="shared" si="71"/>
        <v>2024</v>
      </c>
      <c r="E435" s="4">
        <v>45401</v>
      </c>
      <c r="F435" s="4">
        <v>45402</v>
      </c>
      <c r="G435" s="6">
        <f t="shared" si="67"/>
        <v>1</v>
      </c>
      <c r="H435" s="6" t="str">
        <f t="shared" si="68"/>
        <v>Valid</v>
      </c>
      <c r="I435" t="s">
        <v>1406</v>
      </c>
      <c r="J435" t="s">
        <v>115</v>
      </c>
      <c r="K435" t="s">
        <v>91</v>
      </c>
      <c r="L435" t="s">
        <v>55</v>
      </c>
      <c r="M435" t="s">
        <v>186</v>
      </c>
      <c r="O435" t="s">
        <v>29</v>
      </c>
      <c r="P435" t="s">
        <v>49</v>
      </c>
      <c r="Q435" t="s">
        <v>1407</v>
      </c>
      <c r="R435" t="s">
        <v>32</v>
      </c>
      <c r="S435">
        <v>4</v>
      </c>
      <c r="T435">
        <v>1540.22</v>
      </c>
      <c r="U435" s="2">
        <f t="shared" si="72"/>
        <v>6160.88</v>
      </c>
      <c r="V435" s="13">
        <v>0</v>
      </c>
      <c r="W435" s="2">
        <f t="shared" si="73"/>
        <v>0</v>
      </c>
      <c r="X435" s="2" t="str">
        <f t="shared" si="74"/>
        <v>Valid</v>
      </c>
      <c r="Y435" s="2" t="str">
        <f t="shared" si="75"/>
        <v>Clean</v>
      </c>
      <c r="Z435">
        <v>6160.88</v>
      </c>
      <c r="AA435">
        <v>4938.7</v>
      </c>
      <c r="AB435" s="2">
        <f t="shared" si="69"/>
        <v>1222.1800000000003</v>
      </c>
      <c r="AC435">
        <v>1222.18</v>
      </c>
      <c r="AD435" s="11">
        <f t="shared" si="76"/>
        <v>0.1983775045123424</v>
      </c>
      <c r="AE435" t="s">
        <v>103</v>
      </c>
      <c r="AF435" t="s">
        <v>104</v>
      </c>
    </row>
    <row r="436" spans="1:32">
      <c r="A436" t="s">
        <v>1408</v>
      </c>
      <c r="B436" s="2" t="str">
        <f t="shared" si="66"/>
        <v>Unique</v>
      </c>
      <c r="C436" s="2" t="str">
        <f t="shared" si="70"/>
        <v>Apr</v>
      </c>
      <c r="D436" s="2">
        <f t="shared" si="71"/>
        <v>2025</v>
      </c>
      <c r="E436" s="4">
        <v>45758</v>
      </c>
      <c r="F436" s="4">
        <v>45762</v>
      </c>
      <c r="G436" s="6">
        <f t="shared" si="67"/>
        <v>4</v>
      </c>
      <c r="H436" s="6" t="str">
        <f t="shared" si="68"/>
        <v>Valid</v>
      </c>
      <c r="I436" t="s">
        <v>1409</v>
      </c>
      <c r="J436" t="s">
        <v>37</v>
      </c>
      <c r="K436" t="s">
        <v>96</v>
      </c>
      <c r="L436" t="s">
        <v>26</v>
      </c>
      <c r="M436" t="s">
        <v>137</v>
      </c>
      <c r="O436" t="s">
        <v>75</v>
      </c>
      <c r="P436" t="s">
        <v>76</v>
      </c>
      <c r="Q436" t="s">
        <v>1410</v>
      </c>
      <c r="R436" t="s">
        <v>32</v>
      </c>
      <c r="S436">
        <v>5</v>
      </c>
      <c r="T436">
        <v>652.78</v>
      </c>
      <c r="U436" s="2">
        <f t="shared" si="72"/>
        <v>3263.8999999999996</v>
      </c>
      <c r="V436" s="13">
        <v>0</v>
      </c>
      <c r="W436" s="2">
        <f t="shared" si="73"/>
        <v>0</v>
      </c>
      <c r="X436" s="2" t="str">
        <f t="shared" si="74"/>
        <v>Valid</v>
      </c>
      <c r="Y436" s="2" t="str">
        <f t="shared" si="75"/>
        <v>Clean</v>
      </c>
      <c r="Z436">
        <v>3263.9</v>
      </c>
      <c r="AA436">
        <v>2068.44</v>
      </c>
      <c r="AB436" s="2">
        <f t="shared" si="69"/>
        <v>1195.4599999999996</v>
      </c>
      <c r="AC436">
        <v>1195.46</v>
      </c>
      <c r="AD436" s="11">
        <f t="shared" si="76"/>
        <v>0.36626734887711021</v>
      </c>
      <c r="AE436" t="s">
        <v>33</v>
      </c>
      <c r="AF436" t="s">
        <v>34</v>
      </c>
    </row>
    <row r="437" spans="1:32">
      <c r="A437" t="s">
        <v>1411</v>
      </c>
      <c r="B437" s="2" t="str">
        <f t="shared" si="66"/>
        <v>Unique</v>
      </c>
      <c r="C437" s="2" t="str">
        <f t="shared" si="70"/>
        <v>Apr</v>
      </c>
      <c r="D437" s="2">
        <f t="shared" si="71"/>
        <v>2025</v>
      </c>
      <c r="E437" s="4">
        <v>45759</v>
      </c>
      <c r="F437" s="4">
        <v>45767</v>
      </c>
      <c r="G437" s="6">
        <f t="shared" si="67"/>
        <v>8</v>
      </c>
      <c r="H437" s="6" t="str">
        <f t="shared" si="68"/>
        <v>Valid</v>
      </c>
      <c r="I437" t="s">
        <v>1412</v>
      </c>
      <c r="J437" t="s">
        <v>265</v>
      </c>
      <c r="K437" t="s">
        <v>96</v>
      </c>
      <c r="L437" t="s">
        <v>26</v>
      </c>
      <c r="M437" t="s">
        <v>351</v>
      </c>
      <c r="O437" t="s">
        <v>75</v>
      </c>
      <c r="P437" t="s">
        <v>275</v>
      </c>
      <c r="Q437" t="s">
        <v>1413</v>
      </c>
      <c r="R437" t="s">
        <v>60</v>
      </c>
      <c r="S437">
        <v>1</v>
      </c>
      <c r="T437">
        <v>2737.71</v>
      </c>
      <c r="U437" s="2">
        <f t="shared" si="72"/>
        <v>2327.0535</v>
      </c>
      <c r="V437" s="13">
        <v>0.15</v>
      </c>
      <c r="W437" s="2">
        <f t="shared" si="73"/>
        <v>0.15</v>
      </c>
      <c r="X437" s="2" t="str">
        <f t="shared" si="74"/>
        <v>Valid</v>
      </c>
      <c r="Y437" s="2" t="str">
        <f t="shared" si="75"/>
        <v>Clean</v>
      </c>
      <c r="Z437">
        <v>2327.0500000000002</v>
      </c>
      <c r="AA437">
        <v>1919.42</v>
      </c>
      <c r="AB437" s="2">
        <f t="shared" si="69"/>
        <v>407.63349999999991</v>
      </c>
      <c r="AC437">
        <v>407.63</v>
      </c>
      <c r="AD437" s="11">
        <f t="shared" si="76"/>
        <v>0.17517027996820006</v>
      </c>
      <c r="AE437" t="s">
        <v>33</v>
      </c>
      <c r="AF437" t="s">
        <v>69</v>
      </c>
    </row>
    <row r="438" spans="1:32">
      <c r="A438" t="s">
        <v>1414</v>
      </c>
      <c r="B438" s="2" t="str">
        <f t="shared" si="66"/>
        <v>Unique</v>
      </c>
      <c r="C438" s="2" t="str">
        <f t="shared" si="70"/>
        <v>Jun</v>
      </c>
      <c r="D438" s="2">
        <f t="shared" si="71"/>
        <v>2024</v>
      </c>
      <c r="E438" s="4">
        <v>45459</v>
      </c>
      <c r="F438" s="4">
        <v>45464</v>
      </c>
      <c r="G438" s="6">
        <f t="shared" si="67"/>
        <v>5</v>
      </c>
      <c r="H438" s="6" t="str">
        <f t="shared" si="68"/>
        <v>Valid</v>
      </c>
      <c r="I438" t="s">
        <v>1415</v>
      </c>
      <c r="J438" t="s">
        <v>80</v>
      </c>
      <c r="K438" t="s">
        <v>25</v>
      </c>
      <c r="L438" t="s">
        <v>55</v>
      </c>
      <c r="M438" t="s">
        <v>186</v>
      </c>
      <c r="O438" t="s">
        <v>42</v>
      </c>
      <c r="P438" t="s">
        <v>58</v>
      </c>
      <c r="Q438" t="s">
        <v>1416</v>
      </c>
      <c r="R438" t="s">
        <v>45</v>
      </c>
      <c r="S438">
        <v>6</v>
      </c>
      <c r="T438">
        <v>1156.78</v>
      </c>
      <c r="U438" s="2">
        <f t="shared" si="72"/>
        <v>6593.6459999999997</v>
      </c>
      <c r="V438" s="13">
        <v>0.05</v>
      </c>
      <c r="W438" s="2">
        <f t="shared" si="73"/>
        <v>0.05</v>
      </c>
      <c r="X438" s="2" t="str">
        <f t="shared" si="74"/>
        <v>Valid</v>
      </c>
      <c r="Y438" s="2" t="str">
        <f t="shared" si="75"/>
        <v>Clean</v>
      </c>
      <c r="Z438">
        <v>6593.65</v>
      </c>
      <c r="AA438">
        <v>4359.3900000000003</v>
      </c>
      <c r="AB438" s="2">
        <f t="shared" si="69"/>
        <v>2234.2559999999994</v>
      </c>
      <c r="AC438">
        <v>2234.2600000000002</v>
      </c>
      <c r="AD438" s="11">
        <f t="shared" si="76"/>
        <v>0.33885025744466274</v>
      </c>
      <c r="AE438" t="s">
        <v>33</v>
      </c>
      <c r="AF438" t="s">
        <v>104</v>
      </c>
    </row>
    <row r="439" spans="1:32">
      <c r="A439" t="s">
        <v>1417</v>
      </c>
      <c r="B439" s="2" t="str">
        <f t="shared" si="66"/>
        <v>Unique</v>
      </c>
      <c r="C439" s="2" t="str">
        <f t="shared" si="70"/>
        <v>Feb</v>
      </c>
      <c r="D439" s="2">
        <f t="shared" si="71"/>
        <v>2024</v>
      </c>
      <c r="E439" s="4">
        <v>45337</v>
      </c>
      <c r="F439" s="4">
        <v>45340</v>
      </c>
      <c r="G439" s="6">
        <f t="shared" si="67"/>
        <v>3</v>
      </c>
      <c r="H439" s="6" t="str">
        <f t="shared" si="68"/>
        <v>Valid</v>
      </c>
      <c r="I439" t="s">
        <v>1418</v>
      </c>
      <c r="J439" t="s">
        <v>90</v>
      </c>
      <c r="K439" t="s">
        <v>38</v>
      </c>
      <c r="L439" t="s">
        <v>55</v>
      </c>
      <c r="M439" t="s">
        <v>186</v>
      </c>
      <c r="O439" t="s">
        <v>75</v>
      </c>
      <c r="P439" t="s">
        <v>76</v>
      </c>
      <c r="Q439" t="s">
        <v>1419</v>
      </c>
      <c r="R439" t="s">
        <v>45</v>
      </c>
      <c r="S439">
        <v>8</v>
      </c>
      <c r="T439">
        <v>379.82</v>
      </c>
      <c r="U439" s="2">
        <f t="shared" si="72"/>
        <v>2886.6319999999996</v>
      </c>
      <c r="V439" s="13">
        <v>0.05</v>
      </c>
      <c r="W439" s="2">
        <f t="shared" si="73"/>
        <v>0.05</v>
      </c>
      <c r="X439" s="2" t="str">
        <f t="shared" si="74"/>
        <v>Valid</v>
      </c>
      <c r="Y439" s="2" t="str">
        <f t="shared" si="75"/>
        <v>Clean</v>
      </c>
      <c r="Z439">
        <v>2886.63</v>
      </c>
      <c r="AA439">
        <v>1588.23</v>
      </c>
      <c r="AB439" s="2">
        <f t="shared" si="69"/>
        <v>1298.4019999999996</v>
      </c>
      <c r="AC439">
        <v>1298.4000000000001</v>
      </c>
      <c r="AD439" s="11">
        <f t="shared" si="76"/>
        <v>0.44979786117375625</v>
      </c>
      <c r="AE439" t="s">
        <v>156</v>
      </c>
      <c r="AF439" t="s">
        <v>104</v>
      </c>
    </row>
    <row r="440" spans="1:32">
      <c r="A440" t="s">
        <v>1420</v>
      </c>
      <c r="B440" s="2" t="str">
        <f t="shared" si="66"/>
        <v>Unique</v>
      </c>
      <c r="C440" s="2" t="str">
        <f t="shared" si="70"/>
        <v>May</v>
      </c>
      <c r="D440" s="2">
        <f t="shared" si="71"/>
        <v>2025</v>
      </c>
      <c r="E440" s="4">
        <v>45784</v>
      </c>
      <c r="F440" s="4">
        <v>45782</v>
      </c>
      <c r="G440" s="6">
        <f t="shared" si="67"/>
        <v>-2</v>
      </c>
      <c r="H440" s="6" t="str">
        <f t="shared" si="68"/>
        <v>Invalid: Ship Date Before Order Date</v>
      </c>
      <c r="I440" t="s">
        <v>1421</v>
      </c>
      <c r="J440" t="s">
        <v>80</v>
      </c>
      <c r="K440" t="s">
        <v>91</v>
      </c>
      <c r="L440" t="s">
        <v>39</v>
      </c>
      <c r="M440" t="s">
        <v>229</v>
      </c>
      <c r="O440" t="s">
        <v>75</v>
      </c>
      <c r="P440" t="s">
        <v>172</v>
      </c>
      <c r="Q440" t="s">
        <v>1422</v>
      </c>
      <c r="R440" t="s">
        <v>60</v>
      </c>
      <c r="S440">
        <v>1</v>
      </c>
      <c r="T440">
        <v>2266.4699999999998</v>
      </c>
      <c r="U440" s="2">
        <f t="shared" si="72"/>
        <v>1813.1759999999999</v>
      </c>
      <c r="V440" s="13">
        <v>0.2</v>
      </c>
      <c r="W440" s="2">
        <f t="shared" si="73"/>
        <v>0.2</v>
      </c>
      <c r="X440" s="2" t="str">
        <f t="shared" si="74"/>
        <v>Valid</v>
      </c>
      <c r="Y440" s="2" t="str">
        <f t="shared" si="75"/>
        <v>Invalid</v>
      </c>
      <c r="Z440">
        <v>1813.18</v>
      </c>
      <c r="AA440">
        <v>1363.64</v>
      </c>
      <c r="AB440" s="2">
        <f t="shared" si="69"/>
        <v>449.53599999999983</v>
      </c>
      <c r="AC440">
        <v>449.54</v>
      </c>
      <c r="AD440" s="11">
        <f t="shared" si="76"/>
        <v>0.24792905282431971</v>
      </c>
      <c r="AE440" t="s">
        <v>33</v>
      </c>
      <c r="AF440" t="s">
        <v>34</v>
      </c>
    </row>
    <row r="441" spans="1:32">
      <c r="A441" t="s">
        <v>1423</v>
      </c>
      <c r="B441" s="2" t="str">
        <f t="shared" si="66"/>
        <v>Unique</v>
      </c>
      <c r="C441" s="2" t="str">
        <f t="shared" si="70"/>
        <v>Jun</v>
      </c>
      <c r="D441" s="2">
        <f t="shared" si="71"/>
        <v>2025</v>
      </c>
      <c r="E441" s="4">
        <v>45838</v>
      </c>
      <c r="F441" s="4">
        <v>45841</v>
      </c>
      <c r="G441" s="6">
        <f t="shared" si="67"/>
        <v>3</v>
      </c>
      <c r="H441" s="6" t="str">
        <f t="shared" si="68"/>
        <v>Valid</v>
      </c>
      <c r="I441" t="s">
        <v>1424</v>
      </c>
      <c r="J441" t="s">
        <v>129</v>
      </c>
      <c r="K441" t="s">
        <v>96</v>
      </c>
      <c r="L441" t="s">
        <v>64</v>
      </c>
      <c r="M441" t="s">
        <v>191</v>
      </c>
      <c r="O441" t="s">
        <v>29</v>
      </c>
      <c r="P441" t="s">
        <v>125</v>
      </c>
      <c r="Q441" t="s">
        <v>1425</v>
      </c>
      <c r="R441" t="s">
        <v>45</v>
      </c>
      <c r="S441">
        <v>5</v>
      </c>
      <c r="T441">
        <v>665.25</v>
      </c>
      <c r="U441" s="2">
        <f t="shared" si="72"/>
        <v>3326.25</v>
      </c>
      <c r="V441" s="13">
        <v>0</v>
      </c>
      <c r="W441" s="2">
        <f t="shared" si="73"/>
        <v>0</v>
      </c>
      <c r="X441" s="2" t="str">
        <f t="shared" si="74"/>
        <v>Valid</v>
      </c>
      <c r="Y441" s="2" t="str">
        <f t="shared" si="75"/>
        <v>Clean</v>
      </c>
      <c r="Z441">
        <v>3326.25</v>
      </c>
      <c r="AA441">
        <v>2689.36</v>
      </c>
      <c r="AB441" s="2">
        <f t="shared" si="69"/>
        <v>636.88999999999987</v>
      </c>
      <c r="AC441">
        <v>636.89</v>
      </c>
      <c r="AD441" s="11">
        <f t="shared" si="76"/>
        <v>0.19147388199924839</v>
      </c>
      <c r="AE441" t="s">
        <v>103</v>
      </c>
      <c r="AF441" t="s">
        <v>104</v>
      </c>
    </row>
    <row r="442" spans="1:32">
      <c r="A442" t="s">
        <v>1426</v>
      </c>
      <c r="B442" s="2" t="str">
        <f t="shared" si="66"/>
        <v>Unique</v>
      </c>
      <c r="C442" s="2" t="str">
        <f t="shared" si="70"/>
        <v>Apr</v>
      </c>
      <c r="D442" s="2">
        <f t="shared" si="71"/>
        <v>2024</v>
      </c>
      <c r="E442" s="4">
        <v>45384</v>
      </c>
      <c r="F442" s="4">
        <v>45390</v>
      </c>
      <c r="G442" s="6">
        <f t="shared" si="67"/>
        <v>6</v>
      </c>
      <c r="H442" s="6" t="str">
        <f t="shared" si="68"/>
        <v>Valid</v>
      </c>
      <c r="I442" t="s">
        <v>271</v>
      </c>
      <c r="J442" t="s">
        <v>72</v>
      </c>
      <c r="K442" t="s">
        <v>91</v>
      </c>
      <c r="L442" t="s">
        <v>39</v>
      </c>
      <c r="M442" t="s">
        <v>40</v>
      </c>
      <c r="O442" t="s">
        <v>75</v>
      </c>
      <c r="P442" t="s">
        <v>275</v>
      </c>
      <c r="Q442" t="s">
        <v>1427</v>
      </c>
      <c r="R442" t="s">
        <v>32</v>
      </c>
      <c r="S442">
        <v>6</v>
      </c>
      <c r="T442">
        <v>3722.84</v>
      </c>
      <c r="U442" s="2">
        <f t="shared" si="72"/>
        <v>17869.632000000001</v>
      </c>
      <c r="V442" s="13">
        <v>0.2</v>
      </c>
      <c r="W442" s="2">
        <f t="shared" si="73"/>
        <v>0.2</v>
      </c>
      <c r="X442" s="2" t="str">
        <f t="shared" si="74"/>
        <v>Valid</v>
      </c>
      <c r="Y442" s="2" t="str">
        <f t="shared" si="75"/>
        <v>Clean</v>
      </c>
      <c r="Z442">
        <v>17869.63</v>
      </c>
      <c r="AA442">
        <v>12163.8</v>
      </c>
      <c r="AB442" s="2">
        <f t="shared" si="69"/>
        <v>5705.8320000000022</v>
      </c>
      <c r="AC442">
        <v>5705.83</v>
      </c>
      <c r="AD442" s="11">
        <f t="shared" si="76"/>
        <v>0.31930319765994031</v>
      </c>
      <c r="AE442" t="s">
        <v>33</v>
      </c>
      <c r="AF442" t="s">
        <v>34</v>
      </c>
    </row>
    <row r="443" spans="1:32">
      <c r="A443" t="s">
        <v>1428</v>
      </c>
      <c r="B443" s="2" t="str">
        <f t="shared" si="66"/>
        <v>Unique</v>
      </c>
      <c r="C443" s="2" t="str">
        <f t="shared" si="70"/>
        <v>Oct</v>
      </c>
      <c r="D443" s="2">
        <f t="shared" si="71"/>
        <v>2024</v>
      </c>
      <c r="E443" s="4">
        <v>45568</v>
      </c>
      <c r="F443" s="4">
        <v>45568</v>
      </c>
      <c r="G443" s="6">
        <f t="shared" si="67"/>
        <v>0</v>
      </c>
      <c r="H443" s="6" t="str">
        <f t="shared" si="68"/>
        <v>Valid</v>
      </c>
      <c r="I443" t="s">
        <v>1429</v>
      </c>
      <c r="J443" t="s">
        <v>24</v>
      </c>
      <c r="K443" t="s">
        <v>25</v>
      </c>
      <c r="L443" t="s">
        <v>39</v>
      </c>
      <c r="M443" t="s">
        <v>146</v>
      </c>
      <c r="O443" t="s">
        <v>42</v>
      </c>
      <c r="P443" t="s">
        <v>159</v>
      </c>
      <c r="Q443" t="s">
        <v>1430</v>
      </c>
      <c r="R443" t="s">
        <v>60</v>
      </c>
      <c r="S443">
        <v>6</v>
      </c>
      <c r="T443">
        <v>4217.49</v>
      </c>
      <c r="U443" s="2">
        <f t="shared" si="72"/>
        <v>25304.94</v>
      </c>
      <c r="V443" s="13">
        <v>0</v>
      </c>
      <c r="W443" s="2">
        <f t="shared" si="73"/>
        <v>0</v>
      </c>
      <c r="X443" s="2" t="str">
        <f t="shared" si="74"/>
        <v>Valid</v>
      </c>
      <c r="Y443" s="2" t="str">
        <f t="shared" si="75"/>
        <v>Clean</v>
      </c>
      <c r="Z443">
        <v>25304.94</v>
      </c>
      <c r="AA443">
        <v>20771.95</v>
      </c>
      <c r="AB443" s="2">
        <f t="shared" si="69"/>
        <v>4532.989999999998</v>
      </c>
      <c r="AC443">
        <v>4532.99</v>
      </c>
      <c r="AD443" s="11">
        <f t="shared" si="76"/>
        <v>0.17913458795002082</v>
      </c>
      <c r="AE443" t="s">
        <v>33</v>
      </c>
      <c r="AF443" t="s">
        <v>69</v>
      </c>
    </row>
    <row r="444" spans="1:32">
      <c r="A444" t="s">
        <v>1431</v>
      </c>
      <c r="B444" s="2" t="str">
        <f t="shared" si="66"/>
        <v>Unique</v>
      </c>
      <c r="C444" s="2" t="str">
        <f t="shared" si="70"/>
        <v>Jan</v>
      </c>
      <c r="D444" s="2">
        <f t="shared" si="71"/>
        <v>2025</v>
      </c>
      <c r="E444" s="4">
        <v>45669</v>
      </c>
      <c r="F444" s="4">
        <v>45676</v>
      </c>
      <c r="G444" s="6">
        <f t="shared" si="67"/>
        <v>7</v>
      </c>
      <c r="H444" s="6" t="str">
        <f t="shared" si="68"/>
        <v>Valid</v>
      </c>
      <c r="I444" t="s">
        <v>1432</v>
      </c>
      <c r="J444" t="s">
        <v>129</v>
      </c>
      <c r="K444" t="s">
        <v>25</v>
      </c>
      <c r="L444" t="s">
        <v>39</v>
      </c>
      <c r="M444" t="s">
        <v>229</v>
      </c>
      <c r="O444" t="s">
        <v>42</v>
      </c>
      <c r="P444" t="s">
        <v>43</v>
      </c>
      <c r="Q444" t="s">
        <v>1433</v>
      </c>
      <c r="R444" t="s">
        <v>51</v>
      </c>
      <c r="S444">
        <v>1</v>
      </c>
      <c r="T444">
        <v>1842.31</v>
      </c>
      <c r="U444" s="2">
        <f t="shared" si="72"/>
        <v>1842.31</v>
      </c>
      <c r="V444" s="13">
        <v>0</v>
      </c>
      <c r="W444" s="2">
        <f t="shared" si="73"/>
        <v>0</v>
      </c>
      <c r="X444" s="2" t="str">
        <f t="shared" si="74"/>
        <v>Valid</v>
      </c>
      <c r="Y444" s="2" t="str">
        <f t="shared" si="75"/>
        <v>Clean</v>
      </c>
      <c r="Z444">
        <v>1842.31</v>
      </c>
      <c r="AA444">
        <v>1019.17</v>
      </c>
      <c r="AB444" s="2">
        <f t="shared" si="69"/>
        <v>823.14</v>
      </c>
      <c r="AC444">
        <v>823.14</v>
      </c>
      <c r="AD444" s="11">
        <f t="shared" si="76"/>
        <v>0.44679777019068451</v>
      </c>
      <c r="AE444" t="s">
        <v>33</v>
      </c>
      <c r="AF444" t="s">
        <v>34</v>
      </c>
    </row>
    <row r="445" spans="1:32">
      <c r="A445" t="s">
        <v>1434</v>
      </c>
      <c r="B445" s="2" t="str">
        <f t="shared" si="66"/>
        <v>Unique</v>
      </c>
      <c r="C445" s="2" t="str">
        <f t="shared" si="70"/>
        <v>Apr</v>
      </c>
      <c r="D445" s="2">
        <f t="shared" si="71"/>
        <v>2024</v>
      </c>
      <c r="E445" s="4">
        <v>45386</v>
      </c>
      <c r="F445" s="4">
        <v>45389</v>
      </c>
      <c r="G445" s="6">
        <f t="shared" si="67"/>
        <v>3</v>
      </c>
      <c r="H445" s="6" t="str">
        <f t="shared" si="68"/>
        <v>Valid</v>
      </c>
      <c r="I445" t="s">
        <v>1435</v>
      </c>
      <c r="J445" t="s">
        <v>142</v>
      </c>
      <c r="K445" t="s">
        <v>96</v>
      </c>
      <c r="L445" t="s">
        <v>39</v>
      </c>
      <c r="M445" t="s">
        <v>40</v>
      </c>
      <c r="O445" t="s">
        <v>42</v>
      </c>
      <c r="P445" t="s">
        <v>58</v>
      </c>
      <c r="Q445" t="s">
        <v>1436</v>
      </c>
      <c r="R445" t="s">
        <v>51</v>
      </c>
      <c r="S445">
        <v>1</v>
      </c>
      <c r="T445">
        <v>3683.75</v>
      </c>
      <c r="U445" s="2">
        <f t="shared" si="72"/>
        <v>3315.375</v>
      </c>
      <c r="V445" s="13">
        <v>0.1</v>
      </c>
      <c r="W445" s="2">
        <f t="shared" si="73"/>
        <v>0.1</v>
      </c>
      <c r="X445" s="2" t="str">
        <f t="shared" si="74"/>
        <v>Valid</v>
      </c>
      <c r="Y445" s="2" t="str">
        <f t="shared" si="75"/>
        <v>Clean</v>
      </c>
      <c r="Z445">
        <v>3315.38</v>
      </c>
      <c r="AA445">
        <v>2347.6799999999998</v>
      </c>
      <c r="AB445" s="2">
        <f t="shared" si="69"/>
        <v>967.69500000000016</v>
      </c>
      <c r="AC445">
        <v>967.7</v>
      </c>
      <c r="AD445" s="11">
        <f t="shared" si="76"/>
        <v>0.29188207686600026</v>
      </c>
      <c r="AE445" t="s">
        <v>33</v>
      </c>
      <c r="AF445" t="s">
        <v>34</v>
      </c>
    </row>
    <row r="446" spans="1:32">
      <c r="A446" t="s">
        <v>1437</v>
      </c>
      <c r="B446" s="2" t="str">
        <f t="shared" si="66"/>
        <v>Unique</v>
      </c>
      <c r="C446" s="2" t="str">
        <f t="shared" si="70"/>
        <v>Aug</v>
      </c>
      <c r="D446" s="2">
        <f t="shared" si="71"/>
        <v>2025</v>
      </c>
      <c r="E446" s="4">
        <v>45881</v>
      </c>
      <c r="F446" s="4">
        <v>45885</v>
      </c>
      <c r="G446" s="6">
        <f t="shared" si="67"/>
        <v>4</v>
      </c>
      <c r="H446" s="6" t="str">
        <f t="shared" si="68"/>
        <v>Valid</v>
      </c>
      <c r="I446" t="s">
        <v>1438</v>
      </c>
      <c r="J446" t="s">
        <v>63</v>
      </c>
      <c r="K446" t="s">
        <v>25</v>
      </c>
      <c r="L446" t="s">
        <v>39</v>
      </c>
      <c r="M446" t="s">
        <v>167</v>
      </c>
      <c r="O446" t="s">
        <v>75</v>
      </c>
      <c r="P446" t="s">
        <v>76</v>
      </c>
      <c r="Q446" t="s">
        <v>1439</v>
      </c>
      <c r="R446" t="s">
        <v>45</v>
      </c>
      <c r="S446">
        <v>9</v>
      </c>
      <c r="T446">
        <v>2379.2399999999998</v>
      </c>
      <c r="U446" s="2">
        <f t="shared" si="72"/>
        <v>20342.501999999997</v>
      </c>
      <c r="V446" s="13">
        <v>0.05</v>
      </c>
      <c r="W446" s="2">
        <f t="shared" si="73"/>
        <v>0.05</v>
      </c>
      <c r="X446" s="2" t="str">
        <f t="shared" si="74"/>
        <v>Valid</v>
      </c>
      <c r="Y446" s="2" t="str">
        <f t="shared" si="75"/>
        <v>Clean</v>
      </c>
      <c r="Z446">
        <v>20342.5</v>
      </c>
      <c r="AA446">
        <v>12407.51</v>
      </c>
      <c r="AB446" s="2">
        <f t="shared" si="69"/>
        <v>7934.9919999999966</v>
      </c>
      <c r="AC446">
        <v>7934.99</v>
      </c>
      <c r="AD446" s="11">
        <f t="shared" si="76"/>
        <v>0.39006955880545657</v>
      </c>
      <c r="AE446" t="s">
        <v>33</v>
      </c>
      <c r="AF446" t="s">
        <v>34</v>
      </c>
    </row>
    <row r="447" spans="1:32">
      <c r="A447" t="s">
        <v>1440</v>
      </c>
      <c r="B447" s="2" t="str">
        <f t="shared" si="66"/>
        <v>Unique</v>
      </c>
      <c r="C447" s="2" t="str">
        <f t="shared" si="70"/>
        <v>May</v>
      </c>
      <c r="D447" s="2">
        <f t="shared" si="71"/>
        <v>2024</v>
      </c>
      <c r="E447" s="4">
        <v>45421</v>
      </c>
      <c r="F447" s="4">
        <v>45417</v>
      </c>
      <c r="G447" s="6">
        <f t="shared" si="67"/>
        <v>-4</v>
      </c>
      <c r="H447" s="6" t="str">
        <f t="shared" si="68"/>
        <v>Invalid: Ship Date Before Order Date</v>
      </c>
      <c r="I447" t="s">
        <v>1441</v>
      </c>
      <c r="J447" t="s">
        <v>54</v>
      </c>
      <c r="K447" t="s">
        <v>25</v>
      </c>
      <c r="L447" t="s">
        <v>39</v>
      </c>
      <c r="M447" t="s">
        <v>167</v>
      </c>
      <c r="O447" t="s">
        <v>42</v>
      </c>
      <c r="P447" t="s">
        <v>159</v>
      </c>
      <c r="Q447" t="s">
        <v>1442</v>
      </c>
      <c r="R447" t="s">
        <v>45</v>
      </c>
      <c r="S447">
        <v>2</v>
      </c>
      <c r="T447">
        <v>2111.23</v>
      </c>
      <c r="U447" s="2">
        <f t="shared" si="72"/>
        <v>3377.9680000000003</v>
      </c>
      <c r="V447" s="13">
        <v>0.2</v>
      </c>
      <c r="W447" s="2">
        <f t="shared" si="73"/>
        <v>0.2</v>
      </c>
      <c r="X447" s="2" t="str">
        <f t="shared" si="74"/>
        <v>Valid</v>
      </c>
      <c r="Y447" s="2" t="str">
        <f t="shared" si="75"/>
        <v>Invalid</v>
      </c>
      <c r="Z447">
        <v>3377.97</v>
      </c>
      <c r="AA447">
        <v>2496.29</v>
      </c>
      <c r="AB447" s="2">
        <f t="shared" si="69"/>
        <v>881.67800000000034</v>
      </c>
      <c r="AC447">
        <v>881.68</v>
      </c>
      <c r="AD447" s="11">
        <f t="shared" si="76"/>
        <v>0.26100883074746073</v>
      </c>
      <c r="AE447" t="s">
        <v>33</v>
      </c>
      <c r="AF447" t="s">
        <v>34</v>
      </c>
    </row>
    <row r="448" spans="1:32">
      <c r="A448" t="s">
        <v>1443</v>
      </c>
      <c r="B448" s="2" t="str">
        <f t="shared" si="66"/>
        <v>Unique</v>
      </c>
      <c r="C448" s="2" t="str">
        <f t="shared" si="70"/>
        <v>Sep</v>
      </c>
      <c r="D448" s="2">
        <f t="shared" si="71"/>
        <v>2025</v>
      </c>
      <c r="E448" s="4">
        <v>45918</v>
      </c>
      <c r="F448" s="4">
        <v>45919</v>
      </c>
      <c r="G448" s="6">
        <f t="shared" si="67"/>
        <v>1</v>
      </c>
      <c r="H448" s="6" t="str">
        <f t="shared" si="68"/>
        <v>Valid</v>
      </c>
      <c r="I448" t="s">
        <v>1444</v>
      </c>
      <c r="J448" t="s">
        <v>133</v>
      </c>
      <c r="K448" t="s">
        <v>96</v>
      </c>
      <c r="L448" t="s">
        <v>55</v>
      </c>
      <c r="M448" t="s">
        <v>85</v>
      </c>
      <c r="O448" t="s">
        <v>29</v>
      </c>
      <c r="P448" t="s">
        <v>125</v>
      </c>
      <c r="Q448" t="s">
        <v>1445</v>
      </c>
      <c r="R448" t="s">
        <v>45</v>
      </c>
      <c r="S448">
        <v>8</v>
      </c>
      <c r="T448">
        <v>4242.51</v>
      </c>
      <c r="U448" s="2">
        <f t="shared" si="72"/>
        <v>33940.080000000002</v>
      </c>
      <c r="V448" s="13">
        <v>0</v>
      </c>
      <c r="W448" s="2">
        <f t="shared" si="73"/>
        <v>0</v>
      </c>
      <c r="X448" s="2" t="str">
        <f t="shared" si="74"/>
        <v>Valid</v>
      </c>
      <c r="Y448" s="2" t="str">
        <f t="shared" si="75"/>
        <v>Clean</v>
      </c>
      <c r="Z448">
        <v>33940.080000000002</v>
      </c>
      <c r="AA448">
        <v>23754.19</v>
      </c>
      <c r="AB448" s="2">
        <f t="shared" si="69"/>
        <v>10185.890000000003</v>
      </c>
      <c r="AC448">
        <v>10185.89</v>
      </c>
      <c r="AD448" s="11">
        <f t="shared" si="76"/>
        <v>0.30011390662603032</v>
      </c>
      <c r="AE448" t="s">
        <v>33</v>
      </c>
      <c r="AF448" t="s">
        <v>34</v>
      </c>
    </row>
    <row r="449" spans="1:32">
      <c r="A449" t="s">
        <v>1446</v>
      </c>
      <c r="B449" s="2" t="str">
        <f t="shared" si="66"/>
        <v>Unique</v>
      </c>
      <c r="C449" s="2" t="str">
        <f t="shared" si="70"/>
        <v>Aug</v>
      </c>
      <c r="D449" s="2">
        <f t="shared" si="71"/>
        <v>2025</v>
      </c>
      <c r="E449" s="4">
        <v>45879</v>
      </c>
      <c r="F449" s="4">
        <v>45879</v>
      </c>
      <c r="G449" s="6">
        <f t="shared" si="67"/>
        <v>0</v>
      </c>
      <c r="H449" s="6" t="str">
        <f t="shared" si="68"/>
        <v>Valid</v>
      </c>
      <c r="I449" t="s">
        <v>1447</v>
      </c>
      <c r="J449" t="s">
        <v>142</v>
      </c>
      <c r="K449" t="s">
        <v>96</v>
      </c>
      <c r="L449" t="s">
        <v>55</v>
      </c>
      <c r="M449" t="s">
        <v>56</v>
      </c>
      <c r="O449" t="s">
        <v>42</v>
      </c>
      <c r="P449" t="s">
        <v>159</v>
      </c>
      <c r="Q449" t="s">
        <v>1448</v>
      </c>
      <c r="R449" t="s">
        <v>60</v>
      </c>
      <c r="S449">
        <v>6</v>
      </c>
      <c r="T449">
        <v>4288.7</v>
      </c>
      <c r="U449" s="2">
        <f t="shared" si="72"/>
        <v>21872.369999999995</v>
      </c>
      <c r="V449" s="13">
        <v>0.15</v>
      </c>
      <c r="W449" s="2">
        <f t="shared" si="73"/>
        <v>0.15</v>
      </c>
      <c r="X449" s="2" t="str">
        <f t="shared" si="74"/>
        <v>Valid</v>
      </c>
      <c r="Y449" s="2" t="str">
        <f t="shared" si="75"/>
        <v>Clean</v>
      </c>
      <c r="Z449">
        <v>21872.37</v>
      </c>
      <c r="AA449">
        <v>13829.5</v>
      </c>
      <c r="AB449" s="2">
        <f t="shared" si="69"/>
        <v>8042.8699999999953</v>
      </c>
      <c r="AC449">
        <v>8042.87</v>
      </c>
      <c r="AD449" s="11">
        <f t="shared" si="76"/>
        <v>0.36771826738483304</v>
      </c>
      <c r="AE449" t="s">
        <v>112</v>
      </c>
      <c r="AF449" t="s">
        <v>104</v>
      </c>
    </row>
    <row r="450" spans="1:32">
      <c r="A450" t="s">
        <v>1449</v>
      </c>
      <c r="B450" s="2" t="str">
        <f t="shared" ref="B450:B513" si="77">IF(COUNTIF($A:$A,A450)&gt;1,"Duplicate Order ID","Unique")</f>
        <v>Unique</v>
      </c>
      <c r="C450" s="2" t="str">
        <f t="shared" si="70"/>
        <v>Jan</v>
      </c>
      <c r="D450" s="2">
        <f t="shared" si="71"/>
        <v>2024</v>
      </c>
      <c r="E450" s="4">
        <v>45306</v>
      </c>
      <c r="F450" s="4">
        <v>45309</v>
      </c>
      <c r="G450" s="6">
        <f t="shared" ref="G450:G513" si="78">F450-E450</f>
        <v>3</v>
      </c>
      <c r="H450" s="6" t="str">
        <f t="shared" ref="H450:H513" si="79">IF(G450&lt;0,"Invalid: Ship Date Before Order Date","Valid")</f>
        <v>Valid</v>
      </c>
      <c r="I450" t="s">
        <v>1450</v>
      </c>
      <c r="J450" t="s">
        <v>37</v>
      </c>
      <c r="K450" t="s">
        <v>38</v>
      </c>
      <c r="L450" t="s">
        <v>55</v>
      </c>
      <c r="M450" t="s">
        <v>85</v>
      </c>
      <c r="O450" t="s">
        <v>42</v>
      </c>
      <c r="P450" t="s">
        <v>67</v>
      </c>
      <c r="Q450" t="s">
        <v>1451</v>
      </c>
      <c r="R450" t="s">
        <v>51</v>
      </c>
      <c r="S450">
        <v>2</v>
      </c>
      <c r="T450">
        <v>201.21</v>
      </c>
      <c r="U450" s="2">
        <f t="shared" si="72"/>
        <v>342.05700000000002</v>
      </c>
      <c r="V450" s="13">
        <v>0.15</v>
      </c>
      <c r="W450" s="2">
        <f t="shared" si="73"/>
        <v>0.15</v>
      </c>
      <c r="X450" s="2" t="str">
        <f t="shared" si="74"/>
        <v>Valid</v>
      </c>
      <c r="Y450" s="2" t="str">
        <f t="shared" si="75"/>
        <v>Clean</v>
      </c>
      <c r="Z450">
        <v>342.06</v>
      </c>
      <c r="AA450">
        <v>244.57</v>
      </c>
      <c r="AB450" s="2">
        <f t="shared" ref="AB450:AB513" si="80">IF(ISNUMBER(U450),U450-AA450,"Invalid")</f>
        <v>97.487000000000023</v>
      </c>
      <c r="AC450">
        <v>97.49</v>
      </c>
      <c r="AD450" s="11">
        <f t="shared" si="76"/>
        <v>0.28500847804478746</v>
      </c>
      <c r="AE450" t="s">
        <v>33</v>
      </c>
      <c r="AF450" t="s">
        <v>34</v>
      </c>
    </row>
    <row r="451" spans="1:32">
      <c r="A451" t="s">
        <v>1452</v>
      </c>
      <c r="B451" s="2" t="str">
        <f t="shared" si="77"/>
        <v>Unique</v>
      </c>
      <c r="C451" s="2" t="str">
        <f t="shared" ref="C451:C514" si="81">TEXT(E451,"mmm")</f>
        <v>Jun</v>
      </c>
      <c r="D451" s="2">
        <f t="shared" ref="D451:D514" si="82">YEAR(E451)</f>
        <v>2024</v>
      </c>
      <c r="E451" s="4">
        <v>45449</v>
      </c>
      <c r="F451" s="4">
        <v>45456</v>
      </c>
      <c r="G451" s="6">
        <f t="shared" si="78"/>
        <v>7</v>
      </c>
      <c r="H451" s="6" t="str">
        <f t="shared" si="79"/>
        <v>Valid</v>
      </c>
      <c r="I451" t="s">
        <v>1346</v>
      </c>
      <c r="J451" t="s">
        <v>90</v>
      </c>
      <c r="K451" t="s">
        <v>91</v>
      </c>
      <c r="L451" t="s">
        <v>39</v>
      </c>
      <c r="M451" t="s">
        <v>167</v>
      </c>
      <c r="O451" t="s">
        <v>75</v>
      </c>
      <c r="P451" t="s">
        <v>275</v>
      </c>
      <c r="Q451" t="s">
        <v>1453</v>
      </c>
      <c r="R451" t="s">
        <v>32</v>
      </c>
      <c r="S451">
        <v>6</v>
      </c>
      <c r="T451">
        <v>3270.36</v>
      </c>
      <c r="U451" s="2">
        <f t="shared" ref="U451:U514" si="83">IF(ISNUMBER(W451),S451*T451*(1-W451),"Invalid")</f>
        <v>19622.16</v>
      </c>
      <c r="V451" s="13">
        <v>0</v>
      </c>
      <c r="W451" s="2">
        <f t="shared" ref="W451:W514" si="84">IF(OR(V451&lt;0,V451&gt;1),"Invalid",V451)</f>
        <v>0</v>
      </c>
      <c r="X451" s="2" t="str">
        <f t="shared" ref="X451:X514" si="85">IF(OR(V451&lt;0,V451&gt;1),"Invalid","Valid")</f>
        <v>Valid</v>
      </c>
      <c r="Y451" s="2" t="str">
        <f t="shared" ref="Y451:Y514" si="86">IF(AND(H451="Valid",X451="Valid"),"Clean","Invalid")</f>
        <v>Clean</v>
      </c>
      <c r="Z451">
        <v>19622.16</v>
      </c>
      <c r="AA451">
        <v>14271.27</v>
      </c>
      <c r="AB451" s="2">
        <f t="shared" si="80"/>
        <v>5350.8899999999994</v>
      </c>
      <c r="AC451">
        <v>5350.89</v>
      </c>
      <c r="AD451" s="11">
        <f t="shared" ref="AD451:AD514" si="87">AC451/Z451</f>
        <v>0.27269627808559305</v>
      </c>
      <c r="AE451" t="s">
        <v>33</v>
      </c>
      <c r="AF451" t="s">
        <v>34</v>
      </c>
    </row>
    <row r="452" spans="1:32">
      <c r="A452" t="s">
        <v>1454</v>
      </c>
      <c r="B452" s="2" t="str">
        <f t="shared" si="77"/>
        <v>Unique</v>
      </c>
      <c r="C452" s="2" t="str">
        <f t="shared" si="81"/>
        <v>Jun</v>
      </c>
      <c r="D452" s="2">
        <f t="shared" si="82"/>
        <v>2025</v>
      </c>
      <c r="E452" s="4">
        <v>45820</v>
      </c>
      <c r="F452" s="4">
        <v>45827</v>
      </c>
      <c r="G452" s="6">
        <f t="shared" si="78"/>
        <v>7</v>
      </c>
      <c r="H452" s="6" t="str">
        <f t="shared" si="79"/>
        <v>Valid</v>
      </c>
      <c r="I452" t="s">
        <v>1455</v>
      </c>
      <c r="J452" t="s">
        <v>63</v>
      </c>
      <c r="K452" t="s">
        <v>91</v>
      </c>
      <c r="L452" t="s">
        <v>26</v>
      </c>
      <c r="M452" t="s">
        <v>351</v>
      </c>
      <c r="O452" t="s">
        <v>42</v>
      </c>
      <c r="P452" t="s">
        <v>67</v>
      </c>
      <c r="Q452" t="s">
        <v>1456</v>
      </c>
      <c r="R452" t="s">
        <v>60</v>
      </c>
      <c r="S452">
        <v>9</v>
      </c>
      <c r="T452">
        <v>2278.5700000000002</v>
      </c>
      <c r="U452" s="2">
        <f t="shared" si="83"/>
        <v>15380.3475</v>
      </c>
      <c r="V452" s="13">
        <v>0.25</v>
      </c>
      <c r="W452" s="2">
        <f t="shared" si="84"/>
        <v>0.25</v>
      </c>
      <c r="X452" s="2" t="str">
        <f t="shared" si="85"/>
        <v>Valid</v>
      </c>
      <c r="Y452" s="2" t="str">
        <f t="shared" si="86"/>
        <v>Clean</v>
      </c>
      <c r="Z452">
        <v>15380.35</v>
      </c>
      <c r="AA452">
        <v>9907.3700000000008</v>
      </c>
      <c r="AB452" s="2">
        <f t="shared" si="80"/>
        <v>5472.9774999999991</v>
      </c>
      <c r="AC452">
        <v>5472.98</v>
      </c>
      <c r="AD452" s="11">
        <f t="shared" si="87"/>
        <v>0.35584235729355962</v>
      </c>
      <c r="AE452" t="s">
        <v>33</v>
      </c>
      <c r="AF452" t="s">
        <v>34</v>
      </c>
    </row>
    <row r="453" spans="1:32">
      <c r="A453" t="s">
        <v>1457</v>
      </c>
      <c r="B453" s="2" t="str">
        <f t="shared" si="77"/>
        <v>Unique</v>
      </c>
      <c r="C453" s="2" t="str">
        <f t="shared" si="81"/>
        <v>Mar</v>
      </c>
      <c r="D453" s="2">
        <f t="shared" si="82"/>
        <v>2024</v>
      </c>
      <c r="E453" s="4">
        <v>45375</v>
      </c>
      <c r="F453" s="4">
        <v>45377</v>
      </c>
      <c r="G453" s="6">
        <f t="shared" si="78"/>
        <v>2</v>
      </c>
      <c r="H453" s="6" t="str">
        <f t="shared" si="79"/>
        <v>Valid</v>
      </c>
      <c r="I453" t="s">
        <v>1458</v>
      </c>
      <c r="J453" t="s">
        <v>142</v>
      </c>
      <c r="K453" t="s">
        <v>38</v>
      </c>
      <c r="L453" t="s">
        <v>26</v>
      </c>
      <c r="M453" t="s">
        <v>237</v>
      </c>
      <c r="O453" t="s">
        <v>29</v>
      </c>
      <c r="P453" t="s">
        <v>30</v>
      </c>
      <c r="Q453" t="s">
        <v>1459</v>
      </c>
      <c r="R453" t="s">
        <v>32</v>
      </c>
      <c r="S453">
        <v>8</v>
      </c>
      <c r="T453">
        <v>1917.64</v>
      </c>
      <c r="U453" s="2">
        <f t="shared" si="83"/>
        <v>13039.952000000001</v>
      </c>
      <c r="V453" s="13">
        <v>0.15</v>
      </c>
      <c r="W453" s="2">
        <f t="shared" si="84"/>
        <v>0.15</v>
      </c>
      <c r="X453" s="2" t="str">
        <f t="shared" si="85"/>
        <v>Valid</v>
      </c>
      <c r="Y453" s="2" t="str">
        <f t="shared" si="86"/>
        <v>Clean</v>
      </c>
      <c r="Z453">
        <v>13039.95</v>
      </c>
      <c r="AA453">
        <v>11127.82</v>
      </c>
      <c r="AB453" s="2">
        <f t="shared" si="80"/>
        <v>1912.1320000000014</v>
      </c>
      <c r="AC453">
        <v>1912.13</v>
      </c>
      <c r="AD453" s="11">
        <f t="shared" si="87"/>
        <v>0.14663629845206461</v>
      </c>
      <c r="AE453" t="s">
        <v>33</v>
      </c>
      <c r="AF453" t="s">
        <v>69</v>
      </c>
    </row>
    <row r="454" spans="1:32">
      <c r="A454" t="s">
        <v>1460</v>
      </c>
      <c r="B454" s="2" t="str">
        <f t="shared" si="77"/>
        <v>Unique</v>
      </c>
      <c r="C454" s="2" t="str">
        <f t="shared" si="81"/>
        <v>May</v>
      </c>
      <c r="D454" s="2">
        <f t="shared" si="82"/>
        <v>2024</v>
      </c>
      <c r="E454" s="4">
        <v>45422</v>
      </c>
      <c r="F454" s="4">
        <v>45428</v>
      </c>
      <c r="G454" s="6">
        <f t="shared" si="78"/>
        <v>6</v>
      </c>
      <c r="H454" s="6" t="str">
        <f t="shared" si="79"/>
        <v>Valid</v>
      </c>
      <c r="I454" t="s">
        <v>1461</v>
      </c>
      <c r="J454" t="s">
        <v>163</v>
      </c>
      <c r="K454" t="s">
        <v>96</v>
      </c>
      <c r="L454" t="s">
        <v>39</v>
      </c>
      <c r="M454" t="s">
        <v>229</v>
      </c>
      <c r="O454" t="s">
        <v>75</v>
      </c>
      <c r="P454" t="s">
        <v>76</v>
      </c>
      <c r="Q454" t="s">
        <v>1462</v>
      </c>
      <c r="R454" t="s">
        <v>32</v>
      </c>
      <c r="S454">
        <v>6</v>
      </c>
      <c r="T454">
        <v>2013.33</v>
      </c>
      <c r="U454" s="2">
        <f t="shared" si="83"/>
        <v>9663.9840000000004</v>
      </c>
      <c r="V454" s="13">
        <v>0.2</v>
      </c>
      <c r="W454" s="2">
        <f t="shared" si="84"/>
        <v>0.2</v>
      </c>
      <c r="X454" s="2" t="str">
        <f t="shared" si="85"/>
        <v>Valid</v>
      </c>
      <c r="Y454" s="2" t="str">
        <f t="shared" si="86"/>
        <v>Clean</v>
      </c>
      <c r="Z454">
        <v>9663.98</v>
      </c>
      <c r="AA454">
        <v>5628.93</v>
      </c>
      <c r="AB454" s="2">
        <f t="shared" si="80"/>
        <v>4035.0540000000001</v>
      </c>
      <c r="AC454">
        <v>4035.05</v>
      </c>
      <c r="AD454" s="11">
        <f t="shared" si="87"/>
        <v>0.41753501145490785</v>
      </c>
      <c r="AE454" t="s">
        <v>33</v>
      </c>
      <c r="AF454" t="s">
        <v>34</v>
      </c>
    </row>
    <row r="455" spans="1:32">
      <c r="A455" t="s">
        <v>1463</v>
      </c>
      <c r="B455" s="2" t="str">
        <f t="shared" si="77"/>
        <v>Unique</v>
      </c>
      <c r="C455" s="2" t="str">
        <f t="shared" si="81"/>
        <v>May</v>
      </c>
      <c r="D455" s="2">
        <f t="shared" si="82"/>
        <v>2025</v>
      </c>
      <c r="E455" s="4">
        <v>45780</v>
      </c>
      <c r="F455" s="4">
        <v>45788</v>
      </c>
      <c r="G455" s="6">
        <f t="shared" si="78"/>
        <v>8</v>
      </c>
      <c r="H455" s="6" t="str">
        <f t="shared" si="79"/>
        <v>Valid</v>
      </c>
      <c r="I455" t="s">
        <v>1464</v>
      </c>
      <c r="J455" t="s">
        <v>142</v>
      </c>
      <c r="K455" t="s">
        <v>38</v>
      </c>
      <c r="L455" t="s">
        <v>64</v>
      </c>
      <c r="M455" t="s">
        <v>73</v>
      </c>
      <c r="O455" t="s">
        <v>29</v>
      </c>
      <c r="P455" t="s">
        <v>92</v>
      </c>
      <c r="Q455" t="s">
        <v>1465</v>
      </c>
      <c r="R455" t="s">
        <v>45</v>
      </c>
      <c r="S455">
        <v>5</v>
      </c>
      <c r="T455">
        <v>1483.52</v>
      </c>
      <c r="U455" s="2">
        <f t="shared" si="83"/>
        <v>7417.6</v>
      </c>
      <c r="V455" s="13">
        <v>0</v>
      </c>
      <c r="W455" s="2">
        <f t="shared" si="84"/>
        <v>0</v>
      </c>
      <c r="X455" s="2" t="str">
        <f t="shared" si="85"/>
        <v>Valid</v>
      </c>
      <c r="Y455" s="2" t="str">
        <f t="shared" si="86"/>
        <v>Clean</v>
      </c>
      <c r="Z455">
        <v>7417.6</v>
      </c>
      <c r="AA455">
        <v>4955.8599999999997</v>
      </c>
      <c r="AB455" s="2">
        <f t="shared" si="80"/>
        <v>2461.7400000000007</v>
      </c>
      <c r="AC455">
        <v>2461.7399999999998</v>
      </c>
      <c r="AD455" s="11">
        <f t="shared" si="87"/>
        <v>0.33187823554788604</v>
      </c>
      <c r="AE455" t="s">
        <v>33</v>
      </c>
      <c r="AF455" t="s">
        <v>34</v>
      </c>
    </row>
    <row r="456" spans="1:32">
      <c r="A456" t="s">
        <v>1466</v>
      </c>
      <c r="B456" s="2" t="str">
        <f t="shared" si="77"/>
        <v>Unique</v>
      </c>
      <c r="C456" s="2" t="str">
        <f t="shared" si="81"/>
        <v>Mar</v>
      </c>
      <c r="D456" s="2">
        <f t="shared" si="82"/>
        <v>2025</v>
      </c>
      <c r="E456" s="4">
        <v>45739</v>
      </c>
      <c r="F456" s="4">
        <v>45744</v>
      </c>
      <c r="G456" s="6">
        <f t="shared" si="78"/>
        <v>5</v>
      </c>
      <c r="H456" s="6" t="str">
        <f t="shared" si="79"/>
        <v>Valid</v>
      </c>
      <c r="I456" t="s">
        <v>1467</v>
      </c>
      <c r="J456" t="s">
        <v>72</v>
      </c>
      <c r="K456" t="s">
        <v>38</v>
      </c>
      <c r="L456" t="s">
        <v>26</v>
      </c>
      <c r="M456" t="s">
        <v>27</v>
      </c>
      <c r="O456" t="s">
        <v>42</v>
      </c>
      <c r="P456" t="s">
        <v>58</v>
      </c>
      <c r="Q456" t="s">
        <v>1468</v>
      </c>
      <c r="R456" t="s">
        <v>60</v>
      </c>
      <c r="S456">
        <v>9</v>
      </c>
      <c r="T456">
        <v>3298</v>
      </c>
      <c r="U456" s="2">
        <f t="shared" si="83"/>
        <v>25229.7</v>
      </c>
      <c r="V456" s="13">
        <v>0.15</v>
      </c>
      <c r="W456" s="2">
        <f t="shared" si="84"/>
        <v>0.15</v>
      </c>
      <c r="X456" s="2" t="str">
        <f t="shared" si="85"/>
        <v>Valid</v>
      </c>
      <c r="Y456" s="2" t="str">
        <f t="shared" si="86"/>
        <v>Clean</v>
      </c>
      <c r="Z456">
        <v>25229.7</v>
      </c>
      <c r="AA456">
        <v>20170.43</v>
      </c>
      <c r="AB456" s="2">
        <f t="shared" si="80"/>
        <v>5059.2700000000004</v>
      </c>
      <c r="AC456">
        <v>5059.2700000000004</v>
      </c>
      <c r="AD456" s="11">
        <f t="shared" si="87"/>
        <v>0.20052834556098567</v>
      </c>
      <c r="AE456" t="s">
        <v>33</v>
      </c>
      <c r="AF456" t="s">
        <v>34</v>
      </c>
    </row>
    <row r="457" spans="1:32">
      <c r="A457" t="s">
        <v>1469</v>
      </c>
      <c r="B457" s="2" t="str">
        <f t="shared" si="77"/>
        <v>Unique</v>
      </c>
      <c r="C457" s="2" t="str">
        <f t="shared" si="81"/>
        <v>Jul</v>
      </c>
      <c r="D457" s="2">
        <f t="shared" si="82"/>
        <v>2024</v>
      </c>
      <c r="E457" s="4">
        <v>45491</v>
      </c>
      <c r="F457" s="4">
        <v>45495</v>
      </c>
      <c r="G457" s="6">
        <f t="shared" si="78"/>
        <v>4</v>
      </c>
      <c r="H457" s="6" t="str">
        <f t="shared" si="79"/>
        <v>Valid</v>
      </c>
      <c r="I457" t="s">
        <v>1470</v>
      </c>
      <c r="J457" t="s">
        <v>80</v>
      </c>
      <c r="K457" t="s">
        <v>38</v>
      </c>
      <c r="L457" t="s">
        <v>55</v>
      </c>
      <c r="M457" t="s">
        <v>56</v>
      </c>
      <c r="O457" t="s">
        <v>29</v>
      </c>
      <c r="P457" t="s">
        <v>49</v>
      </c>
      <c r="Q457" t="s">
        <v>1471</v>
      </c>
      <c r="R457" t="s">
        <v>60</v>
      </c>
      <c r="S457">
        <v>4</v>
      </c>
      <c r="T457">
        <v>808.77</v>
      </c>
      <c r="U457" s="2">
        <f t="shared" si="83"/>
        <v>3235.08</v>
      </c>
      <c r="V457" s="13">
        <v>0</v>
      </c>
      <c r="W457" s="2">
        <f t="shared" si="84"/>
        <v>0</v>
      </c>
      <c r="X457" s="2" t="str">
        <f t="shared" si="85"/>
        <v>Valid</v>
      </c>
      <c r="Y457" s="2" t="str">
        <f t="shared" si="86"/>
        <v>Clean</v>
      </c>
      <c r="Z457">
        <v>3235.08</v>
      </c>
      <c r="AA457">
        <v>1848.6</v>
      </c>
      <c r="AB457" s="2">
        <f t="shared" si="80"/>
        <v>1386.48</v>
      </c>
      <c r="AC457">
        <v>1386.48</v>
      </c>
      <c r="AD457" s="11">
        <f t="shared" si="87"/>
        <v>0.42857672762342819</v>
      </c>
      <c r="AE457" t="s">
        <v>33</v>
      </c>
      <c r="AF457" t="s">
        <v>34</v>
      </c>
    </row>
    <row r="458" spans="1:32">
      <c r="A458" t="s">
        <v>1472</v>
      </c>
      <c r="B458" s="2" t="str">
        <f t="shared" si="77"/>
        <v>Unique</v>
      </c>
      <c r="C458" s="2" t="str">
        <f t="shared" si="81"/>
        <v>Feb</v>
      </c>
      <c r="D458" s="2">
        <f t="shared" si="82"/>
        <v>2024</v>
      </c>
      <c r="E458" s="4">
        <v>45342</v>
      </c>
      <c r="F458" s="4">
        <v>45342</v>
      </c>
      <c r="G458" s="6">
        <f t="shared" si="78"/>
        <v>0</v>
      </c>
      <c r="H458" s="6" t="str">
        <f t="shared" si="79"/>
        <v>Valid</v>
      </c>
      <c r="I458" t="s">
        <v>1473</v>
      </c>
      <c r="J458" t="s">
        <v>80</v>
      </c>
      <c r="K458" t="s">
        <v>91</v>
      </c>
      <c r="L458" t="s">
        <v>26</v>
      </c>
      <c r="M458" t="s">
        <v>137</v>
      </c>
      <c r="O458" t="s">
        <v>75</v>
      </c>
      <c r="P458" t="s">
        <v>76</v>
      </c>
      <c r="Q458" t="s">
        <v>1474</v>
      </c>
      <c r="R458" t="s">
        <v>45</v>
      </c>
      <c r="S458">
        <v>5</v>
      </c>
      <c r="T458">
        <v>2604.91</v>
      </c>
      <c r="U458" s="2">
        <f t="shared" si="83"/>
        <v>11070.867499999998</v>
      </c>
      <c r="V458" s="13">
        <v>0.15</v>
      </c>
      <c r="W458" s="2">
        <f t="shared" si="84"/>
        <v>0.15</v>
      </c>
      <c r="X458" s="2" t="str">
        <f t="shared" si="85"/>
        <v>Valid</v>
      </c>
      <c r="Y458" s="2" t="str">
        <f t="shared" si="86"/>
        <v>Clean</v>
      </c>
      <c r="Z458">
        <v>11070.87</v>
      </c>
      <c r="AA458">
        <v>6623.61</v>
      </c>
      <c r="AB458" s="2">
        <f t="shared" si="80"/>
        <v>4447.2574999999988</v>
      </c>
      <c r="AC458">
        <v>4447.26</v>
      </c>
      <c r="AD458" s="11">
        <f t="shared" si="87"/>
        <v>0.40170826682997812</v>
      </c>
      <c r="AE458" t="s">
        <v>33</v>
      </c>
      <c r="AF458" t="s">
        <v>104</v>
      </c>
    </row>
    <row r="459" spans="1:32">
      <c r="A459" t="s">
        <v>1475</v>
      </c>
      <c r="B459" s="2" t="str">
        <f t="shared" si="77"/>
        <v>Unique</v>
      </c>
      <c r="C459" s="2" t="str">
        <f t="shared" si="81"/>
        <v>May</v>
      </c>
      <c r="D459" s="2">
        <f t="shared" si="82"/>
        <v>2024</v>
      </c>
      <c r="E459" s="4">
        <v>45416</v>
      </c>
      <c r="F459" s="4">
        <v>45416</v>
      </c>
      <c r="G459" s="6">
        <f t="shared" si="78"/>
        <v>0</v>
      </c>
      <c r="H459" s="6" t="str">
        <f t="shared" si="79"/>
        <v>Valid</v>
      </c>
      <c r="I459" t="s">
        <v>1476</v>
      </c>
      <c r="J459" t="s">
        <v>37</v>
      </c>
      <c r="K459" t="s">
        <v>38</v>
      </c>
      <c r="L459" t="s">
        <v>64</v>
      </c>
      <c r="M459" t="s">
        <v>191</v>
      </c>
      <c r="O459" t="s">
        <v>42</v>
      </c>
      <c r="P459" t="s">
        <v>43</v>
      </c>
      <c r="Q459" t="s">
        <v>1477</v>
      </c>
      <c r="R459" t="s">
        <v>60</v>
      </c>
      <c r="S459">
        <v>7</v>
      </c>
      <c r="T459">
        <v>2851.51</v>
      </c>
      <c r="U459" s="2">
        <f t="shared" si="83"/>
        <v>19960.57</v>
      </c>
      <c r="V459" s="13">
        <v>0</v>
      </c>
      <c r="W459" s="2">
        <f t="shared" si="84"/>
        <v>0</v>
      </c>
      <c r="X459" s="2" t="str">
        <f t="shared" si="85"/>
        <v>Valid</v>
      </c>
      <c r="Y459" s="2" t="str">
        <f t="shared" si="86"/>
        <v>Clean</v>
      </c>
      <c r="Z459">
        <v>19960.57</v>
      </c>
      <c r="AA459">
        <v>16603.599999999999</v>
      </c>
      <c r="AB459" s="2">
        <f t="shared" si="80"/>
        <v>3356.9700000000012</v>
      </c>
      <c r="AC459">
        <v>3356.97</v>
      </c>
      <c r="AD459" s="11">
        <f t="shared" si="87"/>
        <v>0.16818006700209462</v>
      </c>
      <c r="AE459" t="s">
        <v>33</v>
      </c>
      <c r="AF459" t="s">
        <v>34</v>
      </c>
    </row>
    <row r="460" spans="1:32">
      <c r="A460" t="s">
        <v>1478</v>
      </c>
      <c r="B460" s="2" t="str">
        <f t="shared" si="77"/>
        <v>Unique</v>
      </c>
      <c r="C460" s="2" t="str">
        <f t="shared" si="81"/>
        <v>Feb</v>
      </c>
      <c r="D460" s="2">
        <f t="shared" si="82"/>
        <v>2024</v>
      </c>
      <c r="E460" s="4">
        <v>45332</v>
      </c>
      <c r="F460" s="4">
        <v>45333</v>
      </c>
      <c r="G460" s="6">
        <f t="shared" si="78"/>
        <v>1</v>
      </c>
      <c r="H460" s="6" t="str">
        <f t="shared" si="79"/>
        <v>Valid</v>
      </c>
      <c r="I460" t="s">
        <v>1479</v>
      </c>
      <c r="J460" t="s">
        <v>24</v>
      </c>
      <c r="K460" t="s">
        <v>91</v>
      </c>
      <c r="L460" t="s">
        <v>26</v>
      </c>
      <c r="M460" t="s">
        <v>27</v>
      </c>
      <c r="O460" t="s">
        <v>75</v>
      </c>
      <c r="P460" t="s">
        <v>172</v>
      </c>
      <c r="Q460" t="s">
        <v>1480</v>
      </c>
      <c r="R460" t="s">
        <v>32</v>
      </c>
      <c r="S460">
        <v>3</v>
      </c>
      <c r="T460">
        <v>3183.72</v>
      </c>
      <c r="U460" s="2">
        <f t="shared" si="83"/>
        <v>8596.0439999999999</v>
      </c>
      <c r="V460" s="13">
        <v>0.1</v>
      </c>
      <c r="W460" s="2">
        <f t="shared" si="84"/>
        <v>0.1</v>
      </c>
      <c r="X460" s="2" t="str">
        <f t="shared" si="85"/>
        <v>Valid</v>
      </c>
      <c r="Y460" s="2" t="str">
        <f t="shared" si="86"/>
        <v>Clean</v>
      </c>
      <c r="Z460">
        <v>8596.0400000000009</v>
      </c>
      <c r="AA460">
        <v>5378.16</v>
      </c>
      <c r="AB460" s="2">
        <f t="shared" si="80"/>
        <v>3217.884</v>
      </c>
      <c r="AC460">
        <v>3217.88</v>
      </c>
      <c r="AD460" s="11">
        <f t="shared" si="87"/>
        <v>0.37434446559113266</v>
      </c>
      <c r="AE460" t="s">
        <v>33</v>
      </c>
      <c r="AF460" t="s">
        <v>34</v>
      </c>
    </row>
    <row r="461" spans="1:32">
      <c r="A461" t="s">
        <v>1481</v>
      </c>
      <c r="B461" s="2" t="str">
        <f t="shared" si="77"/>
        <v>Unique</v>
      </c>
      <c r="C461" s="2" t="str">
        <f t="shared" si="81"/>
        <v>Mar</v>
      </c>
      <c r="D461" s="2">
        <f t="shared" si="82"/>
        <v>2024</v>
      </c>
      <c r="E461" s="4">
        <v>45379</v>
      </c>
      <c r="F461" s="4">
        <v>45386</v>
      </c>
      <c r="G461" s="6">
        <f t="shared" si="78"/>
        <v>7</v>
      </c>
      <c r="H461" s="6" t="str">
        <f t="shared" si="79"/>
        <v>Valid</v>
      </c>
      <c r="I461" t="s">
        <v>1482</v>
      </c>
      <c r="J461" t="s">
        <v>63</v>
      </c>
      <c r="K461" t="s">
        <v>96</v>
      </c>
      <c r="L461" t="s">
        <v>64</v>
      </c>
      <c r="M461" t="s">
        <v>191</v>
      </c>
      <c r="O461" t="s">
        <v>29</v>
      </c>
      <c r="P461" t="s">
        <v>30</v>
      </c>
      <c r="Q461" t="s">
        <v>1483</v>
      </c>
      <c r="R461" t="s">
        <v>51</v>
      </c>
      <c r="S461">
        <v>3</v>
      </c>
      <c r="T461">
        <v>1150.92</v>
      </c>
      <c r="U461" s="2">
        <f t="shared" si="83"/>
        <v>3452.76</v>
      </c>
      <c r="V461" s="13">
        <v>0</v>
      </c>
      <c r="W461" s="2">
        <f t="shared" si="84"/>
        <v>0</v>
      </c>
      <c r="X461" s="2" t="str">
        <f t="shared" si="85"/>
        <v>Valid</v>
      </c>
      <c r="Y461" s="2" t="str">
        <f t="shared" si="86"/>
        <v>Clean</v>
      </c>
      <c r="Z461">
        <v>3452.76</v>
      </c>
      <c r="AA461">
        <v>2077.96</v>
      </c>
      <c r="AB461" s="2">
        <f t="shared" si="80"/>
        <v>1374.8000000000002</v>
      </c>
      <c r="AC461">
        <v>1374.8</v>
      </c>
      <c r="AD461" s="11">
        <f t="shared" si="87"/>
        <v>0.39817421425178695</v>
      </c>
      <c r="AE461" t="s">
        <v>33</v>
      </c>
      <c r="AF461" t="s">
        <v>34</v>
      </c>
    </row>
    <row r="462" spans="1:32">
      <c r="A462" t="s">
        <v>1484</v>
      </c>
      <c r="B462" s="2" t="str">
        <f t="shared" si="77"/>
        <v>Unique</v>
      </c>
      <c r="C462" s="2" t="str">
        <f t="shared" si="81"/>
        <v>Sep</v>
      </c>
      <c r="D462" s="2">
        <f t="shared" si="82"/>
        <v>2025</v>
      </c>
      <c r="E462" s="4">
        <v>45930</v>
      </c>
      <c r="F462" s="4">
        <v>45936</v>
      </c>
      <c r="G462" s="6">
        <f t="shared" si="78"/>
        <v>6</v>
      </c>
      <c r="H462" s="6" t="str">
        <f t="shared" si="79"/>
        <v>Valid</v>
      </c>
      <c r="I462" t="s">
        <v>1485</v>
      </c>
      <c r="J462" t="s">
        <v>129</v>
      </c>
      <c r="K462" t="s">
        <v>91</v>
      </c>
      <c r="L462" s="2" t="s">
        <v>2793</v>
      </c>
      <c r="M462" t="s">
        <v>27</v>
      </c>
      <c r="O462" t="s">
        <v>75</v>
      </c>
      <c r="P462" t="s">
        <v>81</v>
      </c>
      <c r="Q462" t="s">
        <v>1486</v>
      </c>
      <c r="R462" t="s">
        <v>32</v>
      </c>
      <c r="S462">
        <v>9</v>
      </c>
      <c r="T462">
        <v>1359.88</v>
      </c>
      <c r="U462" s="2">
        <f t="shared" si="83"/>
        <v>11626.974000000002</v>
      </c>
      <c r="V462" s="13">
        <v>0.05</v>
      </c>
      <c r="W462" s="2">
        <f t="shared" si="84"/>
        <v>0.05</v>
      </c>
      <c r="X462" s="2" t="str">
        <f t="shared" si="85"/>
        <v>Valid</v>
      </c>
      <c r="Y462" s="2" t="str">
        <f t="shared" si="86"/>
        <v>Clean</v>
      </c>
      <c r="Z462">
        <v>11626.97</v>
      </c>
      <c r="AA462">
        <v>7394.07</v>
      </c>
      <c r="AB462" s="2">
        <f t="shared" si="80"/>
        <v>4232.9040000000023</v>
      </c>
      <c r="AC462">
        <v>4232.8999999999996</v>
      </c>
      <c r="AD462" s="11">
        <f t="shared" si="87"/>
        <v>0.36405873585293502</v>
      </c>
      <c r="AE462" t="s">
        <v>33</v>
      </c>
      <c r="AF462" t="s">
        <v>34</v>
      </c>
    </row>
    <row r="463" spans="1:32">
      <c r="A463" t="s">
        <v>1487</v>
      </c>
      <c r="B463" s="2" t="str">
        <f t="shared" si="77"/>
        <v>Unique</v>
      </c>
      <c r="C463" s="2" t="str">
        <f t="shared" si="81"/>
        <v>May</v>
      </c>
      <c r="D463" s="2">
        <f t="shared" si="82"/>
        <v>2025</v>
      </c>
      <c r="E463" s="4">
        <v>45802</v>
      </c>
      <c r="F463" s="4">
        <v>45803</v>
      </c>
      <c r="G463" s="6">
        <f t="shared" si="78"/>
        <v>1</v>
      </c>
      <c r="H463" s="6" t="str">
        <f t="shared" si="79"/>
        <v>Valid</v>
      </c>
      <c r="I463" t="s">
        <v>1488</v>
      </c>
      <c r="J463" t="s">
        <v>80</v>
      </c>
      <c r="K463" t="s">
        <v>91</v>
      </c>
      <c r="L463" t="s">
        <v>55</v>
      </c>
      <c r="M463" t="s">
        <v>85</v>
      </c>
      <c r="O463" t="s">
        <v>29</v>
      </c>
      <c r="P463" t="s">
        <v>30</v>
      </c>
      <c r="Q463" t="s">
        <v>1489</v>
      </c>
      <c r="R463" t="s">
        <v>60</v>
      </c>
      <c r="S463">
        <v>3</v>
      </c>
      <c r="T463">
        <v>3378.15</v>
      </c>
      <c r="U463" s="2">
        <f t="shared" si="83"/>
        <v>8614.2825000000012</v>
      </c>
      <c r="V463" s="13">
        <v>0.15</v>
      </c>
      <c r="W463" s="2">
        <f t="shared" si="84"/>
        <v>0.15</v>
      </c>
      <c r="X463" s="2" t="str">
        <f t="shared" si="85"/>
        <v>Valid</v>
      </c>
      <c r="Y463" s="2" t="str">
        <f t="shared" si="86"/>
        <v>Clean</v>
      </c>
      <c r="Z463">
        <v>8614.2800000000007</v>
      </c>
      <c r="AA463">
        <v>7052.08</v>
      </c>
      <c r="AB463" s="2">
        <f t="shared" si="80"/>
        <v>1562.2025000000012</v>
      </c>
      <c r="AC463">
        <v>1562.2</v>
      </c>
      <c r="AD463" s="11">
        <f t="shared" si="87"/>
        <v>0.18135003737979261</v>
      </c>
      <c r="AE463" t="s">
        <v>33</v>
      </c>
      <c r="AF463" t="s">
        <v>34</v>
      </c>
    </row>
    <row r="464" spans="1:32">
      <c r="A464" t="s">
        <v>1490</v>
      </c>
      <c r="B464" s="2" t="str">
        <f t="shared" si="77"/>
        <v>Unique</v>
      </c>
      <c r="C464" s="2" t="str">
        <f t="shared" si="81"/>
        <v>Sep</v>
      </c>
      <c r="D464" s="2">
        <f t="shared" si="82"/>
        <v>2024</v>
      </c>
      <c r="E464" s="4">
        <v>45558</v>
      </c>
      <c r="F464" s="4">
        <v>45560</v>
      </c>
      <c r="G464" s="6">
        <f t="shared" si="78"/>
        <v>2</v>
      </c>
      <c r="H464" s="6" t="str">
        <f t="shared" si="79"/>
        <v>Valid</v>
      </c>
      <c r="I464" t="s">
        <v>1491</v>
      </c>
      <c r="J464" t="s">
        <v>129</v>
      </c>
      <c r="K464" t="s">
        <v>96</v>
      </c>
      <c r="L464" t="s">
        <v>26</v>
      </c>
      <c r="M464" t="s">
        <v>351</v>
      </c>
      <c r="O464" t="s">
        <v>29</v>
      </c>
      <c r="P464" t="s">
        <v>154</v>
      </c>
      <c r="Q464" t="s">
        <v>1492</v>
      </c>
      <c r="R464" t="s">
        <v>51</v>
      </c>
      <c r="S464">
        <v>2</v>
      </c>
      <c r="T464">
        <v>1275.1400000000001</v>
      </c>
      <c r="U464" s="2">
        <f t="shared" si="83"/>
        <v>2040.2240000000002</v>
      </c>
      <c r="V464" s="13">
        <v>0.2</v>
      </c>
      <c r="W464" s="2">
        <f t="shared" si="84"/>
        <v>0.2</v>
      </c>
      <c r="X464" s="2" t="str">
        <f t="shared" si="85"/>
        <v>Valid</v>
      </c>
      <c r="Y464" s="2" t="str">
        <f t="shared" si="86"/>
        <v>Clean</v>
      </c>
      <c r="Z464">
        <v>2040.22</v>
      </c>
      <c r="AA464">
        <v>1395.71</v>
      </c>
      <c r="AB464" s="2">
        <f t="shared" si="80"/>
        <v>644.51400000000012</v>
      </c>
      <c r="AC464">
        <v>644.51</v>
      </c>
      <c r="AD464" s="11">
        <f t="shared" si="87"/>
        <v>0.31590220662477575</v>
      </c>
      <c r="AE464" t="s">
        <v>33</v>
      </c>
      <c r="AF464" t="s">
        <v>34</v>
      </c>
    </row>
    <row r="465" spans="1:32">
      <c r="A465" t="s">
        <v>1493</v>
      </c>
      <c r="B465" s="2" t="str">
        <f t="shared" si="77"/>
        <v>Unique</v>
      </c>
      <c r="C465" s="2" t="str">
        <f t="shared" si="81"/>
        <v>Feb</v>
      </c>
      <c r="D465" s="2">
        <f t="shared" si="82"/>
        <v>2025</v>
      </c>
      <c r="E465" s="4">
        <v>45695</v>
      </c>
      <c r="F465" s="4">
        <v>45696</v>
      </c>
      <c r="G465" s="6">
        <f t="shared" si="78"/>
        <v>1</v>
      </c>
      <c r="H465" s="6" t="str">
        <f t="shared" si="79"/>
        <v>Valid</v>
      </c>
      <c r="I465" t="s">
        <v>1494</v>
      </c>
      <c r="J465" t="s">
        <v>54</v>
      </c>
      <c r="K465" t="s">
        <v>91</v>
      </c>
      <c r="L465" t="s">
        <v>64</v>
      </c>
      <c r="M465" t="s">
        <v>73</v>
      </c>
      <c r="O465" t="s">
        <v>75</v>
      </c>
      <c r="P465" t="s">
        <v>172</v>
      </c>
      <c r="Q465" t="s">
        <v>1495</v>
      </c>
      <c r="R465" t="s">
        <v>60</v>
      </c>
      <c r="S465">
        <v>4</v>
      </c>
      <c r="T465">
        <v>889.5</v>
      </c>
      <c r="U465" s="2">
        <f t="shared" si="83"/>
        <v>2846.4</v>
      </c>
      <c r="V465" s="13">
        <v>0.2</v>
      </c>
      <c r="W465" s="2">
        <f t="shared" si="84"/>
        <v>0.2</v>
      </c>
      <c r="X465" s="2" t="str">
        <f t="shared" si="85"/>
        <v>Valid</v>
      </c>
      <c r="Y465" s="2" t="str">
        <f t="shared" si="86"/>
        <v>Clean</v>
      </c>
      <c r="Z465">
        <v>2846.4</v>
      </c>
      <c r="AA465">
        <v>2132.37</v>
      </c>
      <c r="AB465" s="2">
        <f t="shared" si="80"/>
        <v>714.0300000000002</v>
      </c>
      <c r="AC465">
        <v>714.03</v>
      </c>
      <c r="AD465" s="11">
        <f t="shared" si="87"/>
        <v>0.25085370994940975</v>
      </c>
      <c r="AE465" t="s">
        <v>33</v>
      </c>
      <c r="AF465" t="s">
        <v>34</v>
      </c>
    </row>
    <row r="466" spans="1:32">
      <c r="A466" t="s">
        <v>1496</v>
      </c>
      <c r="B466" s="2" t="str">
        <f t="shared" si="77"/>
        <v>Unique</v>
      </c>
      <c r="C466" s="2" t="str">
        <f t="shared" si="81"/>
        <v>Mar</v>
      </c>
      <c r="D466" s="2">
        <f t="shared" si="82"/>
        <v>2025</v>
      </c>
      <c r="E466" s="4">
        <v>45727</v>
      </c>
      <c r="F466" s="4">
        <v>45731</v>
      </c>
      <c r="G466" s="6">
        <f t="shared" si="78"/>
        <v>4</v>
      </c>
      <c r="H466" s="6" t="str">
        <f t="shared" si="79"/>
        <v>Valid</v>
      </c>
      <c r="I466" t="s">
        <v>1497</v>
      </c>
      <c r="J466" t="s">
        <v>54</v>
      </c>
      <c r="K466" t="s">
        <v>91</v>
      </c>
      <c r="L466" t="s">
        <v>39</v>
      </c>
      <c r="M466" t="s">
        <v>146</v>
      </c>
      <c r="O466" t="s">
        <v>29</v>
      </c>
      <c r="P466" t="s">
        <v>30</v>
      </c>
      <c r="Q466" t="s">
        <v>1498</v>
      </c>
      <c r="R466" t="s">
        <v>45</v>
      </c>
      <c r="S466">
        <v>3</v>
      </c>
      <c r="T466">
        <v>3625.08</v>
      </c>
      <c r="U466" s="2">
        <f t="shared" si="83"/>
        <v>10331.477999999999</v>
      </c>
      <c r="V466" s="13">
        <v>0.05</v>
      </c>
      <c r="W466" s="2">
        <f t="shared" si="84"/>
        <v>0.05</v>
      </c>
      <c r="X466" s="2" t="str">
        <f t="shared" si="85"/>
        <v>Valid</v>
      </c>
      <c r="Y466" s="2" t="str">
        <f t="shared" si="86"/>
        <v>Clean</v>
      </c>
      <c r="Z466">
        <v>10331.48</v>
      </c>
      <c r="AA466">
        <v>7131.91</v>
      </c>
      <c r="AB466" s="2">
        <f t="shared" si="80"/>
        <v>3199.5679999999993</v>
      </c>
      <c r="AC466">
        <v>3199.57</v>
      </c>
      <c r="AD466" s="11">
        <f t="shared" si="87"/>
        <v>0.30969135109393819</v>
      </c>
      <c r="AE466" t="s">
        <v>112</v>
      </c>
      <c r="AF466" t="s">
        <v>69</v>
      </c>
    </row>
    <row r="467" spans="1:32">
      <c r="A467" t="s">
        <v>1499</v>
      </c>
      <c r="B467" s="2" t="str">
        <f t="shared" si="77"/>
        <v>Unique</v>
      </c>
      <c r="C467" s="2" t="str">
        <f t="shared" si="81"/>
        <v>Jan</v>
      </c>
      <c r="D467" s="2">
        <f t="shared" si="82"/>
        <v>2024</v>
      </c>
      <c r="E467" s="4">
        <v>45320</v>
      </c>
      <c r="F467" s="4">
        <v>45328</v>
      </c>
      <c r="G467" s="6">
        <f t="shared" si="78"/>
        <v>8</v>
      </c>
      <c r="H467" s="6" t="str">
        <f t="shared" si="79"/>
        <v>Valid</v>
      </c>
      <c r="I467" t="s">
        <v>1500</v>
      </c>
      <c r="J467" t="s">
        <v>129</v>
      </c>
      <c r="K467" t="s">
        <v>38</v>
      </c>
      <c r="L467" t="s">
        <v>64</v>
      </c>
      <c r="M467" t="s">
        <v>73</v>
      </c>
      <c r="O467" t="s">
        <v>29</v>
      </c>
      <c r="P467" t="s">
        <v>92</v>
      </c>
      <c r="Q467" t="s">
        <v>1501</v>
      </c>
      <c r="R467" t="s">
        <v>60</v>
      </c>
      <c r="S467">
        <v>2</v>
      </c>
      <c r="T467">
        <v>1258.9000000000001</v>
      </c>
      <c r="U467" s="2">
        <f t="shared" si="83"/>
        <v>2517.8000000000002</v>
      </c>
      <c r="V467" s="13">
        <v>0</v>
      </c>
      <c r="W467" s="2">
        <f t="shared" si="84"/>
        <v>0</v>
      </c>
      <c r="X467" s="2" t="str">
        <f t="shared" si="85"/>
        <v>Valid</v>
      </c>
      <c r="Y467" s="2" t="str">
        <f t="shared" si="86"/>
        <v>Clean</v>
      </c>
      <c r="Z467">
        <v>2517.8000000000002</v>
      </c>
      <c r="AA467">
        <v>1478.54</v>
      </c>
      <c r="AB467" s="2">
        <f t="shared" si="80"/>
        <v>1039.2600000000002</v>
      </c>
      <c r="AC467">
        <v>1039.26</v>
      </c>
      <c r="AD467" s="11">
        <f t="shared" si="87"/>
        <v>0.41276511239971403</v>
      </c>
      <c r="AE467" t="s">
        <v>33</v>
      </c>
      <c r="AF467" t="s">
        <v>34</v>
      </c>
    </row>
    <row r="468" spans="1:32">
      <c r="A468" t="s">
        <v>1502</v>
      </c>
      <c r="B468" s="2" t="str">
        <f t="shared" si="77"/>
        <v>Unique</v>
      </c>
      <c r="C468" s="2" t="str">
        <f t="shared" si="81"/>
        <v>Jan</v>
      </c>
      <c r="D468" s="2">
        <f t="shared" si="82"/>
        <v>2024</v>
      </c>
      <c r="E468" s="4">
        <v>45295</v>
      </c>
      <c r="F468" s="4">
        <v>45299</v>
      </c>
      <c r="G468" s="6">
        <f t="shared" si="78"/>
        <v>4</v>
      </c>
      <c r="H468" s="6" t="str">
        <f t="shared" si="79"/>
        <v>Valid</v>
      </c>
      <c r="I468" t="s">
        <v>1503</v>
      </c>
      <c r="J468" t="s">
        <v>37</v>
      </c>
      <c r="K468" t="s">
        <v>38</v>
      </c>
      <c r="L468" t="s">
        <v>39</v>
      </c>
      <c r="M468" t="s">
        <v>146</v>
      </c>
      <c r="O468" t="s">
        <v>75</v>
      </c>
      <c r="P468" t="s">
        <v>76</v>
      </c>
      <c r="Q468" t="s">
        <v>1504</v>
      </c>
      <c r="R468" t="s">
        <v>45</v>
      </c>
      <c r="S468">
        <v>9</v>
      </c>
      <c r="T468">
        <v>1591.96</v>
      </c>
      <c r="U468" s="2">
        <f t="shared" si="83"/>
        <v>11462.112000000001</v>
      </c>
      <c r="V468" s="13">
        <v>0.2</v>
      </c>
      <c r="W468" s="2">
        <f t="shared" si="84"/>
        <v>0.2</v>
      </c>
      <c r="X468" s="2" t="str">
        <f t="shared" si="85"/>
        <v>Valid</v>
      </c>
      <c r="Y468" s="2" t="str">
        <f t="shared" si="86"/>
        <v>Clean</v>
      </c>
      <c r="Z468">
        <v>11462.11</v>
      </c>
      <c r="AA468">
        <v>7105.48</v>
      </c>
      <c r="AB468" s="2">
        <f t="shared" si="80"/>
        <v>4356.6320000000014</v>
      </c>
      <c r="AC468">
        <v>4356.63</v>
      </c>
      <c r="AD468" s="11">
        <f t="shared" si="87"/>
        <v>0.38008970425166044</v>
      </c>
      <c r="AE468" t="s">
        <v>33</v>
      </c>
      <c r="AF468" t="s">
        <v>34</v>
      </c>
    </row>
    <row r="469" spans="1:32">
      <c r="A469" t="s">
        <v>1505</v>
      </c>
      <c r="B469" s="2" t="str">
        <f t="shared" si="77"/>
        <v>Unique</v>
      </c>
      <c r="C469" s="2" t="str">
        <f t="shared" si="81"/>
        <v>Aug</v>
      </c>
      <c r="D469" s="2">
        <f t="shared" si="82"/>
        <v>2024</v>
      </c>
      <c r="E469" s="4">
        <v>45524</v>
      </c>
      <c r="F469" s="4">
        <v>45525</v>
      </c>
      <c r="G469" s="6">
        <f t="shared" si="78"/>
        <v>1</v>
      </c>
      <c r="H469" s="6" t="str">
        <f t="shared" si="79"/>
        <v>Valid</v>
      </c>
      <c r="I469" t="s">
        <v>1506</v>
      </c>
      <c r="J469" t="s">
        <v>90</v>
      </c>
      <c r="K469" t="s">
        <v>91</v>
      </c>
      <c r="L469" t="s">
        <v>39</v>
      </c>
      <c r="M469" t="s">
        <v>40</v>
      </c>
      <c r="O469" t="s">
        <v>75</v>
      </c>
      <c r="P469" t="s">
        <v>81</v>
      </c>
      <c r="Q469" t="s">
        <v>1507</v>
      </c>
      <c r="R469" t="s">
        <v>51</v>
      </c>
      <c r="S469">
        <v>5</v>
      </c>
      <c r="T469">
        <v>4288.33</v>
      </c>
      <c r="U469" s="2">
        <f t="shared" si="83"/>
        <v>19297.485000000001</v>
      </c>
      <c r="V469" s="13">
        <v>0.1</v>
      </c>
      <c r="W469" s="2">
        <f t="shared" si="84"/>
        <v>0.1</v>
      </c>
      <c r="X469" s="2" t="str">
        <f t="shared" si="85"/>
        <v>Valid</v>
      </c>
      <c r="Y469" s="2" t="str">
        <f t="shared" si="86"/>
        <v>Clean</v>
      </c>
      <c r="Z469">
        <v>19297.490000000002</v>
      </c>
      <c r="AA469">
        <v>15451.66</v>
      </c>
      <c r="AB469" s="2">
        <f t="shared" si="80"/>
        <v>3845.8250000000007</v>
      </c>
      <c r="AC469">
        <v>3845.83</v>
      </c>
      <c r="AD469" s="11">
        <f t="shared" si="87"/>
        <v>0.19929172135858081</v>
      </c>
      <c r="AE469" t="s">
        <v>103</v>
      </c>
      <c r="AF469" t="s">
        <v>69</v>
      </c>
    </row>
    <row r="470" spans="1:32">
      <c r="A470" t="s">
        <v>1508</v>
      </c>
      <c r="B470" s="2" t="str">
        <f t="shared" si="77"/>
        <v>Unique</v>
      </c>
      <c r="C470" s="2" t="str">
        <f t="shared" si="81"/>
        <v>Jan</v>
      </c>
      <c r="D470" s="2">
        <f t="shared" si="82"/>
        <v>2025</v>
      </c>
      <c r="E470" s="4">
        <v>45666</v>
      </c>
      <c r="F470" s="4">
        <v>45664</v>
      </c>
      <c r="G470" s="6">
        <f t="shared" si="78"/>
        <v>-2</v>
      </c>
      <c r="H470" s="6" t="str">
        <f t="shared" si="79"/>
        <v>Invalid: Ship Date Before Order Date</v>
      </c>
      <c r="I470" t="s">
        <v>1509</v>
      </c>
      <c r="J470" t="s">
        <v>129</v>
      </c>
      <c r="K470" t="s">
        <v>96</v>
      </c>
      <c r="L470" t="s">
        <v>39</v>
      </c>
      <c r="M470" t="s">
        <v>100</v>
      </c>
      <c r="O470" t="s">
        <v>29</v>
      </c>
      <c r="P470" t="s">
        <v>154</v>
      </c>
      <c r="Q470" t="s">
        <v>1510</v>
      </c>
      <c r="R470" t="s">
        <v>32</v>
      </c>
      <c r="S470">
        <v>3</v>
      </c>
      <c r="T470">
        <v>2188.33</v>
      </c>
      <c r="U470" s="2">
        <f t="shared" si="83"/>
        <v>6564.99</v>
      </c>
      <c r="V470" s="13">
        <v>0</v>
      </c>
      <c r="W470" s="2">
        <f t="shared" si="84"/>
        <v>0</v>
      </c>
      <c r="X470" s="2" t="str">
        <f t="shared" si="85"/>
        <v>Valid</v>
      </c>
      <c r="Y470" s="2" t="str">
        <f t="shared" si="86"/>
        <v>Invalid</v>
      </c>
      <c r="Z470">
        <v>6564.99</v>
      </c>
      <c r="AA470">
        <v>5407.24</v>
      </c>
      <c r="AB470" s="2">
        <f t="shared" si="80"/>
        <v>1157.75</v>
      </c>
      <c r="AC470">
        <v>1157.75</v>
      </c>
      <c r="AD470" s="11">
        <f t="shared" si="87"/>
        <v>0.17635213458055535</v>
      </c>
      <c r="AE470" t="s">
        <v>33</v>
      </c>
      <c r="AF470" t="s">
        <v>34</v>
      </c>
    </row>
    <row r="471" spans="1:32">
      <c r="A471" t="s">
        <v>1511</v>
      </c>
      <c r="B471" s="2" t="str">
        <f t="shared" si="77"/>
        <v>Unique</v>
      </c>
      <c r="C471" s="2" t="str">
        <f t="shared" si="81"/>
        <v>Jan</v>
      </c>
      <c r="D471" s="2">
        <f t="shared" si="82"/>
        <v>2024</v>
      </c>
      <c r="E471" s="4">
        <v>45310</v>
      </c>
      <c r="F471" s="4">
        <v>45316</v>
      </c>
      <c r="G471" s="6">
        <f t="shared" si="78"/>
        <v>6</v>
      </c>
      <c r="H471" s="6" t="str">
        <f t="shared" si="79"/>
        <v>Valid</v>
      </c>
      <c r="I471" t="s">
        <v>1512</v>
      </c>
      <c r="J471" t="s">
        <v>90</v>
      </c>
      <c r="K471" t="s">
        <v>91</v>
      </c>
      <c r="L471" t="s">
        <v>64</v>
      </c>
      <c r="M471" t="s">
        <v>191</v>
      </c>
      <c r="O471" t="s">
        <v>75</v>
      </c>
      <c r="P471" t="s">
        <v>81</v>
      </c>
      <c r="Q471" t="s">
        <v>1513</v>
      </c>
      <c r="R471" t="s">
        <v>51</v>
      </c>
      <c r="S471">
        <v>3</v>
      </c>
      <c r="T471">
        <v>1041.6600000000001</v>
      </c>
      <c r="U471" s="2">
        <f t="shared" si="83"/>
        <v>2812.4820000000004</v>
      </c>
      <c r="V471" s="13">
        <v>0.1</v>
      </c>
      <c r="W471" s="2">
        <f t="shared" si="84"/>
        <v>0.1</v>
      </c>
      <c r="X471" s="2" t="str">
        <f t="shared" si="85"/>
        <v>Valid</v>
      </c>
      <c r="Y471" s="2" t="str">
        <f t="shared" si="86"/>
        <v>Clean</v>
      </c>
      <c r="Z471">
        <v>2812.48</v>
      </c>
      <c r="AA471">
        <v>2282.12</v>
      </c>
      <c r="AB471" s="2">
        <f t="shared" si="80"/>
        <v>530.36200000000053</v>
      </c>
      <c r="AC471">
        <v>530.36</v>
      </c>
      <c r="AD471" s="11">
        <f t="shared" si="87"/>
        <v>0.18857378541358516</v>
      </c>
      <c r="AE471" t="s">
        <v>33</v>
      </c>
      <c r="AF471" t="s">
        <v>34</v>
      </c>
    </row>
    <row r="472" spans="1:32">
      <c r="A472" t="s">
        <v>1514</v>
      </c>
      <c r="B472" s="2" t="str">
        <f t="shared" si="77"/>
        <v>Unique</v>
      </c>
      <c r="C472" s="2" t="str">
        <f t="shared" si="81"/>
        <v>Jul</v>
      </c>
      <c r="D472" s="2">
        <f t="shared" si="82"/>
        <v>2024</v>
      </c>
      <c r="E472" s="4">
        <v>45501</v>
      </c>
      <c r="F472" s="4">
        <v>45504</v>
      </c>
      <c r="G472" s="6">
        <f t="shared" si="78"/>
        <v>3</v>
      </c>
      <c r="H472" s="6" t="str">
        <f t="shared" si="79"/>
        <v>Valid</v>
      </c>
      <c r="I472" t="s">
        <v>1515</v>
      </c>
      <c r="J472" t="s">
        <v>90</v>
      </c>
      <c r="K472" t="s">
        <v>25</v>
      </c>
      <c r="L472" t="s">
        <v>26</v>
      </c>
      <c r="M472" t="s">
        <v>27</v>
      </c>
      <c r="O472" t="s">
        <v>42</v>
      </c>
      <c r="P472" t="s">
        <v>43</v>
      </c>
      <c r="Q472" t="s">
        <v>1516</v>
      </c>
      <c r="R472" t="s">
        <v>45</v>
      </c>
      <c r="S472">
        <v>2</v>
      </c>
      <c r="T472">
        <v>4424.78</v>
      </c>
      <c r="U472" s="2">
        <f t="shared" si="83"/>
        <v>7079.6480000000001</v>
      </c>
      <c r="V472" s="13">
        <v>0.2</v>
      </c>
      <c r="W472" s="2">
        <f t="shared" si="84"/>
        <v>0.2</v>
      </c>
      <c r="X472" s="2" t="str">
        <f t="shared" si="85"/>
        <v>Valid</v>
      </c>
      <c r="Y472" s="2" t="str">
        <f t="shared" si="86"/>
        <v>Clean</v>
      </c>
      <c r="Z472">
        <v>7079.65</v>
      </c>
      <c r="AA472">
        <v>4465.91</v>
      </c>
      <c r="AB472" s="2">
        <f t="shared" si="80"/>
        <v>2613.7380000000003</v>
      </c>
      <c r="AC472">
        <v>2613.7399999999998</v>
      </c>
      <c r="AD472" s="11">
        <f t="shared" si="87"/>
        <v>0.36919056733030586</v>
      </c>
      <c r="AE472" t="s">
        <v>33</v>
      </c>
      <c r="AF472" t="s">
        <v>34</v>
      </c>
    </row>
    <row r="473" spans="1:32">
      <c r="A473" t="s">
        <v>1517</v>
      </c>
      <c r="B473" s="2" t="str">
        <f t="shared" si="77"/>
        <v>Unique</v>
      </c>
      <c r="C473" s="2" t="str">
        <f t="shared" si="81"/>
        <v>Feb</v>
      </c>
      <c r="D473" s="2">
        <f t="shared" si="82"/>
        <v>2024</v>
      </c>
      <c r="E473" s="4">
        <v>45333</v>
      </c>
      <c r="F473" s="4">
        <v>45337</v>
      </c>
      <c r="G473" s="6">
        <f t="shared" si="78"/>
        <v>4</v>
      </c>
      <c r="H473" s="6" t="str">
        <f t="shared" si="79"/>
        <v>Valid</v>
      </c>
      <c r="I473" t="s">
        <v>1518</v>
      </c>
      <c r="J473" t="s">
        <v>265</v>
      </c>
      <c r="K473" t="s">
        <v>25</v>
      </c>
      <c r="L473" t="s">
        <v>55</v>
      </c>
      <c r="M473" t="s">
        <v>56</v>
      </c>
      <c r="O473" t="s">
        <v>29</v>
      </c>
      <c r="P473" t="s">
        <v>154</v>
      </c>
      <c r="Q473" t="s">
        <v>1519</v>
      </c>
      <c r="R473" t="s">
        <v>60</v>
      </c>
      <c r="S473">
        <v>3</v>
      </c>
      <c r="T473">
        <v>3019.14</v>
      </c>
      <c r="U473" s="2">
        <f t="shared" si="83"/>
        <v>6793.0650000000005</v>
      </c>
      <c r="V473" s="13">
        <v>0.25</v>
      </c>
      <c r="W473" s="2">
        <f t="shared" si="84"/>
        <v>0.25</v>
      </c>
      <c r="X473" s="2" t="str">
        <f t="shared" si="85"/>
        <v>Valid</v>
      </c>
      <c r="Y473" s="2" t="str">
        <f t="shared" si="86"/>
        <v>Clean</v>
      </c>
      <c r="Z473">
        <v>6793.07</v>
      </c>
      <c r="AA473">
        <v>4985.22</v>
      </c>
      <c r="AB473" s="2">
        <f t="shared" si="80"/>
        <v>1807.8450000000003</v>
      </c>
      <c r="AC473">
        <v>1807.85</v>
      </c>
      <c r="AD473" s="11">
        <f t="shared" si="87"/>
        <v>0.26613151343943164</v>
      </c>
      <c r="AE473" t="s">
        <v>33</v>
      </c>
      <c r="AF473" t="s">
        <v>34</v>
      </c>
    </row>
    <row r="474" spans="1:32">
      <c r="A474" t="s">
        <v>1520</v>
      </c>
      <c r="B474" s="2" t="str">
        <f t="shared" si="77"/>
        <v>Unique</v>
      </c>
      <c r="C474" s="2" t="str">
        <f t="shared" si="81"/>
        <v>Mar</v>
      </c>
      <c r="D474" s="2">
        <f t="shared" si="82"/>
        <v>2024</v>
      </c>
      <c r="E474" s="4">
        <v>45353</v>
      </c>
      <c r="F474" s="4">
        <v>45358</v>
      </c>
      <c r="G474" s="6">
        <f t="shared" si="78"/>
        <v>5</v>
      </c>
      <c r="H474" s="6" t="str">
        <f t="shared" si="79"/>
        <v>Valid</v>
      </c>
      <c r="I474" t="s">
        <v>1521</v>
      </c>
      <c r="J474" t="s">
        <v>142</v>
      </c>
      <c r="K474" t="s">
        <v>91</v>
      </c>
      <c r="L474" t="s">
        <v>39</v>
      </c>
      <c r="M474" t="s">
        <v>40</v>
      </c>
      <c r="O474" t="s">
        <v>29</v>
      </c>
      <c r="P474" t="s">
        <v>125</v>
      </c>
      <c r="Q474" t="s">
        <v>1522</v>
      </c>
      <c r="R474" t="s">
        <v>60</v>
      </c>
      <c r="S474">
        <v>7</v>
      </c>
      <c r="T474">
        <v>263.45999999999998</v>
      </c>
      <c r="U474" s="2">
        <f t="shared" si="83"/>
        <v>1844.2199999999998</v>
      </c>
      <c r="V474" s="13">
        <v>0</v>
      </c>
      <c r="W474" s="2">
        <f t="shared" si="84"/>
        <v>0</v>
      </c>
      <c r="X474" s="2" t="str">
        <f t="shared" si="85"/>
        <v>Valid</v>
      </c>
      <c r="Y474" s="2" t="str">
        <f t="shared" si="86"/>
        <v>Clean</v>
      </c>
      <c r="Z474">
        <v>1844.22</v>
      </c>
      <c r="AA474">
        <v>1094.21</v>
      </c>
      <c r="AB474" s="2">
        <f t="shared" si="80"/>
        <v>750.00999999999976</v>
      </c>
      <c r="AC474">
        <v>750.01</v>
      </c>
      <c r="AD474" s="11">
        <f t="shared" si="87"/>
        <v>0.40668141544934983</v>
      </c>
      <c r="AE474" t="s">
        <v>33</v>
      </c>
      <c r="AF474" t="s">
        <v>34</v>
      </c>
    </row>
    <row r="475" spans="1:32">
      <c r="A475" t="s">
        <v>1523</v>
      </c>
      <c r="B475" s="2" t="str">
        <f t="shared" si="77"/>
        <v>Unique</v>
      </c>
      <c r="C475" s="2" t="str">
        <f t="shared" si="81"/>
        <v>Nov</v>
      </c>
      <c r="D475" s="2">
        <f t="shared" si="82"/>
        <v>2024</v>
      </c>
      <c r="E475" s="4">
        <v>45609</v>
      </c>
      <c r="F475" s="4">
        <v>45609</v>
      </c>
      <c r="G475" s="6">
        <f t="shared" si="78"/>
        <v>0</v>
      </c>
      <c r="H475" s="6" t="str">
        <f t="shared" si="79"/>
        <v>Valid</v>
      </c>
      <c r="I475" t="s">
        <v>1524</v>
      </c>
      <c r="J475" t="s">
        <v>115</v>
      </c>
      <c r="K475" t="s">
        <v>25</v>
      </c>
      <c r="L475" t="s">
        <v>64</v>
      </c>
      <c r="M475" t="s">
        <v>191</v>
      </c>
      <c r="O475" t="s">
        <v>75</v>
      </c>
      <c r="P475" t="s">
        <v>81</v>
      </c>
      <c r="Q475" t="s">
        <v>1525</v>
      </c>
      <c r="R475" t="s">
        <v>60</v>
      </c>
      <c r="S475">
        <v>6</v>
      </c>
      <c r="T475">
        <v>191.45</v>
      </c>
      <c r="U475" s="2">
        <f t="shared" si="83"/>
        <v>918.95999999999992</v>
      </c>
      <c r="V475" s="13">
        <v>0.2</v>
      </c>
      <c r="W475" s="2">
        <f t="shared" si="84"/>
        <v>0.2</v>
      </c>
      <c r="X475" s="2" t="str">
        <f t="shared" si="85"/>
        <v>Valid</v>
      </c>
      <c r="Y475" s="2" t="str">
        <f t="shared" si="86"/>
        <v>Clean</v>
      </c>
      <c r="Z475">
        <v>918.96</v>
      </c>
      <c r="AA475">
        <v>554.17999999999995</v>
      </c>
      <c r="AB475" s="2">
        <f t="shared" si="80"/>
        <v>364.78</v>
      </c>
      <c r="AC475">
        <v>364.78</v>
      </c>
      <c r="AD475" s="11">
        <f t="shared" si="87"/>
        <v>0.39694872464525111</v>
      </c>
      <c r="AE475" t="s">
        <v>33</v>
      </c>
      <c r="AF475" t="s">
        <v>34</v>
      </c>
    </row>
    <row r="476" spans="1:32">
      <c r="A476" t="s">
        <v>1526</v>
      </c>
      <c r="B476" s="2" t="str">
        <f t="shared" si="77"/>
        <v>Unique</v>
      </c>
      <c r="C476" s="2" t="str">
        <f t="shared" si="81"/>
        <v>Jun</v>
      </c>
      <c r="D476" s="2">
        <f t="shared" si="82"/>
        <v>2024</v>
      </c>
      <c r="E476" s="4">
        <v>45446</v>
      </c>
      <c r="F476" s="4">
        <v>45453</v>
      </c>
      <c r="G476" s="6">
        <f t="shared" si="78"/>
        <v>7</v>
      </c>
      <c r="H476" s="6" t="str">
        <f t="shared" si="79"/>
        <v>Valid</v>
      </c>
      <c r="I476" t="s">
        <v>1527</v>
      </c>
      <c r="J476" t="s">
        <v>163</v>
      </c>
      <c r="K476" t="s">
        <v>91</v>
      </c>
      <c r="L476" t="s">
        <v>26</v>
      </c>
      <c r="M476" t="s">
        <v>123</v>
      </c>
      <c r="O476" t="s">
        <v>42</v>
      </c>
      <c r="P476" t="s">
        <v>58</v>
      </c>
      <c r="Q476" t="s">
        <v>1528</v>
      </c>
      <c r="R476" t="s">
        <v>60</v>
      </c>
      <c r="S476">
        <v>3</v>
      </c>
      <c r="T476">
        <v>1633.57</v>
      </c>
      <c r="U476" s="2">
        <f t="shared" si="83"/>
        <v>4900.71</v>
      </c>
      <c r="V476" s="13">
        <v>0</v>
      </c>
      <c r="W476" s="2">
        <f t="shared" si="84"/>
        <v>0</v>
      </c>
      <c r="X476" s="2" t="str">
        <f t="shared" si="85"/>
        <v>Valid</v>
      </c>
      <c r="Y476" s="2" t="str">
        <f t="shared" si="86"/>
        <v>Clean</v>
      </c>
      <c r="Z476">
        <v>4900.71</v>
      </c>
      <c r="AA476">
        <v>2713.9</v>
      </c>
      <c r="AB476" s="2">
        <f t="shared" si="80"/>
        <v>2186.81</v>
      </c>
      <c r="AC476">
        <v>2186.81</v>
      </c>
      <c r="AD476" s="11">
        <f t="shared" si="87"/>
        <v>0.44622309828575857</v>
      </c>
      <c r="AE476" t="s">
        <v>33</v>
      </c>
      <c r="AF476" t="s">
        <v>34</v>
      </c>
    </row>
    <row r="477" spans="1:32">
      <c r="A477" t="s">
        <v>1529</v>
      </c>
      <c r="B477" s="2" t="str">
        <f t="shared" si="77"/>
        <v>Unique</v>
      </c>
      <c r="C477" s="2" t="str">
        <f t="shared" si="81"/>
        <v>Mar</v>
      </c>
      <c r="D477" s="2">
        <f t="shared" si="82"/>
        <v>2025</v>
      </c>
      <c r="E477" s="4">
        <v>45717</v>
      </c>
      <c r="F477" s="4">
        <v>45724</v>
      </c>
      <c r="G477" s="6">
        <f t="shared" si="78"/>
        <v>7</v>
      </c>
      <c r="H477" s="6" t="str">
        <f t="shared" si="79"/>
        <v>Valid</v>
      </c>
      <c r="I477" t="s">
        <v>1530</v>
      </c>
      <c r="J477" t="s">
        <v>72</v>
      </c>
      <c r="K477" t="s">
        <v>25</v>
      </c>
      <c r="L477" t="s">
        <v>39</v>
      </c>
      <c r="M477" t="s">
        <v>100</v>
      </c>
      <c r="O477" t="s">
        <v>42</v>
      </c>
      <c r="P477" t="s">
        <v>67</v>
      </c>
      <c r="Q477" t="s">
        <v>1531</v>
      </c>
      <c r="R477" t="s">
        <v>45</v>
      </c>
      <c r="S477">
        <v>8</v>
      </c>
      <c r="T477">
        <v>3378.82</v>
      </c>
      <c r="U477" s="2">
        <f t="shared" si="83"/>
        <v>20272.920000000002</v>
      </c>
      <c r="V477" s="13">
        <v>0.25</v>
      </c>
      <c r="W477" s="2">
        <f t="shared" si="84"/>
        <v>0.25</v>
      </c>
      <c r="X477" s="2" t="str">
        <f t="shared" si="85"/>
        <v>Valid</v>
      </c>
      <c r="Y477" s="2" t="str">
        <f t="shared" si="86"/>
        <v>Clean</v>
      </c>
      <c r="Z477">
        <v>20272.919999999998</v>
      </c>
      <c r="AA477">
        <v>15873.38</v>
      </c>
      <c r="AB477" s="2">
        <f t="shared" si="80"/>
        <v>4399.5400000000027</v>
      </c>
      <c r="AC477">
        <v>4399.54</v>
      </c>
      <c r="AD477" s="11">
        <f t="shared" si="87"/>
        <v>0.21701560505344075</v>
      </c>
      <c r="AE477" t="s">
        <v>112</v>
      </c>
      <c r="AF477" t="s">
        <v>104</v>
      </c>
    </row>
    <row r="478" spans="1:32">
      <c r="A478" t="s">
        <v>1532</v>
      </c>
      <c r="B478" s="2" t="str">
        <f t="shared" si="77"/>
        <v>Unique</v>
      </c>
      <c r="C478" s="2" t="str">
        <f t="shared" si="81"/>
        <v>May</v>
      </c>
      <c r="D478" s="2">
        <f t="shared" si="82"/>
        <v>2024</v>
      </c>
      <c r="E478" s="4">
        <v>45419</v>
      </c>
      <c r="F478" s="4">
        <v>45426</v>
      </c>
      <c r="G478" s="6">
        <f t="shared" si="78"/>
        <v>7</v>
      </c>
      <c r="H478" s="6" t="str">
        <f t="shared" si="79"/>
        <v>Valid</v>
      </c>
      <c r="I478" t="s">
        <v>1533</v>
      </c>
      <c r="J478" t="s">
        <v>133</v>
      </c>
      <c r="K478" t="s">
        <v>38</v>
      </c>
      <c r="L478" t="s">
        <v>26</v>
      </c>
      <c r="M478" t="s">
        <v>27</v>
      </c>
      <c r="O478" t="s">
        <v>29</v>
      </c>
      <c r="P478" t="s">
        <v>125</v>
      </c>
      <c r="Q478" t="s">
        <v>1534</v>
      </c>
      <c r="R478" t="s">
        <v>51</v>
      </c>
      <c r="S478">
        <v>3</v>
      </c>
      <c r="T478">
        <v>383.58</v>
      </c>
      <c r="U478" s="2">
        <f t="shared" si="83"/>
        <v>1035.6659999999999</v>
      </c>
      <c r="V478" s="13">
        <v>0.1</v>
      </c>
      <c r="W478" s="2">
        <f t="shared" si="84"/>
        <v>0.1</v>
      </c>
      <c r="X478" s="2" t="str">
        <f t="shared" si="85"/>
        <v>Valid</v>
      </c>
      <c r="Y478" s="2" t="str">
        <f t="shared" si="86"/>
        <v>Clean</v>
      </c>
      <c r="Z478">
        <v>1035.67</v>
      </c>
      <c r="AA478">
        <v>595.41999999999996</v>
      </c>
      <c r="AB478" s="2">
        <f t="shared" si="80"/>
        <v>440.24599999999998</v>
      </c>
      <c r="AC478">
        <v>440.25</v>
      </c>
      <c r="AD478" s="11">
        <f t="shared" si="87"/>
        <v>0.42508714165709149</v>
      </c>
      <c r="AE478" t="s">
        <v>33</v>
      </c>
      <c r="AF478" t="s">
        <v>34</v>
      </c>
    </row>
    <row r="479" spans="1:32">
      <c r="A479" t="s">
        <v>1535</v>
      </c>
      <c r="B479" s="2" t="str">
        <f t="shared" si="77"/>
        <v>Unique</v>
      </c>
      <c r="C479" s="2" t="str">
        <f t="shared" si="81"/>
        <v>Aug</v>
      </c>
      <c r="D479" s="2">
        <f t="shared" si="82"/>
        <v>2025</v>
      </c>
      <c r="E479" s="4">
        <v>45892</v>
      </c>
      <c r="F479" s="4">
        <v>45897</v>
      </c>
      <c r="G479" s="6">
        <f t="shared" si="78"/>
        <v>5</v>
      </c>
      <c r="H479" s="6" t="str">
        <f t="shared" si="79"/>
        <v>Valid</v>
      </c>
      <c r="I479" t="s">
        <v>1536</v>
      </c>
      <c r="J479" t="s">
        <v>72</v>
      </c>
      <c r="K479" t="s">
        <v>91</v>
      </c>
      <c r="L479" t="s">
        <v>64</v>
      </c>
      <c r="M479" t="s">
        <v>181</v>
      </c>
      <c r="O479" t="s">
        <v>42</v>
      </c>
      <c r="P479" t="s">
        <v>67</v>
      </c>
      <c r="Q479" t="s">
        <v>1537</v>
      </c>
      <c r="R479" t="s">
        <v>60</v>
      </c>
      <c r="S479">
        <v>6</v>
      </c>
      <c r="T479">
        <v>2193.23</v>
      </c>
      <c r="U479" s="2">
        <f t="shared" si="83"/>
        <v>11843.442000000001</v>
      </c>
      <c r="V479" s="13">
        <v>0.1</v>
      </c>
      <c r="W479" s="2">
        <f t="shared" si="84"/>
        <v>0.1</v>
      </c>
      <c r="X479" s="2" t="str">
        <f t="shared" si="85"/>
        <v>Valid</v>
      </c>
      <c r="Y479" s="2" t="str">
        <f t="shared" si="86"/>
        <v>Clean</v>
      </c>
      <c r="Z479">
        <v>11843.44</v>
      </c>
      <c r="AA479">
        <v>9356.8799999999992</v>
      </c>
      <c r="AB479" s="2">
        <f t="shared" si="80"/>
        <v>2486.5620000000017</v>
      </c>
      <c r="AC479">
        <v>2486.56</v>
      </c>
      <c r="AD479" s="11">
        <f t="shared" si="87"/>
        <v>0.20995251379666718</v>
      </c>
      <c r="AE479" t="s">
        <v>33</v>
      </c>
      <c r="AF479" t="s">
        <v>69</v>
      </c>
    </row>
    <row r="480" spans="1:32">
      <c r="A480" t="s">
        <v>1538</v>
      </c>
      <c r="B480" s="2" t="str">
        <f t="shared" si="77"/>
        <v>Unique</v>
      </c>
      <c r="C480" s="2" t="str">
        <f t="shared" si="81"/>
        <v>Jun</v>
      </c>
      <c r="D480" s="2">
        <f t="shared" si="82"/>
        <v>2024</v>
      </c>
      <c r="E480" s="4">
        <v>45452</v>
      </c>
      <c r="F480" s="4">
        <v>45456</v>
      </c>
      <c r="G480" s="6">
        <f t="shared" si="78"/>
        <v>4</v>
      </c>
      <c r="H480" s="6" t="str">
        <f t="shared" si="79"/>
        <v>Valid</v>
      </c>
      <c r="I480" t="s">
        <v>1539</v>
      </c>
      <c r="J480" t="s">
        <v>37</v>
      </c>
      <c r="K480" t="s">
        <v>96</v>
      </c>
      <c r="L480" s="2" t="s">
        <v>2793</v>
      </c>
      <c r="M480" t="s">
        <v>137</v>
      </c>
      <c r="O480" t="s">
        <v>75</v>
      </c>
      <c r="P480" t="s">
        <v>275</v>
      </c>
      <c r="Q480" t="s">
        <v>1540</v>
      </c>
      <c r="R480" t="s">
        <v>45</v>
      </c>
      <c r="S480">
        <v>7</v>
      </c>
      <c r="T480">
        <v>4079.71</v>
      </c>
      <c r="U480" s="2">
        <f t="shared" si="83"/>
        <v>25702.173000000003</v>
      </c>
      <c r="V480" s="13">
        <v>0.1</v>
      </c>
      <c r="W480" s="2">
        <f t="shared" si="84"/>
        <v>0.1</v>
      </c>
      <c r="X480" s="2" t="str">
        <f t="shared" si="85"/>
        <v>Valid</v>
      </c>
      <c r="Y480" s="2" t="str">
        <f t="shared" si="86"/>
        <v>Clean</v>
      </c>
      <c r="Z480">
        <v>25702.17</v>
      </c>
      <c r="AA480">
        <v>14571.48</v>
      </c>
      <c r="AB480" s="2">
        <f t="shared" si="80"/>
        <v>11130.693000000003</v>
      </c>
      <c r="AC480">
        <v>11130.69</v>
      </c>
      <c r="AD480" s="11">
        <f t="shared" si="87"/>
        <v>0.43306421208792883</v>
      </c>
      <c r="AE480" t="s">
        <v>103</v>
      </c>
      <c r="AF480" t="s">
        <v>104</v>
      </c>
    </row>
    <row r="481" spans="1:32">
      <c r="A481" t="s">
        <v>1541</v>
      </c>
      <c r="B481" s="2" t="str">
        <f t="shared" si="77"/>
        <v>Unique</v>
      </c>
      <c r="C481" s="2" t="str">
        <f t="shared" si="81"/>
        <v>Feb</v>
      </c>
      <c r="D481" s="2">
        <f t="shared" si="82"/>
        <v>2024</v>
      </c>
      <c r="E481" s="4">
        <v>45345</v>
      </c>
      <c r="F481" s="4">
        <v>45342</v>
      </c>
      <c r="G481" s="6">
        <f t="shared" si="78"/>
        <v>-3</v>
      </c>
      <c r="H481" s="6" t="str">
        <f t="shared" si="79"/>
        <v>Invalid: Ship Date Before Order Date</v>
      </c>
      <c r="I481" t="s">
        <v>1542</v>
      </c>
      <c r="J481" t="s">
        <v>54</v>
      </c>
      <c r="K481" t="s">
        <v>91</v>
      </c>
      <c r="L481" t="s">
        <v>39</v>
      </c>
      <c r="M481" t="s">
        <v>40</v>
      </c>
      <c r="O481" t="s">
        <v>42</v>
      </c>
      <c r="P481" t="s">
        <v>67</v>
      </c>
      <c r="Q481" t="s">
        <v>1543</v>
      </c>
      <c r="R481" t="s">
        <v>32</v>
      </c>
      <c r="S481">
        <v>1</v>
      </c>
      <c r="T481">
        <v>2202.5500000000002</v>
      </c>
      <c r="U481" s="2">
        <f t="shared" si="83"/>
        <v>2202.5500000000002</v>
      </c>
      <c r="V481" s="13">
        <v>0</v>
      </c>
      <c r="W481" s="2">
        <f t="shared" si="84"/>
        <v>0</v>
      </c>
      <c r="X481" s="2" t="str">
        <f t="shared" si="85"/>
        <v>Valid</v>
      </c>
      <c r="Y481" s="2" t="str">
        <f t="shared" si="86"/>
        <v>Invalid</v>
      </c>
      <c r="Z481">
        <v>1651.91</v>
      </c>
      <c r="AA481">
        <v>1034.57</v>
      </c>
      <c r="AB481" s="2">
        <f t="shared" si="80"/>
        <v>1167.9800000000002</v>
      </c>
      <c r="AC481">
        <v>617.34</v>
      </c>
      <c r="AD481" s="11">
        <f t="shared" si="87"/>
        <v>0.37371285360582596</v>
      </c>
      <c r="AE481" t="s">
        <v>33</v>
      </c>
      <c r="AF481" t="s">
        <v>34</v>
      </c>
    </row>
    <row r="482" spans="1:32">
      <c r="A482" t="s">
        <v>1544</v>
      </c>
      <c r="B482" s="2" t="str">
        <f t="shared" si="77"/>
        <v>Unique</v>
      </c>
      <c r="C482" s="2" t="str">
        <f t="shared" si="81"/>
        <v>Jan</v>
      </c>
      <c r="D482" s="2">
        <f t="shared" si="82"/>
        <v>2025</v>
      </c>
      <c r="E482" s="4">
        <v>45662</v>
      </c>
      <c r="F482" s="4">
        <v>45666</v>
      </c>
      <c r="G482" s="6">
        <f t="shared" si="78"/>
        <v>4</v>
      </c>
      <c r="H482" s="6" t="str">
        <f t="shared" si="79"/>
        <v>Valid</v>
      </c>
      <c r="I482" t="s">
        <v>1545</v>
      </c>
      <c r="J482" t="s">
        <v>80</v>
      </c>
      <c r="K482" t="s">
        <v>38</v>
      </c>
      <c r="L482" t="s">
        <v>55</v>
      </c>
      <c r="M482" t="s">
        <v>248</v>
      </c>
      <c r="O482" t="s">
        <v>29</v>
      </c>
      <c r="P482" t="s">
        <v>125</v>
      </c>
      <c r="Q482" t="s">
        <v>1546</v>
      </c>
      <c r="R482" s="2" t="s">
        <v>2793</v>
      </c>
      <c r="S482">
        <v>5</v>
      </c>
      <c r="T482">
        <v>905.16</v>
      </c>
      <c r="U482" s="2">
        <f t="shared" si="83"/>
        <v>4525.8</v>
      </c>
      <c r="V482" s="13">
        <v>0</v>
      </c>
      <c r="W482" s="2">
        <f t="shared" si="84"/>
        <v>0</v>
      </c>
      <c r="X482" s="2" t="str">
        <f t="shared" si="85"/>
        <v>Valid</v>
      </c>
      <c r="Y482" s="2" t="str">
        <f t="shared" si="86"/>
        <v>Clean</v>
      </c>
      <c r="Z482">
        <v>4525.8</v>
      </c>
      <c r="AA482">
        <v>2714.51</v>
      </c>
      <c r="AB482" s="2">
        <f t="shared" si="80"/>
        <v>1811.29</v>
      </c>
      <c r="AC482">
        <v>1811.29</v>
      </c>
      <c r="AD482" s="11">
        <f t="shared" si="87"/>
        <v>0.40021432674886204</v>
      </c>
      <c r="AE482" t="s">
        <v>33</v>
      </c>
      <c r="AF482" t="s">
        <v>34</v>
      </c>
    </row>
    <row r="483" spans="1:32">
      <c r="A483" t="s">
        <v>1547</v>
      </c>
      <c r="B483" s="2" t="str">
        <f t="shared" si="77"/>
        <v>Unique</v>
      </c>
      <c r="C483" s="2" t="str">
        <f t="shared" si="81"/>
        <v>Jun</v>
      </c>
      <c r="D483" s="2">
        <f t="shared" si="82"/>
        <v>2025</v>
      </c>
      <c r="E483" s="4">
        <v>45813</v>
      </c>
      <c r="F483" s="4">
        <v>45821</v>
      </c>
      <c r="G483" s="6">
        <f t="shared" si="78"/>
        <v>8</v>
      </c>
      <c r="H483" s="6" t="str">
        <f t="shared" si="79"/>
        <v>Valid</v>
      </c>
      <c r="I483" t="s">
        <v>1548</v>
      </c>
      <c r="J483" t="s">
        <v>48</v>
      </c>
      <c r="K483" t="s">
        <v>25</v>
      </c>
      <c r="L483" t="s">
        <v>26</v>
      </c>
      <c r="M483" t="s">
        <v>137</v>
      </c>
      <c r="O483" t="s">
        <v>75</v>
      </c>
      <c r="P483" t="s">
        <v>275</v>
      </c>
      <c r="Q483" t="s">
        <v>1549</v>
      </c>
      <c r="R483" t="s">
        <v>45</v>
      </c>
      <c r="S483">
        <v>4</v>
      </c>
      <c r="T483">
        <v>2793.88</v>
      </c>
      <c r="U483" s="2" t="str">
        <f t="shared" si="83"/>
        <v>Invalid</v>
      </c>
      <c r="V483" s="13" t="s">
        <v>768</v>
      </c>
      <c r="W483" s="2" t="str">
        <f t="shared" si="84"/>
        <v>Invalid</v>
      </c>
      <c r="X483" s="2" t="str">
        <f t="shared" si="85"/>
        <v>Invalid</v>
      </c>
      <c r="Y483" s="2" t="str">
        <f t="shared" si="86"/>
        <v>Invalid</v>
      </c>
      <c r="Z483">
        <v>10616.74</v>
      </c>
      <c r="AA483">
        <v>6353.59</v>
      </c>
      <c r="AB483" s="2" t="str">
        <f t="shared" si="80"/>
        <v>Invalid</v>
      </c>
      <c r="AC483">
        <v>4263.1499999999996</v>
      </c>
      <c r="AD483" s="11">
        <f t="shared" si="87"/>
        <v>0.40154981661037192</v>
      </c>
      <c r="AE483" t="s">
        <v>33</v>
      </c>
      <c r="AF483" t="s">
        <v>34</v>
      </c>
    </row>
    <row r="484" spans="1:32">
      <c r="A484" t="s">
        <v>1550</v>
      </c>
      <c r="B484" s="2" t="str">
        <f t="shared" si="77"/>
        <v>Unique</v>
      </c>
      <c r="C484" s="2" t="str">
        <f t="shared" si="81"/>
        <v>Jul</v>
      </c>
      <c r="D484" s="2">
        <f t="shared" si="82"/>
        <v>2024</v>
      </c>
      <c r="E484" s="4">
        <v>45495</v>
      </c>
      <c r="F484" s="4">
        <v>45495</v>
      </c>
      <c r="G484" s="6">
        <f t="shared" si="78"/>
        <v>0</v>
      </c>
      <c r="H484" s="6" t="str">
        <f t="shared" si="79"/>
        <v>Valid</v>
      </c>
      <c r="I484" t="s">
        <v>1551</v>
      </c>
      <c r="J484" t="s">
        <v>115</v>
      </c>
      <c r="K484" t="s">
        <v>25</v>
      </c>
      <c r="L484" t="s">
        <v>55</v>
      </c>
      <c r="M484" t="s">
        <v>176</v>
      </c>
      <c r="O484" t="s">
        <v>75</v>
      </c>
      <c r="P484" t="s">
        <v>76</v>
      </c>
      <c r="Q484" t="s">
        <v>1552</v>
      </c>
      <c r="R484" t="s">
        <v>32</v>
      </c>
      <c r="S484">
        <v>3</v>
      </c>
      <c r="T484">
        <v>1286.22</v>
      </c>
      <c r="U484" s="2">
        <f t="shared" si="83"/>
        <v>2893.9949999999999</v>
      </c>
      <c r="V484" s="13">
        <v>0.25</v>
      </c>
      <c r="W484" s="2">
        <f t="shared" si="84"/>
        <v>0.25</v>
      </c>
      <c r="X484" s="2" t="str">
        <f t="shared" si="85"/>
        <v>Valid</v>
      </c>
      <c r="Y484" s="2" t="str">
        <f t="shared" si="86"/>
        <v>Clean</v>
      </c>
      <c r="Z484">
        <v>2893.99</v>
      </c>
      <c r="AA484">
        <v>1856.03</v>
      </c>
      <c r="AB484" s="2">
        <f t="shared" si="80"/>
        <v>1037.9649999999999</v>
      </c>
      <c r="AC484">
        <v>1037.96</v>
      </c>
      <c r="AD484" s="11">
        <f t="shared" si="87"/>
        <v>0.35866053441787987</v>
      </c>
      <c r="AE484" t="s">
        <v>33</v>
      </c>
      <c r="AF484" t="s">
        <v>34</v>
      </c>
    </row>
    <row r="485" spans="1:32">
      <c r="A485" t="s">
        <v>1553</v>
      </c>
      <c r="B485" s="2" t="str">
        <f t="shared" si="77"/>
        <v>Unique</v>
      </c>
      <c r="C485" s="2" t="str">
        <f t="shared" si="81"/>
        <v>Dec</v>
      </c>
      <c r="D485" s="2">
        <f t="shared" si="82"/>
        <v>2024</v>
      </c>
      <c r="E485" s="4">
        <v>45651</v>
      </c>
      <c r="F485" s="4">
        <v>45651</v>
      </c>
      <c r="G485" s="6">
        <f t="shared" si="78"/>
        <v>0</v>
      </c>
      <c r="H485" s="6" t="str">
        <f t="shared" si="79"/>
        <v>Valid</v>
      </c>
      <c r="I485" t="s">
        <v>1554</v>
      </c>
      <c r="J485" t="s">
        <v>37</v>
      </c>
      <c r="K485" t="s">
        <v>91</v>
      </c>
      <c r="L485" t="s">
        <v>39</v>
      </c>
      <c r="M485" t="s">
        <v>146</v>
      </c>
      <c r="O485" t="s">
        <v>75</v>
      </c>
      <c r="P485" t="s">
        <v>81</v>
      </c>
      <c r="Q485" t="s">
        <v>1555</v>
      </c>
      <c r="R485" t="s">
        <v>60</v>
      </c>
      <c r="S485">
        <v>1</v>
      </c>
      <c r="T485">
        <v>829.66</v>
      </c>
      <c r="U485" s="2">
        <f t="shared" si="83"/>
        <v>705.2109999999999</v>
      </c>
      <c r="V485" s="13">
        <v>0.15</v>
      </c>
      <c r="W485" s="2">
        <f t="shared" si="84"/>
        <v>0.15</v>
      </c>
      <c r="X485" s="2" t="str">
        <f t="shared" si="85"/>
        <v>Valid</v>
      </c>
      <c r="Y485" s="2" t="str">
        <f t="shared" si="86"/>
        <v>Clean</v>
      </c>
      <c r="Z485">
        <v>705.21</v>
      </c>
      <c r="AA485">
        <v>438.32</v>
      </c>
      <c r="AB485" s="2">
        <f t="shared" si="80"/>
        <v>266.89099999999991</v>
      </c>
      <c r="AC485">
        <v>266.89</v>
      </c>
      <c r="AD485" s="11">
        <f t="shared" si="87"/>
        <v>0.3784546447157584</v>
      </c>
      <c r="AE485" t="s">
        <v>33</v>
      </c>
      <c r="AF485" t="s">
        <v>34</v>
      </c>
    </row>
    <row r="486" spans="1:32">
      <c r="A486" t="s">
        <v>1556</v>
      </c>
      <c r="B486" s="2" t="str">
        <f t="shared" si="77"/>
        <v>Unique</v>
      </c>
      <c r="C486" s="2" t="str">
        <f t="shared" si="81"/>
        <v>Dec</v>
      </c>
      <c r="D486" s="2">
        <f t="shared" si="82"/>
        <v>2024</v>
      </c>
      <c r="E486" s="4">
        <v>45654</v>
      </c>
      <c r="F486" s="4">
        <v>45657</v>
      </c>
      <c r="G486" s="6">
        <f t="shared" si="78"/>
        <v>3</v>
      </c>
      <c r="H486" s="6" t="str">
        <f t="shared" si="79"/>
        <v>Valid</v>
      </c>
      <c r="I486" t="s">
        <v>1557</v>
      </c>
      <c r="J486" t="s">
        <v>37</v>
      </c>
      <c r="K486" t="s">
        <v>38</v>
      </c>
      <c r="L486" t="s">
        <v>55</v>
      </c>
      <c r="M486" t="s">
        <v>85</v>
      </c>
      <c r="O486" t="s">
        <v>42</v>
      </c>
      <c r="P486" t="s">
        <v>58</v>
      </c>
      <c r="Q486" t="s">
        <v>1558</v>
      </c>
      <c r="R486" t="s">
        <v>51</v>
      </c>
      <c r="S486">
        <v>6</v>
      </c>
      <c r="T486">
        <v>3641.22</v>
      </c>
      <c r="U486" s="2">
        <f t="shared" si="83"/>
        <v>16385.489999999998</v>
      </c>
      <c r="V486" s="13">
        <v>0.25</v>
      </c>
      <c r="W486" s="2">
        <f t="shared" si="84"/>
        <v>0.25</v>
      </c>
      <c r="X486" s="2" t="str">
        <f t="shared" si="85"/>
        <v>Valid</v>
      </c>
      <c r="Y486" s="2" t="str">
        <f t="shared" si="86"/>
        <v>Clean</v>
      </c>
      <c r="Z486">
        <v>16385.490000000002</v>
      </c>
      <c r="AA486">
        <v>13679.24</v>
      </c>
      <c r="AB486" s="2">
        <f t="shared" si="80"/>
        <v>2706.2499999999982</v>
      </c>
      <c r="AC486">
        <v>2706.25</v>
      </c>
      <c r="AD486" s="11">
        <f t="shared" si="87"/>
        <v>0.1651613714328958</v>
      </c>
      <c r="AE486" t="s">
        <v>33</v>
      </c>
      <c r="AF486" t="s">
        <v>34</v>
      </c>
    </row>
    <row r="487" spans="1:32">
      <c r="A487" t="s">
        <v>1559</v>
      </c>
      <c r="B487" s="2" t="str">
        <f t="shared" si="77"/>
        <v>Unique</v>
      </c>
      <c r="C487" s="2" t="str">
        <f t="shared" si="81"/>
        <v>Jan</v>
      </c>
      <c r="D487" s="2">
        <f t="shared" si="82"/>
        <v>2025</v>
      </c>
      <c r="E487" s="4">
        <v>45679</v>
      </c>
      <c r="F487" s="4">
        <v>45680</v>
      </c>
      <c r="G487" s="6">
        <f t="shared" si="78"/>
        <v>1</v>
      </c>
      <c r="H487" s="6" t="str">
        <f t="shared" si="79"/>
        <v>Valid</v>
      </c>
      <c r="I487" t="s">
        <v>1560</v>
      </c>
      <c r="J487" t="s">
        <v>119</v>
      </c>
      <c r="K487" t="s">
        <v>91</v>
      </c>
      <c r="L487" t="s">
        <v>64</v>
      </c>
      <c r="M487" t="s">
        <v>191</v>
      </c>
      <c r="O487" t="s">
        <v>42</v>
      </c>
      <c r="P487" t="s">
        <v>159</v>
      </c>
      <c r="Q487" t="s">
        <v>1561</v>
      </c>
      <c r="R487" t="s">
        <v>60</v>
      </c>
      <c r="S487">
        <v>4</v>
      </c>
      <c r="T487">
        <v>2555.19</v>
      </c>
      <c r="U487" s="2">
        <f t="shared" si="83"/>
        <v>7665.57</v>
      </c>
      <c r="V487" s="13">
        <v>0.25</v>
      </c>
      <c r="W487" s="2">
        <f t="shared" si="84"/>
        <v>0.25</v>
      </c>
      <c r="X487" s="2" t="str">
        <f t="shared" si="85"/>
        <v>Valid</v>
      </c>
      <c r="Y487" s="2" t="str">
        <f t="shared" si="86"/>
        <v>Clean</v>
      </c>
      <c r="Z487">
        <v>7665.57</v>
      </c>
      <c r="AA487">
        <v>5595.6</v>
      </c>
      <c r="AB487" s="2">
        <f t="shared" si="80"/>
        <v>2069.9699999999993</v>
      </c>
      <c r="AC487">
        <v>2069.9699999999998</v>
      </c>
      <c r="AD487" s="11">
        <f t="shared" si="87"/>
        <v>0.27003471366121501</v>
      </c>
      <c r="AE487" t="s">
        <v>33</v>
      </c>
      <c r="AF487" t="s">
        <v>34</v>
      </c>
    </row>
    <row r="488" spans="1:32">
      <c r="A488" t="s">
        <v>1562</v>
      </c>
      <c r="B488" s="2" t="str">
        <f t="shared" si="77"/>
        <v>Unique</v>
      </c>
      <c r="C488" s="2" t="str">
        <f t="shared" si="81"/>
        <v>Jun</v>
      </c>
      <c r="D488" s="2">
        <f t="shared" si="82"/>
        <v>2025</v>
      </c>
      <c r="E488" s="4">
        <v>45830</v>
      </c>
      <c r="F488" s="4">
        <v>45834</v>
      </c>
      <c r="G488" s="6">
        <f t="shared" si="78"/>
        <v>4</v>
      </c>
      <c r="H488" s="6" t="str">
        <f t="shared" si="79"/>
        <v>Valid</v>
      </c>
      <c r="I488" t="s">
        <v>1563</v>
      </c>
      <c r="J488" t="s">
        <v>119</v>
      </c>
      <c r="K488" t="s">
        <v>91</v>
      </c>
      <c r="L488" t="s">
        <v>64</v>
      </c>
      <c r="M488" t="s">
        <v>191</v>
      </c>
      <c r="O488" t="s">
        <v>42</v>
      </c>
      <c r="P488" t="s">
        <v>43</v>
      </c>
      <c r="Q488" t="s">
        <v>1564</v>
      </c>
      <c r="R488" t="s">
        <v>60</v>
      </c>
      <c r="S488">
        <v>3</v>
      </c>
      <c r="T488">
        <v>1946.18</v>
      </c>
      <c r="U488" s="2">
        <f t="shared" si="83"/>
        <v>4670.8320000000003</v>
      </c>
      <c r="V488" s="13">
        <v>0.2</v>
      </c>
      <c r="W488" s="2">
        <f t="shared" si="84"/>
        <v>0.2</v>
      </c>
      <c r="X488" s="2" t="str">
        <f t="shared" si="85"/>
        <v>Valid</v>
      </c>
      <c r="Y488" s="2" t="str">
        <f t="shared" si="86"/>
        <v>Clean</v>
      </c>
      <c r="Z488">
        <v>4670.83</v>
      </c>
      <c r="AA488">
        <v>3166.49</v>
      </c>
      <c r="AB488" s="2">
        <f t="shared" si="80"/>
        <v>1504.3420000000006</v>
      </c>
      <c r="AC488">
        <v>1504.34</v>
      </c>
      <c r="AD488" s="11">
        <f t="shared" si="87"/>
        <v>0.32207123787421077</v>
      </c>
      <c r="AE488" t="s">
        <v>33</v>
      </c>
      <c r="AF488" t="s">
        <v>34</v>
      </c>
    </row>
    <row r="489" spans="1:32">
      <c r="A489" t="s">
        <v>1565</v>
      </c>
      <c r="B489" s="2" t="str">
        <f t="shared" si="77"/>
        <v>Unique</v>
      </c>
      <c r="C489" s="2" t="str">
        <f t="shared" si="81"/>
        <v>Jun</v>
      </c>
      <c r="D489" s="2">
        <f t="shared" si="82"/>
        <v>2025</v>
      </c>
      <c r="E489" s="4">
        <v>45818</v>
      </c>
      <c r="F489" s="4">
        <v>45825</v>
      </c>
      <c r="G489" s="6">
        <f t="shared" si="78"/>
        <v>7</v>
      </c>
      <c r="H489" s="6" t="str">
        <f t="shared" si="79"/>
        <v>Valid</v>
      </c>
      <c r="I489" t="s">
        <v>1566</v>
      </c>
      <c r="J489" t="s">
        <v>119</v>
      </c>
      <c r="K489" t="s">
        <v>91</v>
      </c>
      <c r="L489" t="s">
        <v>55</v>
      </c>
      <c r="M489" t="s">
        <v>56</v>
      </c>
      <c r="O489" t="s">
        <v>42</v>
      </c>
      <c r="P489" t="s">
        <v>58</v>
      </c>
      <c r="Q489" t="s">
        <v>1567</v>
      </c>
      <c r="R489" t="s">
        <v>60</v>
      </c>
      <c r="S489">
        <v>5</v>
      </c>
      <c r="T489">
        <v>1231.0999999999999</v>
      </c>
      <c r="U489" s="2">
        <f t="shared" si="83"/>
        <v>6155.5</v>
      </c>
      <c r="V489" s="13">
        <v>0</v>
      </c>
      <c r="W489" s="2">
        <f t="shared" si="84"/>
        <v>0</v>
      </c>
      <c r="X489" s="2" t="str">
        <f t="shared" si="85"/>
        <v>Valid</v>
      </c>
      <c r="Y489" s="2" t="str">
        <f t="shared" si="86"/>
        <v>Clean</v>
      </c>
      <c r="Z489">
        <v>6155.5</v>
      </c>
      <c r="AA489">
        <v>4282.09</v>
      </c>
      <c r="AB489" s="2">
        <f t="shared" si="80"/>
        <v>1873.4099999999999</v>
      </c>
      <c r="AC489">
        <v>1873.41</v>
      </c>
      <c r="AD489" s="11">
        <f t="shared" si="87"/>
        <v>0.30434733165461786</v>
      </c>
      <c r="AE489" t="s">
        <v>103</v>
      </c>
      <c r="AF489" t="s">
        <v>104</v>
      </c>
    </row>
    <row r="490" spans="1:32">
      <c r="A490" t="s">
        <v>1568</v>
      </c>
      <c r="B490" s="2" t="str">
        <f t="shared" si="77"/>
        <v>Unique</v>
      </c>
      <c r="C490" s="2" t="str">
        <f t="shared" si="81"/>
        <v>Oct</v>
      </c>
      <c r="D490" s="2">
        <f t="shared" si="82"/>
        <v>2024</v>
      </c>
      <c r="E490" s="4">
        <v>45579</v>
      </c>
      <c r="F490" s="4">
        <v>45585</v>
      </c>
      <c r="G490" s="6">
        <f t="shared" si="78"/>
        <v>6</v>
      </c>
      <c r="H490" s="6" t="str">
        <f t="shared" si="79"/>
        <v>Valid</v>
      </c>
      <c r="I490" t="s">
        <v>1569</v>
      </c>
      <c r="J490" t="s">
        <v>90</v>
      </c>
      <c r="K490" t="s">
        <v>38</v>
      </c>
      <c r="L490" t="s">
        <v>26</v>
      </c>
      <c r="M490" t="s">
        <v>27</v>
      </c>
      <c r="O490" t="s">
        <v>42</v>
      </c>
      <c r="P490" t="s">
        <v>43</v>
      </c>
      <c r="Q490" t="s">
        <v>1570</v>
      </c>
      <c r="R490" t="s">
        <v>45</v>
      </c>
      <c r="S490">
        <v>7</v>
      </c>
      <c r="T490">
        <v>1547.6</v>
      </c>
      <c r="U490" s="2">
        <f t="shared" si="83"/>
        <v>8666.56</v>
      </c>
      <c r="V490" s="13">
        <v>0.2</v>
      </c>
      <c r="W490" s="2">
        <f t="shared" si="84"/>
        <v>0.2</v>
      </c>
      <c r="X490" s="2" t="str">
        <f t="shared" si="85"/>
        <v>Valid</v>
      </c>
      <c r="Y490" s="2" t="str">
        <f t="shared" si="86"/>
        <v>Clean</v>
      </c>
      <c r="Z490">
        <v>8666.56</v>
      </c>
      <c r="AA490">
        <v>5967.44</v>
      </c>
      <c r="AB490" s="2">
        <f t="shared" si="80"/>
        <v>2699.12</v>
      </c>
      <c r="AC490">
        <v>2699.12</v>
      </c>
      <c r="AD490" s="11">
        <f t="shared" si="87"/>
        <v>0.31144075619392242</v>
      </c>
      <c r="AE490" t="s">
        <v>33</v>
      </c>
      <c r="AF490" t="s">
        <v>34</v>
      </c>
    </row>
    <row r="491" spans="1:32">
      <c r="A491" t="s">
        <v>1571</v>
      </c>
      <c r="B491" s="2" t="str">
        <f t="shared" si="77"/>
        <v>Unique</v>
      </c>
      <c r="C491" s="2" t="str">
        <f t="shared" si="81"/>
        <v>Feb</v>
      </c>
      <c r="D491" s="2">
        <f t="shared" si="82"/>
        <v>2024</v>
      </c>
      <c r="E491" s="4">
        <v>45329</v>
      </c>
      <c r="F491" s="4">
        <v>45334</v>
      </c>
      <c r="G491" s="6">
        <f t="shared" si="78"/>
        <v>5</v>
      </c>
      <c r="H491" s="6" t="str">
        <f t="shared" si="79"/>
        <v>Valid</v>
      </c>
      <c r="I491" t="s">
        <v>1572</v>
      </c>
      <c r="J491" t="s">
        <v>54</v>
      </c>
      <c r="K491" t="s">
        <v>96</v>
      </c>
      <c r="L491" t="s">
        <v>39</v>
      </c>
      <c r="M491" t="s">
        <v>100</v>
      </c>
      <c r="O491" t="s">
        <v>75</v>
      </c>
      <c r="P491" t="s">
        <v>76</v>
      </c>
      <c r="Q491" t="s">
        <v>1573</v>
      </c>
      <c r="R491" t="s">
        <v>32</v>
      </c>
      <c r="S491">
        <v>1</v>
      </c>
      <c r="T491">
        <v>452.19</v>
      </c>
      <c r="U491" s="2">
        <f t="shared" si="83"/>
        <v>361.75200000000001</v>
      </c>
      <c r="V491" s="13">
        <v>0.2</v>
      </c>
      <c r="W491" s="2">
        <f t="shared" si="84"/>
        <v>0.2</v>
      </c>
      <c r="X491" s="2" t="str">
        <f t="shared" si="85"/>
        <v>Valid</v>
      </c>
      <c r="Y491" s="2" t="str">
        <f t="shared" si="86"/>
        <v>Clean</v>
      </c>
      <c r="Z491">
        <v>361.75</v>
      </c>
      <c r="AA491">
        <v>262.52999999999997</v>
      </c>
      <c r="AB491" s="2">
        <f t="shared" si="80"/>
        <v>99.222000000000037</v>
      </c>
      <c r="AC491">
        <v>99.22</v>
      </c>
      <c r="AD491" s="11">
        <f t="shared" si="87"/>
        <v>0.27427781617138908</v>
      </c>
      <c r="AE491" t="s">
        <v>33</v>
      </c>
      <c r="AF491" t="s">
        <v>34</v>
      </c>
    </row>
    <row r="492" spans="1:32">
      <c r="A492" t="s">
        <v>1574</v>
      </c>
      <c r="B492" s="2" t="str">
        <f t="shared" si="77"/>
        <v>Unique</v>
      </c>
      <c r="C492" s="2" t="str">
        <f t="shared" si="81"/>
        <v>Sep</v>
      </c>
      <c r="D492" s="2">
        <f t="shared" si="82"/>
        <v>2024</v>
      </c>
      <c r="E492" s="4">
        <v>45551</v>
      </c>
      <c r="F492" s="4">
        <v>45554</v>
      </c>
      <c r="G492" s="6">
        <f t="shared" si="78"/>
        <v>3</v>
      </c>
      <c r="H492" s="6" t="str">
        <f t="shared" si="79"/>
        <v>Valid</v>
      </c>
      <c r="I492" t="s">
        <v>1575</v>
      </c>
      <c r="J492" t="s">
        <v>90</v>
      </c>
      <c r="K492" t="s">
        <v>25</v>
      </c>
      <c r="L492" t="s">
        <v>64</v>
      </c>
      <c r="M492" t="s">
        <v>27</v>
      </c>
      <c r="O492" t="s">
        <v>29</v>
      </c>
      <c r="P492" t="s">
        <v>154</v>
      </c>
      <c r="Q492" t="s">
        <v>1576</v>
      </c>
      <c r="R492" t="s">
        <v>51</v>
      </c>
      <c r="S492">
        <v>7</v>
      </c>
      <c r="T492">
        <v>406.42</v>
      </c>
      <c r="U492" s="2">
        <f t="shared" si="83"/>
        <v>2418.1990000000001</v>
      </c>
      <c r="V492" s="13">
        <v>0.15</v>
      </c>
      <c r="W492" s="2">
        <f t="shared" si="84"/>
        <v>0.15</v>
      </c>
      <c r="X492" s="2" t="str">
        <f t="shared" si="85"/>
        <v>Valid</v>
      </c>
      <c r="Y492" s="2" t="str">
        <f t="shared" si="86"/>
        <v>Clean</v>
      </c>
      <c r="Z492">
        <v>2418.1999999999998</v>
      </c>
      <c r="AA492">
        <v>1613.82</v>
      </c>
      <c r="AB492" s="2">
        <f t="shared" si="80"/>
        <v>804.37900000000013</v>
      </c>
      <c r="AC492">
        <v>804.38</v>
      </c>
      <c r="AD492" s="11">
        <f t="shared" si="87"/>
        <v>0.33263584484327186</v>
      </c>
      <c r="AE492" t="s">
        <v>33</v>
      </c>
      <c r="AF492" t="s">
        <v>34</v>
      </c>
    </row>
    <row r="493" spans="1:32">
      <c r="A493" t="s">
        <v>1577</v>
      </c>
      <c r="B493" s="2" t="str">
        <f t="shared" si="77"/>
        <v>Unique</v>
      </c>
      <c r="C493" s="2" t="str">
        <f t="shared" si="81"/>
        <v>Apr</v>
      </c>
      <c r="D493" s="2">
        <f t="shared" si="82"/>
        <v>2025</v>
      </c>
      <c r="E493" s="4">
        <v>45776</v>
      </c>
      <c r="F493" s="4">
        <v>45777</v>
      </c>
      <c r="G493" s="6">
        <f t="shared" si="78"/>
        <v>1</v>
      </c>
      <c r="H493" s="6" t="str">
        <f t="shared" si="79"/>
        <v>Valid</v>
      </c>
      <c r="I493" t="s">
        <v>1578</v>
      </c>
      <c r="J493" t="s">
        <v>37</v>
      </c>
      <c r="K493" t="s">
        <v>91</v>
      </c>
      <c r="L493" t="s">
        <v>55</v>
      </c>
      <c r="M493" t="s">
        <v>186</v>
      </c>
      <c r="O493" t="s">
        <v>75</v>
      </c>
      <c r="P493" t="s">
        <v>76</v>
      </c>
      <c r="Q493" t="s">
        <v>1579</v>
      </c>
      <c r="R493" t="s">
        <v>60</v>
      </c>
      <c r="S493">
        <v>4</v>
      </c>
      <c r="T493">
        <v>606.58000000000004</v>
      </c>
      <c r="U493" s="2">
        <f t="shared" si="83"/>
        <v>1941.0560000000003</v>
      </c>
      <c r="V493" s="13">
        <v>0.2</v>
      </c>
      <c r="W493" s="2">
        <f t="shared" si="84"/>
        <v>0.2</v>
      </c>
      <c r="X493" s="2" t="str">
        <f t="shared" si="85"/>
        <v>Valid</v>
      </c>
      <c r="Y493" s="2" t="str">
        <f t="shared" si="86"/>
        <v>Clean</v>
      </c>
      <c r="Z493">
        <v>1941.06</v>
      </c>
      <c r="AA493">
        <v>1207.42</v>
      </c>
      <c r="AB493" s="2">
        <f t="shared" si="80"/>
        <v>733.63600000000019</v>
      </c>
      <c r="AC493">
        <v>733.64</v>
      </c>
      <c r="AD493" s="11">
        <f t="shared" si="87"/>
        <v>0.3779584350818625</v>
      </c>
      <c r="AE493" t="s">
        <v>33</v>
      </c>
      <c r="AF493" t="s">
        <v>34</v>
      </c>
    </row>
    <row r="494" spans="1:32">
      <c r="A494" t="s">
        <v>1580</v>
      </c>
      <c r="B494" s="2" t="str">
        <f t="shared" si="77"/>
        <v>Unique</v>
      </c>
      <c r="C494" s="2" t="str">
        <f t="shared" si="81"/>
        <v>Jun</v>
      </c>
      <c r="D494" s="2">
        <f t="shared" si="82"/>
        <v>2025</v>
      </c>
      <c r="E494" s="4">
        <v>45836</v>
      </c>
      <c r="F494" s="4">
        <v>45840</v>
      </c>
      <c r="G494" s="6">
        <f t="shared" si="78"/>
        <v>4</v>
      </c>
      <c r="H494" s="6" t="str">
        <f t="shared" si="79"/>
        <v>Valid</v>
      </c>
      <c r="I494" t="s">
        <v>1581</v>
      </c>
      <c r="J494" t="s">
        <v>63</v>
      </c>
      <c r="K494" t="s">
        <v>91</v>
      </c>
      <c r="L494" t="s">
        <v>55</v>
      </c>
      <c r="M494" t="s">
        <v>85</v>
      </c>
      <c r="O494" t="s">
        <v>29</v>
      </c>
      <c r="P494" t="s">
        <v>125</v>
      </c>
      <c r="Q494" t="s">
        <v>1582</v>
      </c>
      <c r="R494" t="s">
        <v>32</v>
      </c>
      <c r="S494">
        <v>2</v>
      </c>
      <c r="T494">
        <v>2725.44</v>
      </c>
      <c r="U494" s="2">
        <f t="shared" si="83"/>
        <v>4088.16</v>
      </c>
      <c r="V494" s="13">
        <v>0.25</v>
      </c>
      <c r="W494" s="2">
        <f t="shared" si="84"/>
        <v>0.25</v>
      </c>
      <c r="X494" s="2" t="str">
        <f t="shared" si="85"/>
        <v>Valid</v>
      </c>
      <c r="Y494" s="2" t="str">
        <f t="shared" si="86"/>
        <v>Clean</v>
      </c>
      <c r="Z494">
        <v>4088.16</v>
      </c>
      <c r="AA494">
        <v>3205.68</v>
      </c>
      <c r="AB494" s="2">
        <f t="shared" si="80"/>
        <v>882.48</v>
      </c>
      <c r="AC494">
        <v>882.48</v>
      </c>
      <c r="AD494" s="11">
        <f t="shared" si="87"/>
        <v>0.21586239286133616</v>
      </c>
      <c r="AE494" t="s">
        <v>33</v>
      </c>
      <c r="AF494" t="s">
        <v>34</v>
      </c>
    </row>
    <row r="495" spans="1:32">
      <c r="A495" t="s">
        <v>1583</v>
      </c>
      <c r="B495" s="2" t="str">
        <f t="shared" si="77"/>
        <v>Unique</v>
      </c>
      <c r="C495" s="2" t="str">
        <f t="shared" si="81"/>
        <v>Feb</v>
      </c>
      <c r="D495" s="2">
        <f t="shared" si="82"/>
        <v>2025</v>
      </c>
      <c r="E495" s="4">
        <v>45701</v>
      </c>
      <c r="F495" s="4">
        <v>45701</v>
      </c>
      <c r="G495" s="6">
        <f t="shared" si="78"/>
        <v>0</v>
      </c>
      <c r="H495" s="6" t="str">
        <f t="shared" si="79"/>
        <v>Valid</v>
      </c>
      <c r="I495" t="s">
        <v>1584</v>
      </c>
      <c r="J495" t="s">
        <v>265</v>
      </c>
      <c r="K495" t="s">
        <v>91</v>
      </c>
      <c r="L495" t="s">
        <v>39</v>
      </c>
      <c r="M495" t="s">
        <v>40</v>
      </c>
      <c r="O495" t="s">
        <v>29</v>
      </c>
      <c r="P495" t="s">
        <v>30</v>
      </c>
      <c r="Q495" t="s">
        <v>1585</v>
      </c>
      <c r="R495" t="s">
        <v>32</v>
      </c>
      <c r="S495">
        <v>7</v>
      </c>
      <c r="T495">
        <v>2296.6999999999998</v>
      </c>
      <c r="U495" s="2">
        <f t="shared" si="83"/>
        <v>15273.054999999997</v>
      </c>
      <c r="V495" s="13">
        <v>0.05</v>
      </c>
      <c r="W495" s="2">
        <f t="shared" si="84"/>
        <v>0.05</v>
      </c>
      <c r="X495" s="2" t="str">
        <f t="shared" si="85"/>
        <v>Valid</v>
      </c>
      <c r="Y495" s="2" t="str">
        <f t="shared" si="86"/>
        <v>Clean</v>
      </c>
      <c r="Z495">
        <v>15273.05</v>
      </c>
      <c r="AA495">
        <v>11088.76</v>
      </c>
      <c r="AB495" s="2">
        <f t="shared" si="80"/>
        <v>4184.2949999999964</v>
      </c>
      <c r="AC495">
        <v>4184.29</v>
      </c>
      <c r="AD495" s="11">
        <f t="shared" si="87"/>
        <v>0.27396557989399628</v>
      </c>
      <c r="AE495" t="s">
        <v>33</v>
      </c>
      <c r="AF495" t="s">
        <v>34</v>
      </c>
    </row>
    <row r="496" spans="1:32">
      <c r="A496" t="s">
        <v>1586</v>
      </c>
      <c r="B496" s="2" t="str">
        <f t="shared" si="77"/>
        <v>Unique</v>
      </c>
      <c r="C496" s="2" t="str">
        <f t="shared" si="81"/>
        <v>Nov</v>
      </c>
      <c r="D496" s="2">
        <f t="shared" si="82"/>
        <v>2024</v>
      </c>
      <c r="E496" s="4">
        <v>45610</v>
      </c>
      <c r="F496" s="4">
        <v>45618</v>
      </c>
      <c r="G496" s="6">
        <f t="shared" si="78"/>
        <v>8</v>
      </c>
      <c r="H496" s="6" t="str">
        <f t="shared" si="79"/>
        <v>Valid</v>
      </c>
      <c r="I496" t="s">
        <v>1587</v>
      </c>
      <c r="J496" t="s">
        <v>48</v>
      </c>
      <c r="K496" t="s">
        <v>25</v>
      </c>
      <c r="L496" t="s">
        <v>64</v>
      </c>
      <c r="M496" t="s">
        <v>73</v>
      </c>
      <c r="O496" t="s">
        <v>75</v>
      </c>
      <c r="P496" t="s">
        <v>172</v>
      </c>
      <c r="Q496" t="s">
        <v>1588</v>
      </c>
      <c r="R496" t="s">
        <v>60</v>
      </c>
      <c r="S496">
        <v>3</v>
      </c>
      <c r="T496">
        <v>671.68</v>
      </c>
      <c r="U496" s="2" t="str">
        <f t="shared" si="83"/>
        <v>Invalid</v>
      </c>
      <c r="V496" s="13">
        <v>-0.13</v>
      </c>
      <c r="W496" s="2" t="str">
        <f t="shared" si="84"/>
        <v>Invalid</v>
      </c>
      <c r="X496" s="2" t="str">
        <f t="shared" si="85"/>
        <v>Invalid</v>
      </c>
      <c r="Y496" s="2" t="str">
        <f t="shared" si="86"/>
        <v>Invalid</v>
      </c>
      <c r="Z496">
        <v>1712.78</v>
      </c>
      <c r="AA496">
        <v>1569.38</v>
      </c>
      <c r="AB496" s="2" t="str">
        <f t="shared" si="80"/>
        <v>Invalid</v>
      </c>
      <c r="AC496">
        <v>360.66</v>
      </c>
      <c r="AD496" s="11">
        <f t="shared" si="87"/>
        <v>0.21056995060661615</v>
      </c>
      <c r="AE496" t="s">
        <v>156</v>
      </c>
      <c r="AF496" t="s">
        <v>69</v>
      </c>
    </row>
    <row r="497" spans="1:32">
      <c r="A497" t="s">
        <v>1589</v>
      </c>
      <c r="B497" s="2" t="str">
        <f t="shared" si="77"/>
        <v>Unique</v>
      </c>
      <c r="C497" s="2" t="str">
        <f t="shared" si="81"/>
        <v>May</v>
      </c>
      <c r="D497" s="2">
        <f t="shared" si="82"/>
        <v>2024</v>
      </c>
      <c r="E497" s="4">
        <v>45421</v>
      </c>
      <c r="F497" s="4">
        <v>45427</v>
      </c>
      <c r="G497" s="6">
        <f t="shared" si="78"/>
        <v>6</v>
      </c>
      <c r="H497" s="6" t="str">
        <f t="shared" si="79"/>
        <v>Valid</v>
      </c>
      <c r="I497" t="s">
        <v>1590</v>
      </c>
      <c r="J497" t="s">
        <v>37</v>
      </c>
      <c r="K497" t="s">
        <v>38</v>
      </c>
      <c r="L497" t="s">
        <v>39</v>
      </c>
      <c r="M497" t="s">
        <v>167</v>
      </c>
      <c r="O497" t="s">
        <v>75</v>
      </c>
      <c r="P497" t="s">
        <v>172</v>
      </c>
      <c r="Q497" t="s">
        <v>1591</v>
      </c>
      <c r="R497" t="s">
        <v>32</v>
      </c>
      <c r="S497">
        <v>4</v>
      </c>
      <c r="T497">
        <v>995.98</v>
      </c>
      <c r="U497" s="2">
        <f t="shared" si="83"/>
        <v>3784.7239999999997</v>
      </c>
      <c r="V497" s="13">
        <v>0.05</v>
      </c>
      <c r="W497" s="2">
        <f t="shared" si="84"/>
        <v>0.05</v>
      </c>
      <c r="X497" s="2" t="str">
        <f t="shared" si="85"/>
        <v>Valid</v>
      </c>
      <c r="Y497" s="2" t="str">
        <f t="shared" si="86"/>
        <v>Clean</v>
      </c>
      <c r="Z497">
        <v>3784.72</v>
      </c>
      <c r="AA497">
        <v>2419.2399999999998</v>
      </c>
      <c r="AB497" s="2">
        <f t="shared" si="80"/>
        <v>1365.4839999999999</v>
      </c>
      <c r="AC497">
        <v>1365.48</v>
      </c>
      <c r="AD497" s="11">
        <f t="shared" si="87"/>
        <v>0.3607875879853728</v>
      </c>
      <c r="AE497" t="s">
        <v>103</v>
      </c>
      <c r="AF497" t="s">
        <v>104</v>
      </c>
    </row>
    <row r="498" spans="1:32">
      <c r="A498" t="s">
        <v>1592</v>
      </c>
      <c r="B498" s="2" t="str">
        <f t="shared" si="77"/>
        <v>Unique</v>
      </c>
      <c r="C498" s="2" t="str">
        <f t="shared" si="81"/>
        <v>Jul</v>
      </c>
      <c r="D498" s="2">
        <f t="shared" si="82"/>
        <v>2025</v>
      </c>
      <c r="E498" s="4">
        <v>45842</v>
      </c>
      <c r="F498" s="4">
        <v>45844</v>
      </c>
      <c r="G498" s="6">
        <f t="shared" si="78"/>
        <v>2</v>
      </c>
      <c r="H498" s="6" t="str">
        <f t="shared" si="79"/>
        <v>Valid</v>
      </c>
      <c r="I498" t="s">
        <v>1593</v>
      </c>
      <c r="J498" t="s">
        <v>265</v>
      </c>
      <c r="K498" t="s">
        <v>38</v>
      </c>
      <c r="L498" t="s">
        <v>39</v>
      </c>
      <c r="M498" t="s">
        <v>229</v>
      </c>
      <c r="O498" t="s">
        <v>42</v>
      </c>
      <c r="P498" t="s">
        <v>67</v>
      </c>
      <c r="Q498" t="s">
        <v>1594</v>
      </c>
      <c r="R498" t="s">
        <v>32</v>
      </c>
      <c r="S498">
        <v>2</v>
      </c>
      <c r="T498">
        <v>3686.42</v>
      </c>
      <c r="U498" s="2">
        <f t="shared" si="83"/>
        <v>6635.5560000000005</v>
      </c>
      <c r="V498" s="13">
        <v>0.1</v>
      </c>
      <c r="W498" s="2">
        <f t="shared" si="84"/>
        <v>0.1</v>
      </c>
      <c r="X498" s="2" t="str">
        <f t="shared" si="85"/>
        <v>Valid</v>
      </c>
      <c r="Y498" s="2" t="str">
        <f t="shared" si="86"/>
        <v>Clean</v>
      </c>
      <c r="Z498">
        <v>6635.56</v>
      </c>
      <c r="AA498">
        <v>3652.91</v>
      </c>
      <c r="AB498" s="2">
        <f t="shared" si="80"/>
        <v>2982.6460000000006</v>
      </c>
      <c r="AC498">
        <v>2982.65</v>
      </c>
      <c r="AD498" s="11">
        <f t="shared" si="87"/>
        <v>0.4494948429371447</v>
      </c>
      <c r="AE498" t="s">
        <v>33</v>
      </c>
      <c r="AF498" t="s">
        <v>34</v>
      </c>
    </row>
    <row r="499" spans="1:32">
      <c r="A499" t="s">
        <v>1595</v>
      </c>
      <c r="B499" s="2" t="str">
        <f t="shared" si="77"/>
        <v>Unique</v>
      </c>
      <c r="C499" s="2" t="str">
        <f t="shared" si="81"/>
        <v>Aug</v>
      </c>
      <c r="D499" s="2">
        <f t="shared" si="82"/>
        <v>2024</v>
      </c>
      <c r="E499" s="4">
        <v>45533</v>
      </c>
      <c r="F499" s="4">
        <v>45533</v>
      </c>
      <c r="G499" s="6">
        <f t="shared" si="78"/>
        <v>0</v>
      </c>
      <c r="H499" s="6" t="str">
        <f t="shared" si="79"/>
        <v>Valid</v>
      </c>
      <c r="I499" t="s">
        <v>1596</v>
      </c>
      <c r="J499" t="s">
        <v>133</v>
      </c>
      <c r="K499" t="s">
        <v>38</v>
      </c>
      <c r="L499" t="s">
        <v>26</v>
      </c>
      <c r="M499" t="s">
        <v>137</v>
      </c>
      <c r="O499" t="s">
        <v>75</v>
      </c>
      <c r="P499" t="s">
        <v>76</v>
      </c>
      <c r="Q499" t="s">
        <v>1597</v>
      </c>
      <c r="R499" t="s">
        <v>32</v>
      </c>
      <c r="S499">
        <v>1</v>
      </c>
      <c r="T499">
        <v>3106.88</v>
      </c>
      <c r="U499" s="2">
        <f t="shared" si="83"/>
        <v>2485.5040000000004</v>
      </c>
      <c r="V499" s="13">
        <v>0.2</v>
      </c>
      <c r="W499" s="2">
        <f t="shared" si="84"/>
        <v>0.2</v>
      </c>
      <c r="X499" s="2" t="str">
        <f t="shared" si="85"/>
        <v>Valid</v>
      </c>
      <c r="Y499" s="2" t="str">
        <f t="shared" si="86"/>
        <v>Clean</v>
      </c>
      <c r="Z499">
        <v>2485.5</v>
      </c>
      <c r="AA499">
        <v>2028.43</v>
      </c>
      <c r="AB499" s="2">
        <f t="shared" si="80"/>
        <v>457.0740000000003</v>
      </c>
      <c r="AC499">
        <v>457.07</v>
      </c>
      <c r="AD499" s="11">
        <f t="shared" si="87"/>
        <v>0.18389458861396096</v>
      </c>
      <c r="AE499" t="s">
        <v>33</v>
      </c>
      <c r="AF499" t="s">
        <v>69</v>
      </c>
    </row>
    <row r="500" spans="1:32">
      <c r="A500" t="s">
        <v>1598</v>
      </c>
      <c r="B500" s="2" t="str">
        <f t="shared" si="77"/>
        <v>Unique</v>
      </c>
      <c r="C500" s="2" t="str">
        <f t="shared" si="81"/>
        <v>Sep</v>
      </c>
      <c r="D500" s="2">
        <f t="shared" si="82"/>
        <v>2025</v>
      </c>
      <c r="E500" s="4">
        <v>45907</v>
      </c>
      <c r="F500" s="4">
        <v>45910</v>
      </c>
      <c r="G500" s="6">
        <f t="shared" si="78"/>
        <v>3</v>
      </c>
      <c r="H500" s="6" t="str">
        <f t="shared" si="79"/>
        <v>Valid</v>
      </c>
      <c r="I500" t="s">
        <v>1599</v>
      </c>
      <c r="J500" t="s">
        <v>24</v>
      </c>
      <c r="K500" t="s">
        <v>25</v>
      </c>
      <c r="L500" t="s">
        <v>26</v>
      </c>
      <c r="M500" t="s">
        <v>123</v>
      </c>
      <c r="O500" t="s">
        <v>42</v>
      </c>
      <c r="P500" t="s">
        <v>67</v>
      </c>
      <c r="Q500" t="s">
        <v>1600</v>
      </c>
      <c r="R500" t="s">
        <v>45</v>
      </c>
      <c r="S500">
        <v>2</v>
      </c>
      <c r="T500">
        <v>447.55</v>
      </c>
      <c r="U500" s="2">
        <f t="shared" si="83"/>
        <v>850.34500000000003</v>
      </c>
      <c r="V500" s="13">
        <v>0.05</v>
      </c>
      <c r="W500" s="2">
        <f t="shared" si="84"/>
        <v>0.05</v>
      </c>
      <c r="X500" s="2" t="str">
        <f t="shared" si="85"/>
        <v>Valid</v>
      </c>
      <c r="Y500" s="2" t="str">
        <f t="shared" si="86"/>
        <v>Clean</v>
      </c>
      <c r="Z500">
        <v>850.35</v>
      </c>
      <c r="AA500">
        <v>600.98</v>
      </c>
      <c r="AB500" s="2">
        <f t="shared" si="80"/>
        <v>249.36500000000001</v>
      </c>
      <c r="AC500">
        <v>249.37</v>
      </c>
      <c r="AD500" s="11">
        <f t="shared" si="87"/>
        <v>0.29325571823366847</v>
      </c>
      <c r="AE500" t="s">
        <v>103</v>
      </c>
      <c r="AF500" t="s">
        <v>69</v>
      </c>
    </row>
    <row r="501" spans="1:32">
      <c r="A501" t="s">
        <v>1601</v>
      </c>
      <c r="B501" s="2" t="str">
        <f t="shared" si="77"/>
        <v>Unique</v>
      </c>
      <c r="C501" s="2" t="str">
        <f t="shared" si="81"/>
        <v>Dec</v>
      </c>
      <c r="D501" s="2">
        <f t="shared" si="82"/>
        <v>2024</v>
      </c>
      <c r="E501" s="4">
        <v>45648</v>
      </c>
      <c r="F501" s="4">
        <v>45652</v>
      </c>
      <c r="G501" s="6">
        <f t="shared" si="78"/>
        <v>4</v>
      </c>
      <c r="H501" s="6" t="str">
        <f t="shared" si="79"/>
        <v>Valid</v>
      </c>
      <c r="I501" t="s">
        <v>1602</v>
      </c>
      <c r="J501" t="s">
        <v>119</v>
      </c>
      <c r="K501" t="s">
        <v>96</v>
      </c>
      <c r="L501" t="s">
        <v>26</v>
      </c>
      <c r="M501" t="s">
        <v>137</v>
      </c>
      <c r="O501" t="s">
        <v>42</v>
      </c>
      <c r="P501" t="s">
        <v>67</v>
      </c>
      <c r="Q501" t="s">
        <v>1603</v>
      </c>
      <c r="R501" t="s">
        <v>60</v>
      </c>
      <c r="S501">
        <v>9</v>
      </c>
      <c r="T501">
        <v>1110.8699999999999</v>
      </c>
      <c r="U501" s="2">
        <f t="shared" si="83"/>
        <v>9997.8299999999981</v>
      </c>
      <c r="V501" s="13">
        <v>0</v>
      </c>
      <c r="W501" s="2">
        <f t="shared" si="84"/>
        <v>0</v>
      </c>
      <c r="X501" s="2" t="str">
        <f t="shared" si="85"/>
        <v>Valid</v>
      </c>
      <c r="Y501" s="2" t="str">
        <f t="shared" si="86"/>
        <v>Clean</v>
      </c>
      <c r="Z501">
        <v>7498.37</v>
      </c>
      <c r="AA501">
        <v>6059.07</v>
      </c>
      <c r="AB501" s="2">
        <f t="shared" si="80"/>
        <v>3938.7599999999984</v>
      </c>
      <c r="AC501">
        <v>1439.3</v>
      </c>
      <c r="AD501" s="11">
        <f t="shared" si="87"/>
        <v>0.19194838344866952</v>
      </c>
      <c r="AE501" t="s">
        <v>33</v>
      </c>
      <c r="AF501" t="s">
        <v>69</v>
      </c>
    </row>
    <row r="502" spans="1:32">
      <c r="A502" t="s">
        <v>1604</v>
      </c>
      <c r="B502" s="2" t="str">
        <f t="shared" si="77"/>
        <v>Unique</v>
      </c>
      <c r="C502" s="2" t="str">
        <f t="shared" si="81"/>
        <v>May</v>
      </c>
      <c r="D502" s="2">
        <f t="shared" si="82"/>
        <v>2024</v>
      </c>
      <c r="E502" s="4">
        <v>45429</v>
      </c>
      <c r="F502" s="4">
        <v>45434</v>
      </c>
      <c r="G502" s="6">
        <f t="shared" si="78"/>
        <v>5</v>
      </c>
      <c r="H502" s="6" t="str">
        <f t="shared" si="79"/>
        <v>Valid</v>
      </c>
      <c r="I502" t="s">
        <v>1605</v>
      </c>
      <c r="J502" t="s">
        <v>133</v>
      </c>
      <c r="K502" t="s">
        <v>25</v>
      </c>
      <c r="L502" t="s">
        <v>55</v>
      </c>
      <c r="M502" t="s">
        <v>186</v>
      </c>
      <c r="O502" t="s">
        <v>75</v>
      </c>
      <c r="P502" t="s">
        <v>172</v>
      </c>
      <c r="Q502" t="s">
        <v>1606</v>
      </c>
      <c r="R502" t="s">
        <v>45</v>
      </c>
      <c r="S502">
        <v>9</v>
      </c>
      <c r="T502">
        <v>3795.99</v>
      </c>
      <c r="U502" s="2" t="str">
        <f t="shared" si="83"/>
        <v>Invalid</v>
      </c>
      <c r="V502" s="13" t="s">
        <v>768</v>
      </c>
      <c r="W502" s="2" t="str">
        <f t="shared" si="84"/>
        <v>Invalid</v>
      </c>
      <c r="X502" s="2" t="str">
        <f t="shared" si="85"/>
        <v>Invalid</v>
      </c>
      <c r="Y502" s="2" t="str">
        <f t="shared" si="86"/>
        <v>Invalid</v>
      </c>
      <c r="Z502">
        <v>34163.910000000003</v>
      </c>
      <c r="AA502">
        <v>28577.15</v>
      </c>
      <c r="AB502" s="2" t="str">
        <f t="shared" si="80"/>
        <v>Invalid</v>
      </c>
      <c r="AC502">
        <v>5586.76</v>
      </c>
      <c r="AD502" s="11">
        <f t="shared" si="87"/>
        <v>0.16352812075666981</v>
      </c>
      <c r="AE502" t="s">
        <v>33</v>
      </c>
      <c r="AF502" t="s">
        <v>34</v>
      </c>
    </row>
    <row r="503" spans="1:32">
      <c r="A503" t="s">
        <v>1607</v>
      </c>
      <c r="B503" s="2" t="str">
        <f t="shared" si="77"/>
        <v>Unique</v>
      </c>
      <c r="C503" s="2" t="str">
        <f t="shared" si="81"/>
        <v>Aug</v>
      </c>
      <c r="D503" s="2">
        <f t="shared" si="82"/>
        <v>2024</v>
      </c>
      <c r="E503" s="4">
        <v>45515</v>
      </c>
      <c r="F503" s="4">
        <v>45521</v>
      </c>
      <c r="G503" s="6">
        <f t="shared" si="78"/>
        <v>6</v>
      </c>
      <c r="H503" s="6" t="str">
        <f t="shared" si="79"/>
        <v>Valid</v>
      </c>
      <c r="I503" t="s">
        <v>809</v>
      </c>
      <c r="J503" t="s">
        <v>80</v>
      </c>
      <c r="K503" t="s">
        <v>25</v>
      </c>
      <c r="L503" t="s">
        <v>39</v>
      </c>
      <c r="M503" t="s">
        <v>229</v>
      </c>
      <c r="O503" t="s">
        <v>29</v>
      </c>
      <c r="P503" t="s">
        <v>49</v>
      </c>
      <c r="Q503" t="s">
        <v>1608</v>
      </c>
      <c r="R503" t="s">
        <v>32</v>
      </c>
      <c r="S503">
        <v>6</v>
      </c>
      <c r="T503">
        <v>3497.54</v>
      </c>
      <c r="U503" s="2">
        <f t="shared" si="83"/>
        <v>17837.453999999998</v>
      </c>
      <c r="V503" s="13">
        <v>0.15</v>
      </c>
      <c r="W503" s="2">
        <f t="shared" si="84"/>
        <v>0.15</v>
      </c>
      <c r="X503" s="2" t="str">
        <f t="shared" si="85"/>
        <v>Valid</v>
      </c>
      <c r="Y503" s="2" t="str">
        <f t="shared" si="86"/>
        <v>Clean</v>
      </c>
      <c r="Z503">
        <v>17837.45</v>
      </c>
      <c r="AA503">
        <v>13627.02</v>
      </c>
      <c r="AB503" s="2">
        <f t="shared" si="80"/>
        <v>4210.4339999999975</v>
      </c>
      <c r="AC503">
        <v>4210.43</v>
      </c>
      <c r="AD503" s="11">
        <f t="shared" si="87"/>
        <v>0.23604438975301964</v>
      </c>
      <c r="AE503" t="s">
        <v>33</v>
      </c>
      <c r="AF503" t="s">
        <v>34</v>
      </c>
    </row>
    <row r="504" spans="1:32">
      <c r="A504" t="s">
        <v>1609</v>
      </c>
      <c r="B504" s="2" t="str">
        <f t="shared" si="77"/>
        <v>Unique</v>
      </c>
      <c r="C504" s="2" t="str">
        <f t="shared" si="81"/>
        <v>Apr</v>
      </c>
      <c r="D504" s="2">
        <f t="shared" si="82"/>
        <v>2024</v>
      </c>
      <c r="E504" s="4">
        <v>45383</v>
      </c>
      <c r="F504" s="4">
        <v>45391</v>
      </c>
      <c r="G504" s="6">
        <f t="shared" si="78"/>
        <v>8</v>
      </c>
      <c r="H504" s="6" t="str">
        <f t="shared" si="79"/>
        <v>Valid</v>
      </c>
      <c r="I504" t="s">
        <v>1610</v>
      </c>
      <c r="J504" t="s">
        <v>115</v>
      </c>
      <c r="K504" t="s">
        <v>38</v>
      </c>
      <c r="L504" t="s">
        <v>39</v>
      </c>
      <c r="M504" t="s">
        <v>40</v>
      </c>
      <c r="O504" t="s">
        <v>75</v>
      </c>
      <c r="P504" t="s">
        <v>81</v>
      </c>
      <c r="Q504" t="s">
        <v>1611</v>
      </c>
      <c r="R504" t="s">
        <v>32</v>
      </c>
      <c r="S504">
        <v>6</v>
      </c>
      <c r="T504">
        <v>826.93</v>
      </c>
      <c r="U504" s="2">
        <f t="shared" si="83"/>
        <v>4465.4220000000005</v>
      </c>
      <c r="V504" s="13">
        <v>0.1</v>
      </c>
      <c r="W504" s="2">
        <f t="shared" si="84"/>
        <v>0.1</v>
      </c>
      <c r="X504" s="2" t="str">
        <f t="shared" si="85"/>
        <v>Valid</v>
      </c>
      <c r="Y504" s="2" t="str">
        <f t="shared" si="86"/>
        <v>Clean</v>
      </c>
      <c r="Z504">
        <v>4465.42</v>
      </c>
      <c r="AA504">
        <v>3377.1</v>
      </c>
      <c r="AB504" s="2">
        <f t="shared" si="80"/>
        <v>1088.3220000000006</v>
      </c>
      <c r="AC504">
        <v>1088.32</v>
      </c>
      <c r="AD504" s="11">
        <f t="shared" si="87"/>
        <v>0.24372175517644476</v>
      </c>
      <c r="AE504" t="s">
        <v>33</v>
      </c>
      <c r="AF504" t="s">
        <v>34</v>
      </c>
    </row>
    <row r="505" spans="1:32">
      <c r="A505" t="s">
        <v>1612</v>
      </c>
      <c r="B505" s="2" t="str">
        <f t="shared" si="77"/>
        <v>Unique</v>
      </c>
      <c r="C505" s="2" t="str">
        <f t="shared" si="81"/>
        <v>Sep</v>
      </c>
      <c r="D505" s="2">
        <f t="shared" si="82"/>
        <v>2024</v>
      </c>
      <c r="E505" s="4">
        <v>45563</v>
      </c>
      <c r="F505" s="4">
        <v>45570</v>
      </c>
      <c r="G505" s="6">
        <f t="shared" si="78"/>
        <v>7</v>
      </c>
      <c r="H505" s="6" t="str">
        <f t="shared" si="79"/>
        <v>Valid</v>
      </c>
      <c r="I505" t="s">
        <v>1613</v>
      </c>
      <c r="J505" t="s">
        <v>129</v>
      </c>
      <c r="K505" t="s">
        <v>25</v>
      </c>
      <c r="L505" t="s">
        <v>55</v>
      </c>
      <c r="M505" t="s">
        <v>248</v>
      </c>
      <c r="O505" t="s">
        <v>75</v>
      </c>
      <c r="P505" t="s">
        <v>172</v>
      </c>
      <c r="Q505" t="s">
        <v>1614</v>
      </c>
      <c r="R505" t="s">
        <v>60</v>
      </c>
      <c r="S505">
        <v>7</v>
      </c>
      <c r="T505">
        <v>1681.6</v>
      </c>
      <c r="U505" s="2">
        <f t="shared" si="83"/>
        <v>10594.08</v>
      </c>
      <c r="V505" s="13">
        <v>0.1</v>
      </c>
      <c r="W505" s="2">
        <f t="shared" si="84"/>
        <v>0.1</v>
      </c>
      <c r="X505" s="2" t="str">
        <f t="shared" si="85"/>
        <v>Valid</v>
      </c>
      <c r="Y505" s="2" t="str">
        <f t="shared" si="86"/>
        <v>Clean</v>
      </c>
      <c r="Z505">
        <v>10594.08</v>
      </c>
      <c r="AA505">
        <v>7160.31</v>
      </c>
      <c r="AB505" s="2">
        <f t="shared" si="80"/>
        <v>3433.7699999999995</v>
      </c>
      <c r="AC505">
        <v>3433.77</v>
      </c>
      <c r="AD505" s="11">
        <f t="shared" si="87"/>
        <v>0.32412158488514342</v>
      </c>
      <c r="AE505" t="s">
        <v>33</v>
      </c>
      <c r="AF505" t="s">
        <v>34</v>
      </c>
    </row>
    <row r="506" spans="1:32">
      <c r="A506" t="s">
        <v>1615</v>
      </c>
      <c r="B506" s="2" t="str">
        <f t="shared" si="77"/>
        <v>Unique</v>
      </c>
      <c r="C506" s="2" t="str">
        <f t="shared" si="81"/>
        <v>Feb</v>
      </c>
      <c r="D506" s="2">
        <f t="shared" si="82"/>
        <v>2025</v>
      </c>
      <c r="E506" s="4">
        <v>45700</v>
      </c>
      <c r="F506" s="4">
        <v>45705</v>
      </c>
      <c r="G506" s="6">
        <f t="shared" si="78"/>
        <v>5</v>
      </c>
      <c r="H506" s="6" t="str">
        <f t="shared" si="79"/>
        <v>Valid</v>
      </c>
      <c r="I506" t="s">
        <v>1616</v>
      </c>
      <c r="J506" t="s">
        <v>54</v>
      </c>
      <c r="K506" t="s">
        <v>91</v>
      </c>
      <c r="L506" t="s">
        <v>64</v>
      </c>
      <c r="M506" t="s">
        <v>181</v>
      </c>
      <c r="O506" t="s">
        <v>29</v>
      </c>
      <c r="P506" t="s">
        <v>49</v>
      </c>
      <c r="Q506" t="s">
        <v>1617</v>
      </c>
      <c r="R506" t="s">
        <v>60</v>
      </c>
      <c r="S506">
        <v>4</v>
      </c>
      <c r="T506">
        <v>4328.12</v>
      </c>
      <c r="U506" s="2">
        <f t="shared" si="83"/>
        <v>17312.48</v>
      </c>
      <c r="V506" s="13">
        <v>0</v>
      </c>
      <c r="W506" s="2">
        <f t="shared" si="84"/>
        <v>0</v>
      </c>
      <c r="X506" s="2" t="str">
        <f t="shared" si="85"/>
        <v>Valid</v>
      </c>
      <c r="Y506" s="2" t="str">
        <f t="shared" si="86"/>
        <v>Clean</v>
      </c>
      <c r="Z506">
        <v>17312.48</v>
      </c>
      <c r="AA506">
        <v>14424.22</v>
      </c>
      <c r="AB506" s="2">
        <f t="shared" si="80"/>
        <v>2888.26</v>
      </c>
      <c r="AC506">
        <v>2888.26</v>
      </c>
      <c r="AD506" s="11">
        <f t="shared" si="87"/>
        <v>0.16683109525613893</v>
      </c>
      <c r="AE506" t="s">
        <v>33</v>
      </c>
      <c r="AF506" t="s">
        <v>34</v>
      </c>
    </row>
    <row r="507" spans="1:32">
      <c r="A507" t="s">
        <v>1618</v>
      </c>
      <c r="B507" s="2" t="str">
        <f t="shared" si="77"/>
        <v>Unique</v>
      </c>
      <c r="C507" s="2" t="str">
        <f t="shared" si="81"/>
        <v>Nov</v>
      </c>
      <c r="D507" s="2">
        <f t="shared" si="82"/>
        <v>2024</v>
      </c>
      <c r="E507" s="4">
        <v>45605</v>
      </c>
      <c r="F507" s="4">
        <v>45610</v>
      </c>
      <c r="G507" s="6">
        <f t="shared" si="78"/>
        <v>5</v>
      </c>
      <c r="H507" s="6" t="str">
        <f t="shared" si="79"/>
        <v>Valid</v>
      </c>
      <c r="I507" t="s">
        <v>1619</v>
      </c>
      <c r="J507" t="s">
        <v>80</v>
      </c>
      <c r="K507" t="s">
        <v>91</v>
      </c>
      <c r="L507" t="s">
        <v>64</v>
      </c>
      <c r="M507" t="s">
        <v>73</v>
      </c>
      <c r="O507" t="s">
        <v>29</v>
      </c>
      <c r="P507" t="s">
        <v>49</v>
      </c>
      <c r="Q507" t="s">
        <v>1620</v>
      </c>
      <c r="R507" t="s">
        <v>51</v>
      </c>
      <c r="S507">
        <v>9</v>
      </c>
      <c r="T507">
        <v>2438.29</v>
      </c>
      <c r="U507" s="2">
        <f t="shared" si="83"/>
        <v>17555.688000000002</v>
      </c>
      <c r="V507" s="13">
        <v>0.2</v>
      </c>
      <c r="W507" s="2">
        <f t="shared" si="84"/>
        <v>0.2</v>
      </c>
      <c r="X507" s="2" t="str">
        <f t="shared" si="85"/>
        <v>Valid</v>
      </c>
      <c r="Y507" s="2" t="str">
        <f t="shared" si="86"/>
        <v>Clean</v>
      </c>
      <c r="Z507">
        <v>17555.689999999999</v>
      </c>
      <c r="AA507">
        <v>13293.2</v>
      </c>
      <c r="AB507" s="2">
        <f t="shared" si="80"/>
        <v>4262.4880000000012</v>
      </c>
      <c r="AC507">
        <v>4262.49</v>
      </c>
      <c r="AD507" s="11">
        <f t="shared" si="87"/>
        <v>0.24279820388717277</v>
      </c>
      <c r="AE507" t="s">
        <v>33</v>
      </c>
      <c r="AF507" t="s">
        <v>69</v>
      </c>
    </row>
    <row r="508" spans="1:32">
      <c r="A508" t="s">
        <v>1621</v>
      </c>
      <c r="B508" s="2" t="str">
        <f t="shared" si="77"/>
        <v>Unique</v>
      </c>
      <c r="C508" s="2" t="str">
        <f t="shared" si="81"/>
        <v>Dec</v>
      </c>
      <c r="D508" s="2">
        <f t="shared" si="82"/>
        <v>2024</v>
      </c>
      <c r="E508" s="4">
        <v>45641</v>
      </c>
      <c r="F508" s="4">
        <v>45641</v>
      </c>
      <c r="G508" s="6">
        <f t="shared" si="78"/>
        <v>0</v>
      </c>
      <c r="H508" s="6" t="str">
        <f t="shared" si="79"/>
        <v>Valid</v>
      </c>
      <c r="I508" t="s">
        <v>1622</v>
      </c>
      <c r="J508" t="s">
        <v>129</v>
      </c>
      <c r="K508" t="s">
        <v>38</v>
      </c>
      <c r="L508" t="s">
        <v>26</v>
      </c>
      <c r="M508" t="s">
        <v>123</v>
      </c>
      <c r="O508" t="s">
        <v>42</v>
      </c>
      <c r="P508" t="s">
        <v>58</v>
      </c>
      <c r="Q508" t="s">
        <v>1623</v>
      </c>
      <c r="R508" t="s">
        <v>51</v>
      </c>
      <c r="S508">
        <v>2</v>
      </c>
      <c r="T508">
        <v>669.8</v>
      </c>
      <c r="U508" s="2">
        <f t="shared" si="83"/>
        <v>1205.6399999999999</v>
      </c>
      <c r="V508" s="13">
        <v>0.1</v>
      </c>
      <c r="W508" s="2">
        <f t="shared" si="84"/>
        <v>0.1</v>
      </c>
      <c r="X508" s="2" t="str">
        <f t="shared" si="85"/>
        <v>Valid</v>
      </c>
      <c r="Y508" s="2" t="str">
        <f t="shared" si="86"/>
        <v>Clean</v>
      </c>
      <c r="Z508">
        <v>1205.6400000000001</v>
      </c>
      <c r="AA508">
        <v>842.07</v>
      </c>
      <c r="AB508" s="2">
        <f t="shared" si="80"/>
        <v>363.56999999999982</v>
      </c>
      <c r="AC508">
        <v>363.57</v>
      </c>
      <c r="AD508" s="11">
        <f t="shared" si="87"/>
        <v>0.30155767890912705</v>
      </c>
      <c r="AE508" t="s">
        <v>103</v>
      </c>
      <c r="AF508" t="s">
        <v>104</v>
      </c>
    </row>
    <row r="509" spans="1:32">
      <c r="A509" t="s">
        <v>1624</v>
      </c>
      <c r="B509" s="2" t="str">
        <f t="shared" si="77"/>
        <v>Unique</v>
      </c>
      <c r="C509" s="2" t="str">
        <f t="shared" si="81"/>
        <v>Apr</v>
      </c>
      <c r="D509" s="2">
        <f t="shared" si="82"/>
        <v>2025</v>
      </c>
      <c r="E509" s="4">
        <v>45762</v>
      </c>
      <c r="F509" s="4">
        <v>45769</v>
      </c>
      <c r="G509" s="6">
        <f t="shared" si="78"/>
        <v>7</v>
      </c>
      <c r="H509" s="6" t="str">
        <f t="shared" si="79"/>
        <v>Valid</v>
      </c>
      <c r="I509" t="s">
        <v>1625</v>
      </c>
      <c r="J509" t="s">
        <v>48</v>
      </c>
      <c r="K509" t="s">
        <v>38</v>
      </c>
      <c r="L509" t="s">
        <v>26</v>
      </c>
      <c r="M509" t="s">
        <v>237</v>
      </c>
      <c r="O509" t="s">
        <v>29</v>
      </c>
      <c r="P509" t="s">
        <v>154</v>
      </c>
      <c r="Q509" t="s">
        <v>1626</v>
      </c>
      <c r="R509" t="s">
        <v>45</v>
      </c>
      <c r="S509">
        <v>4</v>
      </c>
      <c r="T509">
        <v>2990.42</v>
      </c>
      <c r="U509" s="2">
        <f t="shared" si="83"/>
        <v>8971.26</v>
      </c>
      <c r="V509" s="13">
        <v>0.25</v>
      </c>
      <c r="W509" s="2">
        <f t="shared" si="84"/>
        <v>0.25</v>
      </c>
      <c r="X509" s="2" t="str">
        <f t="shared" si="85"/>
        <v>Valid</v>
      </c>
      <c r="Y509" s="2" t="str">
        <f t="shared" si="86"/>
        <v>Clean</v>
      </c>
      <c r="Z509">
        <v>8971.26</v>
      </c>
      <c r="AA509">
        <v>6814.35</v>
      </c>
      <c r="AB509" s="2">
        <f t="shared" si="80"/>
        <v>2156.91</v>
      </c>
      <c r="AC509">
        <v>2156.91</v>
      </c>
      <c r="AD509" s="11">
        <f t="shared" si="87"/>
        <v>0.24042442198754688</v>
      </c>
      <c r="AE509" t="s">
        <v>33</v>
      </c>
      <c r="AF509" t="s">
        <v>34</v>
      </c>
    </row>
    <row r="510" spans="1:32">
      <c r="A510" t="s">
        <v>1627</v>
      </c>
      <c r="B510" s="2" t="str">
        <f t="shared" si="77"/>
        <v>Unique</v>
      </c>
      <c r="C510" s="2" t="str">
        <f t="shared" si="81"/>
        <v>Mar</v>
      </c>
      <c r="D510" s="2">
        <f t="shared" si="82"/>
        <v>2024</v>
      </c>
      <c r="E510" s="4">
        <v>45382</v>
      </c>
      <c r="F510" s="4">
        <v>45389</v>
      </c>
      <c r="G510" s="6">
        <f t="shared" si="78"/>
        <v>7</v>
      </c>
      <c r="H510" s="6" t="str">
        <f t="shared" si="79"/>
        <v>Valid</v>
      </c>
      <c r="I510" t="s">
        <v>1628</v>
      </c>
      <c r="J510" t="s">
        <v>48</v>
      </c>
      <c r="K510" t="s">
        <v>38</v>
      </c>
      <c r="L510" t="s">
        <v>26</v>
      </c>
      <c r="M510" t="s">
        <v>237</v>
      </c>
      <c r="O510" t="s">
        <v>75</v>
      </c>
      <c r="P510" t="s">
        <v>275</v>
      </c>
      <c r="Q510" t="s">
        <v>1629</v>
      </c>
      <c r="R510" t="s">
        <v>32</v>
      </c>
      <c r="S510">
        <v>4</v>
      </c>
      <c r="T510">
        <v>1831</v>
      </c>
      <c r="U510" s="2">
        <f t="shared" si="83"/>
        <v>7324</v>
      </c>
      <c r="V510" s="13">
        <v>0</v>
      </c>
      <c r="W510" s="2">
        <f t="shared" si="84"/>
        <v>0</v>
      </c>
      <c r="X510" s="2" t="str">
        <f t="shared" si="85"/>
        <v>Valid</v>
      </c>
      <c r="Y510" s="2" t="str">
        <f t="shared" si="86"/>
        <v>Clean</v>
      </c>
      <c r="Z510">
        <v>7324</v>
      </c>
      <c r="AA510">
        <v>4179.63</v>
      </c>
      <c r="AB510" s="2">
        <f t="shared" si="80"/>
        <v>3144.37</v>
      </c>
      <c r="AC510">
        <v>3144.37</v>
      </c>
      <c r="AD510" s="11">
        <f t="shared" si="87"/>
        <v>0.42932413981430911</v>
      </c>
      <c r="AE510" t="s">
        <v>33</v>
      </c>
      <c r="AF510" t="s">
        <v>34</v>
      </c>
    </row>
    <row r="511" spans="1:32">
      <c r="A511" t="s">
        <v>1630</v>
      </c>
      <c r="B511" s="2" t="str">
        <f t="shared" si="77"/>
        <v>Unique</v>
      </c>
      <c r="C511" s="2" t="str">
        <f t="shared" si="81"/>
        <v>May</v>
      </c>
      <c r="D511" s="2">
        <f t="shared" si="82"/>
        <v>2025</v>
      </c>
      <c r="E511" s="4">
        <v>45789</v>
      </c>
      <c r="F511" s="4">
        <v>45791</v>
      </c>
      <c r="G511" s="6">
        <f t="shared" si="78"/>
        <v>2</v>
      </c>
      <c r="H511" s="6" t="str">
        <f t="shared" si="79"/>
        <v>Valid</v>
      </c>
      <c r="I511" t="s">
        <v>1631</v>
      </c>
      <c r="J511" t="s">
        <v>80</v>
      </c>
      <c r="K511" t="s">
        <v>25</v>
      </c>
      <c r="L511" t="s">
        <v>64</v>
      </c>
      <c r="M511" t="s">
        <v>181</v>
      </c>
      <c r="O511" t="s">
        <v>75</v>
      </c>
      <c r="P511" t="s">
        <v>275</v>
      </c>
      <c r="Q511" t="s">
        <v>1632</v>
      </c>
      <c r="R511" t="s">
        <v>45</v>
      </c>
      <c r="S511">
        <v>8</v>
      </c>
      <c r="T511">
        <v>3631.44</v>
      </c>
      <c r="U511" s="2">
        <f t="shared" si="83"/>
        <v>23241.216</v>
      </c>
      <c r="V511" s="13">
        <v>0.2</v>
      </c>
      <c r="W511" s="2">
        <f t="shared" si="84"/>
        <v>0.2</v>
      </c>
      <c r="X511" s="2" t="str">
        <f t="shared" si="85"/>
        <v>Valid</v>
      </c>
      <c r="Y511" s="2" t="str">
        <f t="shared" si="86"/>
        <v>Clean</v>
      </c>
      <c r="Z511">
        <v>23241.22</v>
      </c>
      <c r="AA511">
        <v>17220.900000000001</v>
      </c>
      <c r="AB511" s="2">
        <f t="shared" si="80"/>
        <v>6020.3159999999989</v>
      </c>
      <c r="AC511">
        <v>6020.32</v>
      </c>
      <c r="AD511" s="11">
        <f t="shared" si="87"/>
        <v>0.25903631564952267</v>
      </c>
      <c r="AE511" t="s">
        <v>33</v>
      </c>
      <c r="AF511" t="s">
        <v>34</v>
      </c>
    </row>
    <row r="512" spans="1:32">
      <c r="A512" t="s">
        <v>1633</v>
      </c>
      <c r="B512" s="2" t="str">
        <f t="shared" si="77"/>
        <v>Unique</v>
      </c>
      <c r="C512" s="2" t="str">
        <f t="shared" si="81"/>
        <v>Oct</v>
      </c>
      <c r="D512" s="2">
        <f t="shared" si="82"/>
        <v>2024</v>
      </c>
      <c r="E512" s="4">
        <v>45583</v>
      </c>
      <c r="F512" s="4">
        <v>45586</v>
      </c>
      <c r="G512" s="6">
        <f t="shared" si="78"/>
        <v>3</v>
      </c>
      <c r="H512" s="6" t="str">
        <f t="shared" si="79"/>
        <v>Valid</v>
      </c>
      <c r="I512" t="s">
        <v>1634</v>
      </c>
      <c r="J512" t="s">
        <v>129</v>
      </c>
      <c r="K512" t="s">
        <v>25</v>
      </c>
      <c r="L512" t="s">
        <v>55</v>
      </c>
      <c r="M512" t="s">
        <v>176</v>
      </c>
      <c r="O512" t="s">
        <v>29</v>
      </c>
      <c r="P512" t="s">
        <v>125</v>
      </c>
      <c r="Q512" t="s">
        <v>1635</v>
      </c>
      <c r="R512" t="s">
        <v>32</v>
      </c>
      <c r="S512">
        <v>2</v>
      </c>
      <c r="T512">
        <v>4238.51</v>
      </c>
      <c r="U512" s="2">
        <f t="shared" si="83"/>
        <v>8477.02</v>
      </c>
      <c r="V512" s="13">
        <v>0</v>
      </c>
      <c r="W512" s="2">
        <f t="shared" si="84"/>
        <v>0</v>
      </c>
      <c r="X512" s="2" t="str">
        <f t="shared" si="85"/>
        <v>Valid</v>
      </c>
      <c r="Y512" s="2" t="str">
        <f t="shared" si="86"/>
        <v>Clean</v>
      </c>
      <c r="Z512">
        <v>8477.02</v>
      </c>
      <c r="AA512">
        <v>6884.96</v>
      </c>
      <c r="AB512" s="2">
        <f t="shared" si="80"/>
        <v>1592.0600000000004</v>
      </c>
      <c r="AC512">
        <v>1592.06</v>
      </c>
      <c r="AD512" s="11">
        <f t="shared" si="87"/>
        <v>0.18780892341884292</v>
      </c>
      <c r="AE512" t="s">
        <v>33</v>
      </c>
      <c r="AF512" t="s">
        <v>34</v>
      </c>
    </row>
    <row r="513" spans="1:32">
      <c r="A513" t="s">
        <v>1636</v>
      </c>
      <c r="B513" s="2" t="str">
        <f t="shared" si="77"/>
        <v>Unique</v>
      </c>
      <c r="C513" s="2" t="str">
        <f t="shared" si="81"/>
        <v>Oct</v>
      </c>
      <c r="D513" s="2">
        <f t="shared" si="82"/>
        <v>2024</v>
      </c>
      <c r="E513" s="4">
        <v>45588</v>
      </c>
      <c r="F513" s="4">
        <v>45591</v>
      </c>
      <c r="G513" s="6">
        <f t="shared" si="78"/>
        <v>3</v>
      </c>
      <c r="H513" s="6" t="str">
        <f t="shared" si="79"/>
        <v>Valid</v>
      </c>
      <c r="I513" t="s">
        <v>1637</v>
      </c>
      <c r="J513" t="s">
        <v>133</v>
      </c>
      <c r="K513" t="s">
        <v>25</v>
      </c>
      <c r="L513" t="s">
        <v>64</v>
      </c>
      <c r="M513" t="s">
        <v>73</v>
      </c>
      <c r="O513" t="s">
        <v>42</v>
      </c>
      <c r="P513" t="s">
        <v>159</v>
      </c>
      <c r="Q513" t="s">
        <v>1638</v>
      </c>
      <c r="R513" t="s">
        <v>60</v>
      </c>
      <c r="S513">
        <v>9</v>
      </c>
      <c r="T513">
        <v>544.27</v>
      </c>
      <c r="U513" s="2">
        <f t="shared" si="83"/>
        <v>3673.8225000000002</v>
      </c>
      <c r="V513" s="13">
        <v>0.25</v>
      </c>
      <c r="W513" s="2">
        <f t="shared" si="84"/>
        <v>0.25</v>
      </c>
      <c r="X513" s="2" t="str">
        <f t="shared" si="85"/>
        <v>Valid</v>
      </c>
      <c r="Y513" s="2" t="str">
        <f t="shared" si="86"/>
        <v>Clean</v>
      </c>
      <c r="Z513">
        <v>3673.82</v>
      </c>
      <c r="AA513">
        <v>2088.15</v>
      </c>
      <c r="AB513" s="2">
        <f t="shared" si="80"/>
        <v>1585.6725000000001</v>
      </c>
      <c r="AC513">
        <v>1585.67</v>
      </c>
      <c r="AD513" s="11">
        <f t="shared" si="87"/>
        <v>0.43161341600840541</v>
      </c>
      <c r="AE513" t="s">
        <v>33</v>
      </c>
      <c r="AF513" t="s">
        <v>34</v>
      </c>
    </row>
    <row r="514" spans="1:32">
      <c r="A514" t="s">
        <v>1639</v>
      </c>
      <c r="B514" s="2" t="str">
        <f t="shared" ref="B514:B577" si="88">IF(COUNTIF($A:$A,A514)&gt;1,"Duplicate Order ID","Unique")</f>
        <v>Unique</v>
      </c>
      <c r="C514" s="2" t="str">
        <f t="shared" si="81"/>
        <v>Mar</v>
      </c>
      <c r="D514" s="2">
        <f t="shared" si="82"/>
        <v>2025</v>
      </c>
      <c r="E514" s="4">
        <v>45718</v>
      </c>
      <c r="F514" s="4">
        <v>45719</v>
      </c>
      <c r="G514" s="6">
        <f t="shared" ref="G514:G577" si="89">F514-E514</f>
        <v>1</v>
      </c>
      <c r="H514" s="6" t="str">
        <f t="shared" ref="H514:H577" si="90">IF(G514&lt;0,"Invalid: Ship Date Before Order Date","Valid")</f>
        <v>Valid</v>
      </c>
      <c r="I514" t="s">
        <v>1250</v>
      </c>
      <c r="J514" t="s">
        <v>48</v>
      </c>
      <c r="K514" t="s">
        <v>91</v>
      </c>
      <c r="L514" t="s">
        <v>55</v>
      </c>
      <c r="M514" t="s">
        <v>186</v>
      </c>
      <c r="O514" t="s">
        <v>29</v>
      </c>
      <c r="P514" t="s">
        <v>92</v>
      </c>
      <c r="Q514" t="s">
        <v>1640</v>
      </c>
      <c r="R514" t="s">
        <v>32</v>
      </c>
      <c r="S514">
        <v>2</v>
      </c>
      <c r="T514">
        <v>4031.45</v>
      </c>
      <c r="U514" s="2">
        <f t="shared" si="83"/>
        <v>6047.1749999999993</v>
      </c>
      <c r="V514" s="13">
        <v>0.25</v>
      </c>
      <c r="W514" s="2">
        <f t="shared" si="84"/>
        <v>0.25</v>
      </c>
      <c r="X514" s="2" t="str">
        <f t="shared" si="85"/>
        <v>Valid</v>
      </c>
      <c r="Y514" s="2" t="str">
        <f t="shared" si="86"/>
        <v>Clean</v>
      </c>
      <c r="Z514">
        <v>6047.17</v>
      </c>
      <c r="AA514">
        <v>3368.79</v>
      </c>
      <c r="AB514" s="2">
        <f t="shared" ref="AB514:AB577" si="91">IF(ISNUMBER(U514),U514-AA514,"Invalid")</f>
        <v>2678.3849999999993</v>
      </c>
      <c r="AC514">
        <v>2678.38</v>
      </c>
      <c r="AD514" s="11">
        <f t="shared" si="87"/>
        <v>0.44291461956584649</v>
      </c>
      <c r="AE514" t="s">
        <v>33</v>
      </c>
      <c r="AF514" t="s">
        <v>34</v>
      </c>
    </row>
    <row r="515" spans="1:32">
      <c r="A515" t="s">
        <v>1641</v>
      </c>
      <c r="B515" s="2" t="str">
        <f t="shared" si="88"/>
        <v>Unique</v>
      </c>
      <c r="C515" s="2" t="str">
        <f t="shared" ref="C515:C578" si="92">TEXT(E515,"mmm")</f>
        <v>Jun</v>
      </c>
      <c r="D515" s="2">
        <f t="shared" ref="D515:D578" si="93">YEAR(E515)</f>
        <v>2025</v>
      </c>
      <c r="E515" s="4">
        <v>45835</v>
      </c>
      <c r="F515" s="4">
        <v>45840</v>
      </c>
      <c r="G515" s="6">
        <f t="shared" si="89"/>
        <v>5</v>
      </c>
      <c r="H515" s="6" t="str">
        <f t="shared" si="90"/>
        <v>Valid</v>
      </c>
      <c r="I515" t="s">
        <v>1642</v>
      </c>
      <c r="J515" t="s">
        <v>129</v>
      </c>
      <c r="K515" t="s">
        <v>91</v>
      </c>
      <c r="L515" t="s">
        <v>55</v>
      </c>
      <c r="M515" t="s">
        <v>186</v>
      </c>
      <c r="O515" t="s">
        <v>75</v>
      </c>
      <c r="P515" t="s">
        <v>76</v>
      </c>
      <c r="Q515" t="s">
        <v>1643</v>
      </c>
      <c r="R515" t="s">
        <v>51</v>
      </c>
      <c r="S515">
        <v>6</v>
      </c>
      <c r="T515">
        <v>1099.49</v>
      </c>
      <c r="U515" s="2">
        <f t="shared" ref="U515:U578" si="94">IF(ISNUMBER(W515),S515*T515*(1-W515),"Invalid")</f>
        <v>5937.246000000001</v>
      </c>
      <c r="V515" s="13">
        <v>0.1</v>
      </c>
      <c r="W515" s="2">
        <f t="shared" ref="W515:W578" si="95">IF(OR(V515&lt;0,V515&gt;1),"Invalid",V515)</f>
        <v>0.1</v>
      </c>
      <c r="X515" s="2" t="str">
        <f t="shared" ref="X515:X578" si="96">IF(OR(V515&lt;0,V515&gt;1),"Invalid","Valid")</f>
        <v>Valid</v>
      </c>
      <c r="Y515" s="2" t="str">
        <f t="shared" ref="Y515:Y578" si="97">IF(AND(H515="Valid",X515="Valid"),"Clean","Invalid")</f>
        <v>Clean</v>
      </c>
      <c r="Z515">
        <v>6212.38</v>
      </c>
      <c r="AA515">
        <v>4088.46</v>
      </c>
      <c r="AB515" s="2">
        <f t="shared" si="91"/>
        <v>1848.786000000001</v>
      </c>
      <c r="AC515">
        <v>1848.79</v>
      </c>
      <c r="AD515" s="11">
        <f t="shared" ref="AD515:AD578" si="98">AC515/Z515</f>
        <v>0.29759770007629927</v>
      </c>
      <c r="AE515" t="s">
        <v>33</v>
      </c>
      <c r="AF515" t="s">
        <v>34</v>
      </c>
    </row>
    <row r="516" spans="1:32">
      <c r="A516" t="s">
        <v>1644</v>
      </c>
      <c r="B516" s="2" t="str">
        <f t="shared" si="88"/>
        <v>Unique</v>
      </c>
      <c r="C516" s="2" t="str">
        <f t="shared" si="92"/>
        <v>Nov</v>
      </c>
      <c r="D516" s="2">
        <f t="shared" si="93"/>
        <v>2024</v>
      </c>
      <c r="E516" s="4">
        <v>45614</v>
      </c>
      <c r="F516" s="4">
        <v>45618</v>
      </c>
      <c r="G516" s="6">
        <f t="shared" si="89"/>
        <v>4</v>
      </c>
      <c r="H516" s="6" t="str">
        <f t="shared" si="90"/>
        <v>Valid</v>
      </c>
      <c r="I516" t="s">
        <v>1645</v>
      </c>
      <c r="J516" t="s">
        <v>24</v>
      </c>
      <c r="K516" t="s">
        <v>96</v>
      </c>
      <c r="L516" t="s">
        <v>55</v>
      </c>
      <c r="M516" t="s">
        <v>186</v>
      </c>
      <c r="O516" t="s">
        <v>75</v>
      </c>
      <c r="P516" t="s">
        <v>76</v>
      </c>
      <c r="Q516" t="s">
        <v>1646</v>
      </c>
      <c r="R516" t="s">
        <v>60</v>
      </c>
      <c r="S516">
        <v>6</v>
      </c>
      <c r="T516">
        <v>3872.94</v>
      </c>
      <c r="U516" s="2">
        <f t="shared" si="94"/>
        <v>20913.876</v>
      </c>
      <c r="V516" s="13">
        <v>0.1</v>
      </c>
      <c r="W516" s="2">
        <f t="shared" si="95"/>
        <v>0.1</v>
      </c>
      <c r="X516" s="2" t="str">
        <f t="shared" si="96"/>
        <v>Valid</v>
      </c>
      <c r="Y516" s="2" t="str">
        <f t="shared" si="97"/>
        <v>Clean</v>
      </c>
      <c r="Z516">
        <v>20913.88</v>
      </c>
      <c r="AA516">
        <v>11684.68</v>
      </c>
      <c r="AB516" s="2">
        <f t="shared" si="91"/>
        <v>9229.1959999999999</v>
      </c>
      <c r="AC516">
        <v>9229.2000000000007</v>
      </c>
      <c r="AD516" s="11">
        <f t="shared" si="98"/>
        <v>0.44129544589526193</v>
      </c>
      <c r="AE516" t="s">
        <v>33</v>
      </c>
      <c r="AF516" t="s">
        <v>34</v>
      </c>
    </row>
    <row r="517" spans="1:32">
      <c r="A517" t="s">
        <v>1647</v>
      </c>
      <c r="B517" s="2" t="str">
        <f t="shared" si="88"/>
        <v>Unique</v>
      </c>
      <c r="C517" s="2" t="str">
        <f t="shared" si="92"/>
        <v>Apr</v>
      </c>
      <c r="D517" s="2">
        <f t="shared" si="93"/>
        <v>2025</v>
      </c>
      <c r="E517" s="4">
        <v>45758</v>
      </c>
      <c r="F517" s="4">
        <v>45758</v>
      </c>
      <c r="G517" s="6">
        <f t="shared" si="89"/>
        <v>0</v>
      </c>
      <c r="H517" s="6" t="str">
        <f t="shared" si="90"/>
        <v>Valid</v>
      </c>
      <c r="I517" t="s">
        <v>1648</v>
      </c>
      <c r="J517" t="s">
        <v>119</v>
      </c>
      <c r="K517" t="s">
        <v>91</v>
      </c>
      <c r="L517" t="s">
        <v>26</v>
      </c>
      <c r="M517" t="s">
        <v>351</v>
      </c>
      <c r="O517" t="s">
        <v>29</v>
      </c>
      <c r="P517" t="s">
        <v>30</v>
      </c>
      <c r="Q517" t="s">
        <v>1649</v>
      </c>
      <c r="R517" t="s">
        <v>60</v>
      </c>
      <c r="S517">
        <v>1</v>
      </c>
      <c r="T517">
        <v>4458.49</v>
      </c>
      <c r="U517" s="2" t="str">
        <f t="shared" si="94"/>
        <v>Invalid</v>
      </c>
      <c r="V517" s="13">
        <v>-7.0000000000000007E-2</v>
      </c>
      <c r="W517" s="2" t="str">
        <f t="shared" si="95"/>
        <v>Invalid</v>
      </c>
      <c r="X517" s="2" t="str">
        <f t="shared" si="96"/>
        <v>Invalid</v>
      </c>
      <c r="Y517" s="2" t="str">
        <f t="shared" si="97"/>
        <v>Invalid</v>
      </c>
      <c r="Z517">
        <v>3566.79</v>
      </c>
      <c r="AA517">
        <v>2083.41</v>
      </c>
      <c r="AB517" s="2" t="str">
        <f t="shared" si="91"/>
        <v>Invalid</v>
      </c>
      <c r="AC517">
        <v>1483.38</v>
      </c>
      <c r="AD517" s="11">
        <f t="shared" si="98"/>
        <v>0.41588655345562819</v>
      </c>
      <c r="AE517" t="s">
        <v>33</v>
      </c>
      <c r="AF517" t="s">
        <v>34</v>
      </c>
    </row>
    <row r="518" spans="1:32">
      <c r="A518" t="s">
        <v>1650</v>
      </c>
      <c r="B518" s="2" t="str">
        <f t="shared" si="88"/>
        <v>Unique</v>
      </c>
      <c r="C518" s="2" t="str">
        <f t="shared" si="92"/>
        <v>Sep</v>
      </c>
      <c r="D518" s="2">
        <f t="shared" si="93"/>
        <v>2024</v>
      </c>
      <c r="E518" s="4">
        <v>45563</v>
      </c>
      <c r="F518" s="4">
        <v>45569</v>
      </c>
      <c r="G518" s="6">
        <f t="shared" si="89"/>
        <v>6</v>
      </c>
      <c r="H518" s="6" t="str">
        <f t="shared" si="90"/>
        <v>Valid</v>
      </c>
      <c r="I518" t="s">
        <v>1651</v>
      </c>
      <c r="J518" t="s">
        <v>265</v>
      </c>
      <c r="K518" t="s">
        <v>96</v>
      </c>
      <c r="L518" t="s">
        <v>26</v>
      </c>
      <c r="M518" t="s">
        <v>351</v>
      </c>
      <c r="O518" t="s">
        <v>75</v>
      </c>
      <c r="P518" t="s">
        <v>81</v>
      </c>
      <c r="Q518" t="s">
        <v>1652</v>
      </c>
      <c r="R518" t="s">
        <v>60</v>
      </c>
      <c r="S518">
        <v>1</v>
      </c>
      <c r="T518">
        <v>2233.1799999999998</v>
      </c>
      <c r="U518" s="2">
        <f t="shared" si="94"/>
        <v>2233.1799999999998</v>
      </c>
      <c r="V518" s="13">
        <v>0</v>
      </c>
      <c r="W518" s="2">
        <f t="shared" si="95"/>
        <v>0</v>
      </c>
      <c r="X518" s="2" t="str">
        <f t="shared" si="96"/>
        <v>Valid</v>
      </c>
      <c r="Y518" s="2" t="str">
        <f t="shared" si="97"/>
        <v>Clean</v>
      </c>
      <c r="Z518">
        <v>2233.1799999999998</v>
      </c>
      <c r="AA518">
        <v>1585.82</v>
      </c>
      <c r="AB518" s="2">
        <f t="shared" si="91"/>
        <v>647.3599999999999</v>
      </c>
      <c r="AC518">
        <v>647.36</v>
      </c>
      <c r="AD518" s="11">
        <f t="shared" si="98"/>
        <v>0.28988258895386848</v>
      </c>
      <c r="AE518" t="s">
        <v>156</v>
      </c>
      <c r="AF518" t="s">
        <v>104</v>
      </c>
    </row>
    <row r="519" spans="1:32">
      <c r="A519" t="s">
        <v>1653</v>
      </c>
      <c r="B519" s="2" t="str">
        <f t="shared" si="88"/>
        <v>Unique</v>
      </c>
      <c r="C519" s="2" t="str">
        <f t="shared" si="92"/>
        <v>May</v>
      </c>
      <c r="D519" s="2">
        <f t="shared" si="93"/>
        <v>2025</v>
      </c>
      <c r="E519" s="4">
        <v>45802</v>
      </c>
      <c r="F519" s="4">
        <v>45804</v>
      </c>
      <c r="G519" s="6">
        <f t="shared" si="89"/>
        <v>2</v>
      </c>
      <c r="H519" s="6" t="str">
        <f t="shared" si="90"/>
        <v>Valid</v>
      </c>
      <c r="I519" t="s">
        <v>1654</v>
      </c>
      <c r="J519" t="s">
        <v>119</v>
      </c>
      <c r="K519" t="s">
        <v>25</v>
      </c>
      <c r="L519" t="s">
        <v>39</v>
      </c>
      <c r="M519" t="s">
        <v>40</v>
      </c>
      <c r="O519" t="s">
        <v>42</v>
      </c>
      <c r="P519" t="s">
        <v>58</v>
      </c>
      <c r="Q519" t="s">
        <v>1655</v>
      </c>
      <c r="R519" t="s">
        <v>32</v>
      </c>
      <c r="S519">
        <v>7</v>
      </c>
      <c r="T519">
        <v>2123.2800000000002</v>
      </c>
      <c r="U519" s="2">
        <f t="shared" si="94"/>
        <v>11890.368000000002</v>
      </c>
      <c r="V519" s="13">
        <v>0.2</v>
      </c>
      <c r="W519" s="2">
        <f t="shared" si="95"/>
        <v>0.2</v>
      </c>
      <c r="X519" s="2" t="str">
        <f t="shared" si="96"/>
        <v>Valid</v>
      </c>
      <c r="Y519" s="2" t="str">
        <f t="shared" si="97"/>
        <v>Clean</v>
      </c>
      <c r="Z519">
        <v>11890.37</v>
      </c>
      <c r="AA519">
        <v>9234.5300000000007</v>
      </c>
      <c r="AB519" s="2">
        <f t="shared" si="91"/>
        <v>2655.8380000000016</v>
      </c>
      <c r="AC519">
        <v>2655.84</v>
      </c>
      <c r="AD519" s="11">
        <f t="shared" si="98"/>
        <v>0.22336058507851311</v>
      </c>
      <c r="AE519" t="s">
        <v>103</v>
      </c>
      <c r="AF519" t="s">
        <v>104</v>
      </c>
    </row>
    <row r="520" spans="1:32">
      <c r="A520" t="s">
        <v>1656</v>
      </c>
      <c r="B520" s="2" t="str">
        <f t="shared" si="88"/>
        <v>Unique</v>
      </c>
      <c r="C520" s="2" t="str">
        <f t="shared" si="92"/>
        <v>Apr</v>
      </c>
      <c r="D520" s="2">
        <f t="shared" si="93"/>
        <v>2025</v>
      </c>
      <c r="E520" s="4">
        <v>45777</v>
      </c>
      <c r="F520" s="4">
        <v>45773</v>
      </c>
      <c r="G520" s="6">
        <f t="shared" si="89"/>
        <v>-4</v>
      </c>
      <c r="H520" s="6" t="str">
        <f t="shared" si="90"/>
        <v>Invalid: Ship Date Before Order Date</v>
      </c>
      <c r="I520" t="s">
        <v>1657</v>
      </c>
      <c r="J520" t="s">
        <v>163</v>
      </c>
      <c r="K520" t="s">
        <v>91</v>
      </c>
      <c r="L520" t="s">
        <v>39</v>
      </c>
      <c r="M520" t="s">
        <v>40</v>
      </c>
      <c r="O520" t="s">
        <v>42</v>
      </c>
      <c r="P520" t="s">
        <v>43</v>
      </c>
      <c r="Q520" t="s">
        <v>1658</v>
      </c>
      <c r="R520" t="s">
        <v>51</v>
      </c>
      <c r="S520">
        <v>7</v>
      </c>
      <c r="T520">
        <v>1604.13</v>
      </c>
      <c r="U520" s="2">
        <f t="shared" si="94"/>
        <v>8421.682499999999</v>
      </c>
      <c r="V520" s="13">
        <v>0.25</v>
      </c>
      <c r="W520" s="2">
        <f t="shared" si="95"/>
        <v>0.25</v>
      </c>
      <c r="X520" s="2" t="str">
        <f t="shared" si="96"/>
        <v>Valid</v>
      </c>
      <c r="Y520" s="2" t="str">
        <f t="shared" si="97"/>
        <v>Invalid</v>
      </c>
      <c r="Z520">
        <v>8421.68</v>
      </c>
      <c r="AA520">
        <v>6534.47</v>
      </c>
      <c r="AB520" s="2">
        <f t="shared" si="91"/>
        <v>1887.2124999999987</v>
      </c>
      <c r="AC520">
        <v>1887.21</v>
      </c>
      <c r="AD520" s="11">
        <f t="shared" si="98"/>
        <v>0.22408949283278395</v>
      </c>
      <c r="AE520" t="s">
        <v>33</v>
      </c>
      <c r="AF520" t="s">
        <v>69</v>
      </c>
    </row>
    <row r="521" spans="1:32">
      <c r="A521" t="s">
        <v>1659</v>
      </c>
      <c r="B521" s="2" t="str">
        <f t="shared" si="88"/>
        <v>Unique</v>
      </c>
      <c r="C521" s="2" t="str">
        <f t="shared" si="92"/>
        <v>Jul</v>
      </c>
      <c r="D521" s="2">
        <f t="shared" si="93"/>
        <v>2025</v>
      </c>
      <c r="E521" s="4">
        <v>45841</v>
      </c>
      <c r="F521" s="4">
        <v>45845</v>
      </c>
      <c r="G521" s="6">
        <f t="shared" si="89"/>
        <v>4</v>
      </c>
      <c r="H521" s="6" t="str">
        <f t="shared" si="90"/>
        <v>Valid</v>
      </c>
      <c r="I521" t="s">
        <v>1660</v>
      </c>
      <c r="J521" t="s">
        <v>115</v>
      </c>
      <c r="K521" t="s">
        <v>25</v>
      </c>
      <c r="L521" t="s">
        <v>26</v>
      </c>
      <c r="M521" t="s">
        <v>137</v>
      </c>
      <c r="O521" t="s">
        <v>42</v>
      </c>
      <c r="P521" t="s">
        <v>43</v>
      </c>
      <c r="Q521" t="s">
        <v>1661</v>
      </c>
      <c r="R521" t="s">
        <v>60</v>
      </c>
      <c r="S521">
        <v>4</v>
      </c>
      <c r="T521">
        <v>4365.21</v>
      </c>
      <c r="U521" s="2">
        <f t="shared" si="94"/>
        <v>13968.672</v>
      </c>
      <c r="V521" s="13">
        <v>0.2</v>
      </c>
      <c r="W521" s="2">
        <f t="shared" si="95"/>
        <v>0.2</v>
      </c>
      <c r="X521" s="2" t="str">
        <f t="shared" si="96"/>
        <v>Valid</v>
      </c>
      <c r="Y521" s="2" t="str">
        <f t="shared" si="97"/>
        <v>Clean</v>
      </c>
      <c r="Z521">
        <v>13968.67</v>
      </c>
      <c r="AA521">
        <v>8857.58</v>
      </c>
      <c r="AB521" s="2">
        <f t="shared" si="91"/>
        <v>5111.0920000000006</v>
      </c>
      <c r="AC521">
        <v>5111.09</v>
      </c>
      <c r="AD521" s="11">
        <f t="shared" si="98"/>
        <v>0.3658966816454251</v>
      </c>
      <c r="AE521" t="s">
        <v>112</v>
      </c>
      <c r="AF521" t="s">
        <v>69</v>
      </c>
    </row>
    <row r="522" spans="1:32">
      <c r="A522" t="s">
        <v>1662</v>
      </c>
      <c r="B522" s="2" t="str">
        <f t="shared" si="88"/>
        <v>Unique</v>
      </c>
      <c r="C522" s="2" t="str">
        <f t="shared" si="92"/>
        <v>Jul</v>
      </c>
      <c r="D522" s="2">
        <f t="shared" si="93"/>
        <v>2024</v>
      </c>
      <c r="E522" s="4">
        <v>45489</v>
      </c>
      <c r="F522" s="4">
        <v>45496</v>
      </c>
      <c r="G522" s="6">
        <f t="shared" si="89"/>
        <v>7</v>
      </c>
      <c r="H522" s="6" t="str">
        <f t="shared" si="90"/>
        <v>Valid</v>
      </c>
      <c r="I522" t="s">
        <v>1663</v>
      </c>
      <c r="J522" t="s">
        <v>129</v>
      </c>
      <c r="K522" t="s">
        <v>96</v>
      </c>
      <c r="L522" t="s">
        <v>55</v>
      </c>
      <c r="M522" t="s">
        <v>176</v>
      </c>
      <c r="O522" t="s">
        <v>75</v>
      </c>
      <c r="P522" t="s">
        <v>275</v>
      </c>
      <c r="Q522" t="s">
        <v>1664</v>
      </c>
      <c r="R522" t="s">
        <v>45</v>
      </c>
      <c r="S522">
        <v>1</v>
      </c>
      <c r="T522">
        <v>1695.91</v>
      </c>
      <c r="U522" s="2">
        <f t="shared" si="94"/>
        <v>1611.1144999999999</v>
      </c>
      <c r="V522" s="13">
        <v>0.05</v>
      </c>
      <c r="W522" s="2">
        <f t="shared" si="95"/>
        <v>0.05</v>
      </c>
      <c r="X522" s="2" t="str">
        <f t="shared" si="96"/>
        <v>Valid</v>
      </c>
      <c r="Y522" s="2" t="str">
        <f t="shared" si="97"/>
        <v>Clean</v>
      </c>
      <c r="Z522">
        <v>1611.11</v>
      </c>
      <c r="AA522">
        <v>895.15</v>
      </c>
      <c r="AB522" s="2">
        <f t="shared" si="91"/>
        <v>715.96449999999993</v>
      </c>
      <c r="AC522">
        <v>715.96</v>
      </c>
      <c r="AD522" s="11">
        <f t="shared" si="98"/>
        <v>0.44438927199260142</v>
      </c>
      <c r="AE522" t="s">
        <v>33</v>
      </c>
      <c r="AF522" t="s">
        <v>34</v>
      </c>
    </row>
    <row r="523" spans="1:32">
      <c r="A523" t="s">
        <v>1665</v>
      </c>
      <c r="B523" s="2" t="str">
        <f t="shared" si="88"/>
        <v>Unique</v>
      </c>
      <c r="C523" s="2" t="str">
        <f t="shared" si="92"/>
        <v>Mar</v>
      </c>
      <c r="D523" s="2">
        <f t="shared" si="93"/>
        <v>2025</v>
      </c>
      <c r="E523" s="4">
        <v>45741</v>
      </c>
      <c r="F523" s="4">
        <v>45748</v>
      </c>
      <c r="G523" s="6">
        <f t="shared" si="89"/>
        <v>7</v>
      </c>
      <c r="H523" s="6" t="str">
        <f t="shared" si="90"/>
        <v>Valid</v>
      </c>
      <c r="I523" t="s">
        <v>1666</v>
      </c>
      <c r="J523" t="s">
        <v>163</v>
      </c>
      <c r="K523" t="s">
        <v>25</v>
      </c>
      <c r="L523" t="s">
        <v>26</v>
      </c>
      <c r="M523" t="s">
        <v>123</v>
      </c>
      <c r="O523" t="s">
        <v>29</v>
      </c>
      <c r="P523" t="s">
        <v>92</v>
      </c>
      <c r="Q523" t="s">
        <v>1667</v>
      </c>
      <c r="R523" t="s">
        <v>32</v>
      </c>
      <c r="S523">
        <v>6</v>
      </c>
      <c r="T523">
        <v>2192.11</v>
      </c>
      <c r="U523" s="2">
        <f t="shared" si="94"/>
        <v>12495.027</v>
      </c>
      <c r="V523" s="13">
        <v>0.05</v>
      </c>
      <c r="W523" s="2">
        <f t="shared" si="95"/>
        <v>0.05</v>
      </c>
      <c r="X523" s="2" t="str">
        <f t="shared" si="96"/>
        <v>Valid</v>
      </c>
      <c r="Y523" s="2" t="str">
        <f t="shared" si="97"/>
        <v>Clean</v>
      </c>
      <c r="Z523">
        <v>12495.03</v>
      </c>
      <c r="AA523">
        <v>9184.52</v>
      </c>
      <c r="AB523" s="2">
        <f t="shared" si="91"/>
        <v>3310.5069999999996</v>
      </c>
      <c r="AC523">
        <v>3310.51</v>
      </c>
      <c r="AD523" s="11">
        <f t="shared" si="98"/>
        <v>0.26494614258629229</v>
      </c>
      <c r="AE523" t="s">
        <v>33</v>
      </c>
      <c r="AF523" t="s">
        <v>34</v>
      </c>
    </row>
    <row r="524" spans="1:32">
      <c r="A524" t="s">
        <v>1668</v>
      </c>
      <c r="B524" s="2" t="str">
        <f t="shared" si="88"/>
        <v>Unique</v>
      </c>
      <c r="C524" s="2" t="str">
        <f t="shared" si="92"/>
        <v>Feb</v>
      </c>
      <c r="D524" s="2">
        <f t="shared" si="93"/>
        <v>2025</v>
      </c>
      <c r="E524" s="4">
        <v>45716</v>
      </c>
      <c r="F524" s="4">
        <v>45724</v>
      </c>
      <c r="G524" s="6">
        <f t="shared" si="89"/>
        <v>8</v>
      </c>
      <c r="H524" s="6" t="str">
        <f t="shared" si="90"/>
        <v>Valid</v>
      </c>
      <c r="I524" t="s">
        <v>1669</v>
      </c>
      <c r="J524" t="s">
        <v>80</v>
      </c>
      <c r="K524" t="s">
        <v>38</v>
      </c>
      <c r="L524" t="s">
        <v>39</v>
      </c>
      <c r="M524" t="s">
        <v>229</v>
      </c>
      <c r="O524" t="s">
        <v>75</v>
      </c>
      <c r="P524" t="s">
        <v>172</v>
      </c>
      <c r="Q524" t="s">
        <v>1670</v>
      </c>
      <c r="R524" t="s">
        <v>51</v>
      </c>
      <c r="S524">
        <v>9</v>
      </c>
      <c r="T524">
        <v>3670.54</v>
      </c>
      <c r="U524" s="2">
        <f t="shared" si="94"/>
        <v>33034.86</v>
      </c>
      <c r="V524" s="13">
        <v>0</v>
      </c>
      <c r="W524" s="2">
        <f t="shared" si="95"/>
        <v>0</v>
      </c>
      <c r="X524" s="2" t="str">
        <f t="shared" si="96"/>
        <v>Valid</v>
      </c>
      <c r="Y524" s="2" t="str">
        <f t="shared" si="97"/>
        <v>Clean</v>
      </c>
      <c r="Z524">
        <v>33034.86</v>
      </c>
      <c r="AA524">
        <v>24539.83</v>
      </c>
      <c r="AB524" s="2">
        <f t="shared" si="91"/>
        <v>8495.0299999999988</v>
      </c>
      <c r="AC524">
        <v>8495.0300000000007</v>
      </c>
      <c r="AD524" s="11">
        <f t="shared" si="98"/>
        <v>0.25715350390466313</v>
      </c>
      <c r="AE524" t="s">
        <v>33</v>
      </c>
      <c r="AF524" t="s">
        <v>34</v>
      </c>
    </row>
    <row r="525" spans="1:32">
      <c r="A525" t="s">
        <v>1671</v>
      </c>
      <c r="B525" s="2" t="str">
        <f t="shared" si="88"/>
        <v>Unique</v>
      </c>
      <c r="C525" s="2" t="str">
        <f t="shared" si="92"/>
        <v>Apr</v>
      </c>
      <c r="D525" s="2">
        <f t="shared" si="93"/>
        <v>2024</v>
      </c>
      <c r="E525" s="4">
        <v>45384</v>
      </c>
      <c r="F525" s="4">
        <v>45385</v>
      </c>
      <c r="G525" s="6">
        <f t="shared" si="89"/>
        <v>1</v>
      </c>
      <c r="H525" s="6" t="str">
        <f t="shared" si="90"/>
        <v>Valid</v>
      </c>
      <c r="I525" t="s">
        <v>1672</v>
      </c>
      <c r="J525" t="s">
        <v>265</v>
      </c>
      <c r="K525" t="s">
        <v>96</v>
      </c>
      <c r="L525" t="s">
        <v>64</v>
      </c>
      <c r="M525" t="s">
        <v>191</v>
      </c>
      <c r="O525" t="s">
        <v>29</v>
      </c>
      <c r="P525" t="s">
        <v>30</v>
      </c>
      <c r="Q525" t="s">
        <v>1673</v>
      </c>
      <c r="R525" t="s">
        <v>32</v>
      </c>
      <c r="S525">
        <v>2</v>
      </c>
      <c r="T525">
        <v>2902.63</v>
      </c>
      <c r="U525" s="2">
        <f t="shared" si="94"/>
        <v>5805.26</v>
      </c>
      <c r="V525" s="13">
        <v>0</v>
      </c>
      <c r="W525" s="2">
        <f t="shared" si="95"/>
        <v>0</v>
      </c>
      <c r="X525" s="2" t="str">
        <f t="shared" si="96"/>
        <v>Valid</v>
      </c>
      <c r="Y525" s="2" t="str">
        <f t="shared" si="97"/>
        <v>Clean</v>
      </c>
      <c r="Z525">
        <v>5805.26</v>
      </c>
      <c r="AA525">
        <v>4654.3599999999997</v>
      </c>
      <c r="AB525" s="2">
        <f t="shared" si="91"/>
        <v>1150.9000000000005</v>
      </c>
      <c r="AC525">
        <v>1150.9000000000001</v>
      </c>
      <c r="AD525" s="11">
        <f t="shared" si="98"/>
        <v>0.19825124111581566</v>
      </c>
      <c r="AE525" t="s">
        <v>33</v>
      </c>
      <c r="AF525" t="s">
        <v>104</v>
      </c>
    </row>
    <row r="526" spans="1:32">
      <c r="A526" t="s">
        <v>1674</v>
      </c>
      <c r="B526" s="2" t="str">
        <f t="shared" si="88"/>
        <v>Unique</v>
      </c>
      <c r="C526" s="2" t="str">
        <f t="shared" si="92"/>
        <v>Nov</v>
      </c>
      <c r="D526" s="2">
        <f t="shared" si="93"/>
        <v>2024</v>
      </c>
      <c r="E526" s="4">
        <v>45626</v>
      </c>
      <c r="F526" s="4">
        <v>45627</v>
      </c>
      <c r="G526" s="6">
        <f t="shared" si="89"/>
        <v>1</v>
      </c>
      <c r="H526" s="6" t="str">
        <f t="shared" si="90"/>
        <v>Valid</v>
      </c>
      <c r="I526" t="s">
        <v>1675</v>
      </c>
      <c r="J526" t="s">
        <v>63</v>
      </c>
      <c r="K526" t="s">
        <v>91</v>
      </c>
      <c r="L526" t="s">
        <v>64</v>
      </c>
      <c r="M526" t="s">
        <v>181</v>
      </c>
      <c r="O526" t="s">
        <v>42</v>
      </c>
      <c r="P526" t="s">
        <v>67</v>
      </c>
      <c r="Q526" t="s">
        <v>1676</v>
      </c>
      <c r="R526" t="s">
        <v>51</v>
      </c>
      <c r="S526">
        <v>9</v>
      </c>
      <c r="T526">
        <v>4207.3599999999997</v>
      </c>
      <c r="U526" s="2">
        <f t="shared" si="94"/>
        <v>34079.616000000002</v>
      </c>
      <c r="V526" s="13">
        <v>0.1</v>
      </c>
      <c r="W526" s="2">
        <f t="shared" si="95"/>
        <v>0.1</v>
      </c>
      <c r="X526" s="2" t="str">
        <f t="shared" si="96"/>
        <v>Valid</v>
      </c>
      <c r="Y526" s="2" t="str">
        <f t="shared" si="97"/>
        <v>Clean</v>
      </c>
      <c r="Z526">
        <v>34079.620000000003</v>
      </c>
      <c r="AA526">
        <v>21871.39</v>
      </c>
      <c r="AB526" s="2">
        <f t="shared" si="91"/>
        <v>12208.226000000002</v>
      </c>
      <c r="AC526">
        <v>12208.23</v>
      </c>
      <c r="AD526" s="11">
        <f t="shared" si="98"/>
        <v>0.35822670557946357</v>
      </c>
      <c r="AE526" t="s">
        <v>33</v>
      </c>
      <c r="AF526" t="s">
        <v>34</v>
      </c>
    </row>
    <row r="527" spans="1:32">
      <c r="A527" t="s">
        <v>1677</v>
      </c>
      <c r="B527" s="2" t="str">
        <f t="shared" si="88"/>
        <v>Unique</v>
      </c>
      <c r="C527" s="2" t="str">
        <f t="shared" si="92"/>
        <v>Oct</v>
      </c>
      <c r="D527" s="2">
        <f t="shared" si="93"/>
        <v>2024</v>
      </c>
      <c r="E527" s="4">
        <v>45582</v>
      </c>
      <c r="F527" s="4">
        <v>45582</v>
      </c>
      <c r="G527" s="6">
        <f t="shared" si="89"/>
        <v>0</v>
      </c>
      <c r="H527" s="6" t="str">
        <f t="shared" si="90"/>
        <v>Valid</v>
      </c>
      <c r="I527" t="s">
        <v>1678</v>
      </c>
      <c r="J527" t="s">
        <v>115</v>
      </c>
      <c r="K527" t="s">
        <v>96</v>
      </c>
      <c r="L527" t="s">
        <v>39</v>
      </c>
      <c r="M527" t="s">
        <v>100</v>
      </c>
      <c r="O527" t="s">
        <v>42</v>
      </c>
      <c r="P527" t="s">
        <v>67</v>
      </c>
      <c r="Q527" t="s">
        <v>1679</v>
      </c>
      <c r="R527" t="s">
        <v>60</v>
      </c>
      <c r="S527">
        <v>5</v>
      </c>
      <c r="T527">
        <v>2524.4</v>
      </c>
      <c r="U527" s="2">
        <f t="shared" si="94"/>
        <v>11359.800000000001</v>
      </c>
      <c r="V527" s="13">
        <v>0.1</v>
      </c>
      <c r="W527" s="2">
        <f t="shared" si="95"/>
        <v>0.1</v>
      </c>
      <c r="X527" s="2" t="str">
        <f t="shared" si="96"/>
        <v>Valid</v>
      </c>
      <c r="Y527" s="2" t="str">
        <f t="shared" si="97"/>
        <v>Clean</v>
      </c>
      <c r="Z527">
        <v>11359.8</v>
      </c>
      <c r="AA527">
        <v>7062.44</v>
      </c>
      <c r="AB527" s="2">
        <f t="shared" si="91"/>
        <v>4297.3600000000015</v>
      </c>
      <c r="AC527">
        <v>4297.3599999999997</v>
      </c>
      <c r="AD527" s="11">
        <f t="shared" si="98"/>
        <v>0.37829539252451627</v>
      </c>
      <c r="AE527" t="s">
        <v>33</v>
      </c>
      <c r="AF527" t="s">
        <v>34</v>
      </c>
    </row>
    <row r="528" spans="1:32">
      <c r="A528" t="s">
        <v>1680</v>
      </c>
      <c r="B528" s="2" t="str">
        <f t="shared" si="88"/>
        <v>Unique</v>
      </c>
      <c r="C528" s="2" t="str">
        <f t="shared" si="92"/>
        <v>Jul</v>
      </c>
      <c r="D528" s="2">
        <f t="shared" si="93"/>
        <v>2025</v>
      </c>
      <c r="E528" s="4">
        <v>45856</v>
      </c>
      <c r="F528" s="4">
        <v>45859</v>
      </c>
      <c r="G528" s="6">
        <f t="shared" si="89"/>
        <v>3</v>
      </c>
      <c r="H528" s="6" t="str">
        <f t="shared" si="90"/>
        <v>Valid</v>
      </c>
      <c r="I528" t="s">
        <v>1681</v>
      </c>
      <c r="J528" t="s">
        <v>115</v>
      </c>
      <c r="K528" t="s">
        <v>25</v>
      </c>
      <c r="L528" t="s">
        <v>39</v>
      </c>
      <c r="M528" t="s">
        <v>40</v>
      </c>
      <c r="O528" t="s">
        <v>42</v>
      </c>
      <c r="P528" t="s">
        <v>43</v>
      </c>
      <c r="Q528" t="s">
        <v>1682</v>
      </c>
      <c r="R528" t="s">
        <v>32</v>
      </c>
      <c r="S528">
        <v>4</v>
      </c>
      <c r="T528">
        <v>284.04000000000002</v>
      </c>
      <c r="U528" s="2">
        <f t="shared" si="94"/>
        <v>1136.1600000000001</v>
      </c>
      <c r="V528" s="13">
        <v>0</v>
      </c>
      <c r="W528" s="2">
        <f t="shared" si="95"/>
        <v>0</v>
      </c>
      <c r="X528" s="2" t="str">
        <f t="shared" si="96"/>
        <v>Valid</v>
      </c>
      <c r="Y528" s="2" t="str">
        <f t="shared" si="97"/>
        <v>Clean</v>
      </c>
      <c r="Z528">
        <v>908.93</v>
      </c>
      <c r="AA528">
        <v>572.08000000000004</v>
      </c>
      <c r="AB528" s="2">
        <f t="shared" si="91"/>
        <v>564.08000000000004</v>
      </c>
      <c r="AC528">
        <v>336.85</v>
      </c>
      <c r="AD528" s="11">
        <f t="shared" si="98"/>
        <v>0.37060059630554615</v>
      </c>
      <c r="AE528" t="s">
        <v>33</v>
      </c>
      <c r="AF528" t="s">
        <v>34</v>
      </c>
    </row>
    <row r="529" spans="1:32">
      <c r="A529" t="s">
        <v>1683</v>
      </c>
      <c r="B529" s="2" t="str">
        <f t="shared" si="88"/>
        <v>Unique</v>
      </c>
      <c r="C529" s="2" t="str">
        <f t="shared" si="92"/>
        <v>Oct</v>
      </c>
      <c r="D529" s="2">
        <f t="shared" si="93"/>
        <v>2025</v>
      </c>
      <c r="E529" s="4">
        <v>45931</v>
      </c>
      <c r="F529" s="4">
        <v>45935</v>
      </c>
      <c r="G529" s="6">
        <f t="shared" si="89"/>
        <v>4</v>
      </c>
      <c r="H529" s="6" t="str">
        <f t="shared" si="90"/>
        <v>Valid</v>
      </c>
      <c r="I529" t="s">
        <v>1684</v>
      </c>
      <c r="J529" t="s">
        <v>90</v>
      </c>
      <c r="K529" t="s">
        <v>96</v>
      </c>
      <c r="L529" t="s">
        <v>26</v>
      </c>
      <c r="M529" t="s">
        <v>237</v>
      </c>
      <c r="O529" t="s">
        <v>29</v>
      </c>
      <c r="P529" t="s">
        <v>30</v>
      </c>
      <c r="Q529" t="s">
        <v>1685</v>
      </c>
      <c r="R529" t="s">
        <v>51</v>
      </c>
      <c r="S529">
        <v>5</v>
      </c>
      <c r="T529">
        <v>3247.56</v>
      </c>
      <c r="U529" s="2">
        <f t="shared" si="94"/>
        <v>13802.13</v>
      </c>
      <c r="V529" s="13">
        <v>0.15</v>
      </c>
      <c r="W529" s="2">
        <f t="shared" si="95"/>
        <v>0.15</v>
      </c>
      <c r="X529" s="2" t="str">
        <f t="shared" si="96"/>
        <v>Valid</v>
      </c>
      <c r="Y529" s="2" t="str">
        <f t="shared" si="97"/>
        <v>Clean</v>
      </c>
      <c r="Z529">
        <v>13802.13</v>
      </c>
      <c r="AA529">
        <v>10075.93</v>
      </c>
      <c r="AB529" s="2">
        <f t="shared" si="91"/>
        <v>3726.1999999999989</v>
      </c>
      <c r="AC529">
        <v>3726.2</v>
      </c>
      <c r="AD529" s="11">
        <f t="shared" si="98"/>
        <v>0.26997282303528514</v>
      </c>
      <c r="AE529" t="s">
        <v>33</v>
      </c>
      <c r="AF529" t="s">
        <v>34</v>
      </c>
    </row>
    <row r="530" spans="1:32">
      <c r="A530" t="s">
        <v>1686</v>
      </c>
      <c r="B530" s="2" t="str">
        <f t="shared" si="88"/>
        <v>Unique</v>
      </c>
      <c r="C530" s="2" t="str">
        <f t="shared" si="92"/>
        <v>Oct</v>
      </c>
      <c r="D530" s="2">
        <f t="shared" si="93"/>
        <v>2024</v>
      </c>
      <c r="E530" s="4">
        <v>45572</v>
      </c>
      <c r="F530" s="4">
        <v>45574</v>
      </c>
      <c r="G530" s="6">
        <f t="shared" si="89"/>
        <v>2</v>
      </c>
      <c r="H530" s="6" t="str">
        <f t="shared" si="90"/>
        <v>Valid</v>
      </c>
      <c r="I530" t="s">
        <v>1687</v>
      </c>
      <c r="J530" t="s">
        <v>163</v>
      </c>
      <c r="K530" t="s">
        <v>25</v>
      </c>
      <c r="L530" t="s">
        <v>55</v>
      </c>
      <c r="M530" t="s">
        <v>248</v>
      </c>
      <c r="O530" t="s">
        <v>29</v>
      </c>
      <c r="P530" t="s">
        <v>154</v>
      </c>
      <c r="Q530" t="s">
        <v>1688</v>
      </c>
      <c r="R530" t="s">
        <v>60</v>
      </c>
      <c r="S530">
        <v>9</v>
      </c>
      <c r="T530">
        <v>3457.09</v>
      </c>
      <c r="U530" s="2">
        <f t="shared" si="94"/>
        <v>29558.119500000001</v>
      </c>
      <c r="V530" s="13">
        <v>0.05</v>
      </c>
      <c r="W530" s="2">
        <f t="shared" si="95"/>
        <v>0.05</v>
      </c>
      <c r="X530" s="2" t="str">
        <f t="shared" si="96"/>
        <v>Valid</v>
      </c>
      <c r="Y530" s="2" t="str">
        <f t="shared" si="97"/>
        <v>Clean</v>
      </c>
      <c r="Z530">
        <v>29558.12</v>
      </c>
      <c r="AA530">
        <v>21302.13</v>
      </c>
      <c r="AB530" s="2">
        <f t="shared" si="91"/>
        <v>8255.9894999999997</v>
      </c>
      <c r="AC530">
        <v>8255.99</v>
      </c>
      <c r="AD530" s="11">
        <f t="shared" si="98"/>
        <v>0.27931377232381494</v>
      </c>
      <c r="AE530" t="s">
        <v>112</v>
      </c>
      <c r="AF530" t="s">
        <v>104</v>
      </c>
    </row>
    <row r="531" spans="1:32">
      <c r="A531" t="s">
        <v>1689</v>
      </c>
      <c r="B531" s="2" t="str">
        <f t="shared" si="88"/>
        <v>Unique</v>
      </c>
      <c r="C531" s="2" t="str">
        <f t="shared" si="92"/>
        <v>Feb</v>
      </c>
      <c r="D531" s="2">
        <f t="shared" si="93"/>
        <v>2024</v>
      </c>
      <c r="E531" s="4">
        <v>45328</v>
      </c>
      <c r="F531" s="4">
        <v>45330</v>
      </c>
      <c r="G531" s="6">
        <f t="shared" si="89"/>
        <v>2</v>
      </c>
      <c r="H531" s="6" t="str">
        <f t="shared" si="90"/>
        <v>Valid</v>
      </c>
      <c r="I531" t="s">
        <v>730</v>
      </c>
      <c r="J531" t="s">
        <v>24</v>
      </c>
      <c r="K531" t="s">
        <v>25</v>
      </c>
      <c r="L531" t="s">
        <v>39</v>
      </c>
      <c r="M531" t="s">
        <v>229</v>
      </c>
      <c r="O531" t="s">
        <v>42</v>
      </c>
      <c r="P531" t="s">
        <v>159</v>
      </c>
      <c r="Q531" t="s">
        <v>1690</v>
      </c>
      <c r="R531" t="s">
        <v>32</v>
      </c>
      <c r="S531">
        <v>9</v>
      </c>
      <c r="T531">
        <v>1822.25</v>
      </c>
      <c r="U531" s="2">
        <f t="shared" si="94"/>
        <v>16400.25</v>
      </c>
      <c r="V531" s="13">
        <v>0</v>
      </c>
      <c r="W531" s="2">
        <f t="shared" si="95"/>
        <v>0</v>
      </c>
      <c r="X531" s="2" t="str">
        <f t="shared" si="96"/>
        <v>Valid</v>
      </c>
      <c r="Y531" s="2" t="str">
        <f t="shared" si="97"/>
        <v>Clean</v>
      </c>
      <c r="Z531">
        <v>16400.25</v>
      </c>
      <c r="AA531">
        <v>12146.96</v>
      </c>
      <c r="AB531" s="2">
        <f t="shared" si="91"/>
        <v>4253.2900000000009</v>
      </c>
      <c r="AC531">
        <v>4253.29</v>
      </c>
      <c r="AD531" s="11">
        <f t="shared" si="98"/>
        <v>0.25934299782015519</v>
      </c>
      <c r="AE531" t="s">
        <v>33</v>
      </c>
      <c r="AF531" t="s">
        <v>34</v>
      </c>
    </row>
    <row r="532" spans="1:32">
      <c r="A532" t="s">
        <v>1691</v>
      </c>
      <c r="B532" s="2" t="str">
        <f t="shared" si="88"/>
        <v>Unique</v>
      </c>
      <c r="C532" s="2" t="str">
        <f t="shared" si="92"/>
        <v>May</v>
      </c>
      <c r="D532" s="2">
        <f t="shared" si="93"/>
        <v>2025</v>
      </c>
      <c r="E532" s="4">
        <v>45807</v>
      </c>
      <c r="F532" s="4">
        <v>45809</v>
      </c>
      <c r="G532" s="6">
        <f t="shared" si="89"/>
        <v>2</v>
      </c>
      <c r="H532" s="6" t="str">
        <f t="shared" si="90"/>
        <v>Valid</v>
      </c>
      <c r="I532" t="s">
        <v>1692</v>
      </c>
      <c r="J532" t="s">
        <v>119</v>
      </c>
      <c r="K532" t="s">
        <v>96</v>
      </c>
      <c r="L532" t="s">
        <v>55</v>
      </c>
      <c r="M532" t="s">
        <v>248</v>
      </c>
      <c r="O532" t="s">
        <v>29</v>
      </c>
      <c r="P532" t="s">
        <v>154</v>
      </c>
      <c r="Q532" t="s">
        <v>1693</v>
      </c>
      <c r="R532" t="s">
        <v>60</v>
      </c>
      <c r="S532">
        <v>9</v>
      </c>
      <c r="T532">
        <v>1994.51</v>
      </c>
      <c r="U532" s="2">
        <f t="shared" si="94"/>
        <v>17053.0605</v>
      </c>
      <c r="V532" s="13">
        <v>0.05</v>
      </c>
      <c r="W532" s="2">
        <f t="shared" si="95"/>
        <v>0.05</v>
      </c>
      <c r="X532" s="2" t="str">
        <f t="shared" si="96"/>
        <v>Valid</v>
      </c>
      <c r="Y532" s="2" t="str">
        <f t="shared" si="97"/>
        <v>Clean</v>
      </c>
      <c r="Z532">
        <v>17053.060000000001</v>
      </c>
      <c r="AA532">
        <v>10742.38</v>
      </c>
      <c r="AB532" s="2">
        <f t="shared" si="91"/>
        <v>6310.6805000000004</v>
      </c>
      <c r="AC532">
        <v>6310.68</v>
      </c>
      <c r="AD532" s="11">
        <f t="shared" si="98"/>
        <v>0.37006144351805481</v>
      </c>
      <c r="AE532" t="s">
        <v>33</v>
      </c>
      <c r="AF532" t="s">
        <v>34</v>
      </c>
    </row>
    <row r="533" spans="1:32">
      <c r="A533" t="s">
        <v>1694</v>
      </c>
      <c r="B533" s="2" t="str">
        <f t="shared" si="88"/>
        <v>Unique</v>
      </c>
      <c r="C533" s="2" t="str">
        <f t="shared" si="92"/>
        <v>Aug</v>
      </c>
      <c r="D533" s="2">
        <f t="shared" si="93"/>
        <v>2024</v>
      </c>
      <c r="E533" s="4">
        <v>45505</v>
      </c>
      <c r="F533" s="4">
        <v>45512</v>
      </c>
      <c r="G533" s="6">
        <f t="shared" si="89"/>
        <v>7</v>
      </c>
      <c r="H533" s="6" t="str">
        <f t="shared" si="90"/>
        <v>Valid</v>
      </c>
      <c r="I533" t="s">
        <v>1695</v>
      </c>
      <c r="J533" t="s">
        <v>163</v>
      </c>
      <c r="K533" t="s">
        <v>38</v>
      </c>
      <c r="L533" t="s">
        <v>64</v>
      </c>
      <c r="M533" t="s">
        <v>65</v>
      </c>
      <c r="O533" t="s">
        <v>29</v>
      </c>
      <c r="P533" t="s">
        <v>125</v>
      </c>
      <c r="Q533" t="s">
        <v>1696</v>
      </c>
      <c r="R533" s="2" t="s">
        <v>2793</v>
      </c>
      <c r="S533">
        <v>1</v>
      </c>
      <c r="T533">
        <v>442.97</v>
      </c>
      <c r="U533" s="2">
        <f t="shared" si="94"/>
        <v>398.67300000000006</v>
      </c>
      <c r="V533" s="13">
        <v>0.1</v>
      </c>
      <c r="W533" s="2">
        <f t="shared" si="95"/>
        <v>0.1</v>
      </c>
      <c r="X533" s="2" t="str">
        <f t="shared" si="96"/>
        <v>Valid</v>
      </c>
      <c r="Y533" s="2" t="str">
        <f t="shared" si="97"/>
        <v>Clean</v>
      </c>
      <c r="Z533">
        <v>398.67</v>
      </c>
      <c r="AA533">
        <v>311.66000000000003</v>
      </c>
      <c r="AB533" s="2">
        <f t="shared" si="91"/>
        <v>87.013000000000034</v>
      </c>
      <c r="AC533">
        <v>87.01</v>
      </c>
      <c r="AD533" s="11">
        <f t="shared" si="98"/>
        <v>0.21825068352271301</v>
      </c>
      <c r="AE533" t="s">
        <v>33</v>
      </c>
      <c r="AF533" t="s">
        <v>34</v>
      </c>
    </row>
    <row r="534" spans="1:32">
      <c r="A534" t="s">
        <v>1697</v>
      </c>
      <c r="B534" s="2" t="str">
        <f t="shared" si="88"/>
        <v>Unique</v>
      </c>
      <c r="C534" s="2" t="str">
        <f t="shared" si="92"/>
        <v>Oct</v>
      </c>
      <c r="D534" s="2">
        <f t="shared" si="93"/>
        <v>2025</v>
      </c>
      <c r="E534" s="4">
        <v>45935</v>
      </c>
      <c r="F534" s="4">
        <v>45940</v>
      </c>
      <c r="G534" s="6">
        <f t="shared" si="89"/>
        <v>5</v>
      </c>
      <c r="H534" s="6" t="str">
        <f t="shared" si="90"/>
        <v>Valid</v>
      </c>
      <c r="I534" t="s">
        <v>1698</v>
      </c>
      <c r="J534" t="s">
        <v>115</v>
      </c>
      <c r="K534" t="s">
        <v>91</v>
      </c>
      <c r="L534" t="s">
        <v>39</v>
      </c>
      <c r="M534" t="s">
        <v>167</v>
      </c>
      <c r="O534" t="s">
        <v>42</v>
      </c>
      <c r="P534" t="s">
        <v>43</v>
      </c>
      <c r="Q534" t="s">
        <v>1699</v>
      </c>
      <c r="R534" t="s">
        <v>32</v>
      </c>
      <c r="S534">
        <v>9</v>
      </c>
      <c r="T534">
        <v>2089.14</v>
      </c>
      <c r="U534" s="2">
        <f t="shared" si="94"/>
        <v>17862.146999999997</v>
      </c>
      <c r="V534" s="13">
        <v>0.05</v>
      </c>
      <c r="W534" s="2">
        <f t="shared" si="95"/>
        <v>0.05</v>
      </c>
      <c r="X534" s="2" t="str">
        <f t="shared" si="96"/>
        <v>Valid</v>
      </c>
      <c r="Y534" s="2" t="str">
        <f t="shared" si="97"/>
        <v>Clean</v>
      </c>
      <c r="Z534">
        <v>17862.150000000001</v>
      </c>
      <c r="AA534">
        <v>9892.2099999999991</v>
      </c>
      <c r="AB534" s="2">
        <f t="shared" si="91"/>
        <v>7969.9369999999981</v>
      </c>
      <c r="AC534">
        <v>7969.94</v>
      </c>
      <c r="AD534" s="11">
        <f t="shared" si="98"/>
        <v>0.44619152789557803</v>
      </c>
      <c r="AE534" t="s">
        <v>156</v>
      </c>
      <c r="AF534" t="s">
        <v>69</v>
      </c>
    </row>
    <row r="535" spans="1:32">
      <c r="A535" t="s">
        <v>1700</v>
      </c>
      <c r="B535" s="2" t="str">
        <f t="shared" si="88"/>
        <v>Unique</v>
      </c>
      <c r="C535" s="2" t="str">
        <f t="shared" si="92"/>
        <v>Aug</v>
      </c>
      <c r="D535" s="2">
        <f t="shared" si="93"/>
        <v>2024</v>
      </c>
      <c r="E535" s="4">
        <v>45529</v>
      </c>
      <c r="F535" s="4">
        <v>45536</v>
      </c>
      <c r="G535" s="6">
        <f t="shared" si="89"/>
        <v>7</v>
      </c>
      <c r="H535" s="6" t="str">
        <f t="shared" si="90"/>
        <v>Valid</v>
      </c>
      <c r="I535" t="s">
        <v>1701</v>
      </c>
      <c r="J535" t="s">
        <v>48</v>
      </c>
      <c r="K535" t="s">
        <v>96</v>
      </c>
      <c r="L535" t="s">
        <v>26</v>
      </c>
      <c r="M535" t="s">
        <v>27</v>
      </c>
      <c r="O535" t="s">
        <v>42</v>
      </c>
      <c r="P535" t="s">
        <v>43</v>
      </c>
      <c r="Q535" t="s">
        <v>1702</v>
      </c>
      <c r="R535" t="s">
        <v>45</v>
      </c>
      <c r="S535">
        <v>6</v>
      </c>
      <c r="T535">
        <v>481.3</v>
      </c>
      <c r="U535" s="2">
        <f t="shared" si="94"/>
        <v>2165.8500000000004</v>
      </c>
      <c r="V535" s="13">
        <v>0.25</v>
      </c>
      <c r="W535" s="2">
        <f t="shared" si="95"/>
        <v>0.25</v>
      </c>
      <c r="X535" s="2" t="str">
        <f t="shared" si="96"/>
        <v>Valid</v>
      </c>
      <c r="Y535" s="2" t="str">
        <f t="shared" si="97"/>
        <v>Clean</v>
      </c>
      <c r="Z535">
        <v>2165.85</v>
      </c>
      <c r="AA535">
        <v>2124.48</v>
      </c>
      <c r="AB535" s="2">
        <f t="shared" si="91"/>
        <v>41.370000000000346</v>
      </c>
      <c r="AC535">
        <v>430.45</v>
      </c>
      <c r="AD535" s="11">
        <f t="shared" si="98"/>
        <v>0.19874414202276242</v>
      </c>
      <c r="AE535" t="s">
        <v>33</v>
      </c>
      <c r="AF535" t="s">
        <v>34</v>
      </c>
    </row>
    <row r="536" spans="1:32">
      <c r="A536" t="s">
        <v>1703</v>
      </c>
      <c r="B536" s="2" t="str">
        <f t="shared" si="88"/>
        <v>Unique</v>
      </c>
      <c r="C536" s="2" t="str">
        <f t="shared" si="92"/>
        <v>Apr</v>
      </c>
      <c r="D536" s="2">
        <f t="shared" si="93"/>
        <v>2025</v>
      </c>
      <c r="E536" s="4">
        <v>45774</v>
      </c>
      <c r="F536" s="4">
        <v>45782</v>
      </c>
      <c r="G536" s="6">
        <f t="shared" si="89"/>
        <v>8</v>
      </c>
      <c r="H536" s="6" t="str">
        <f t="shared" si="90"/>
        <v>Valid</v>
      </c>
      <c r="I536" t="s">
        <v>1704</v>
      </c>
      <c r="J536" t="s">
        <v>142</v>
      </c>
      <c r="K536" t="s">
        <v>96</v>
      </c>
      <c r="L536" t="s">
        <v>39</v>
      </c>
      <c r="M536" t="s">
        <v>146</v>
      </c>
      <c r="O536" t="s">
        <v>75</v>
      </c>
      <c r="P536" t="s">
        <v>76</v>
      </c>
      <c r="Q536" t="s">
        <v>1705</v>
      </c>
      <c r="R536" t="s">
        <v>32</v>
      </c>
      <c r="S536">
        <v>4</v>
      </c>
      <c r="T536">
        <v>3963.39</v>
      </c>
      <c r="U536" s="2">
        <f t="shared" si="94"/>
        <v>14268.204</v>
      </c>
      <c r="V536" s="13">
        <v>0.1</v>
      </c>
      <c r="W536" s="2">
        <f t="shared" si="95"/>
        <v>0.1</v>
      </c>
      <c r="X536" s="2" t="str">
        <f t="shared" si="96"/>
        <v>Valid</v>
      </c>
      <c r="Y536" s="2" t="str">
        <f t="shared" si="97"/>
        <v>Clean</v>
      </c>
      <c r="Z536">
        <v>14268.2</v>
      </c>
      <c r="AA536">
        <v>11705.3</v>
      </c>
      <c r="AB536" s="2">
        <f t="shared" si="91"/>
        <v>2562.9040000000005</v>
      </c>
      <c r="AC536">
        <v>2562.9</v>
      </c>
      <c r="AD536" s="11">
        <f t="shared" si="98"/>
        <v>0.17962321806534812</v>
      </c>
      <c r="AE536" t="s">
        <v>112</v>
      </c>
      <c r="AF536" t="s">
        <v>104</v>
      </c>
    </row>
    <row r="537" spans="1:32">
      <c r="A537" t="s">
        <v>1706</v>
      </c>
      <c r="B537" s="2" t="str">
        <f t="shared" si="88"/>
        <v>Unique</v>
      </c>
      <c r="C537" s="2" t="str">
        <f t="shared" si="92"/>
        <v>May</v>
      </c>
      <c r="D537" s="2">
        <f t="shared" si="93"/>
        <v>2024</v>
      </c>
      <c r="E537" s="4">
        <v>45431</v>
      </c>
      <c r="F537" s="4">
        <v>45433</v>
      </c>
      <c r="G537" s="6">
        <f t="shared" si="89"/>
        <v>2</v>
      </c>
      <c r="H537" s="6" t="str">
        <f t="shared" si="90"/>
        <v>Valid</v>
      </c>
      <c r="I537" t="s">
        <v>1707</v>
      </c>
      <c r="J537" t="s">
        <v>163</v>
      </c>
      <c r="K537" t="s">
        <v>38</v>
      </c>
      <c r="L537" t="s">
        <v>64</v>
      </c>
      <c r="M537" t="s">
        <v>65</v>
      </c>
      <c r="O537" t="s">
        <v>75</v>
      </c>
      <c r="P537" t="s">
        <v>81</v>
      </c>
      <c r="Q537" t="s">
        <v>1708</v>
      </c>
      <c r="R537" t="s">
        <v>51</v>
      </c>
      <c r="S537">
        <v>3</v>
      </c>
      <c r="T537">
        <v>4000.98</v>
      </c>
      <c r="U537" s="2">
        <f t="shared" si="94"/>
        <v>9602.3520000000008</v>
      </c>
      <c r="V537" s="13">
        <v>0.2</v>
      </c>
      <c r="W537" s="2">
        <f t="shared" si="95"/>
        <v>0.2</v>
      </c>
      <c r="X537" s="2" t="str">
        <f t="shared" si="96"/>
        <v>Valid</v>
      </c>
      <c r="Y537" s="2" t="str">
        <f t="shared" si="97"/>
        <v>Clean</v>
      </c>
      <c r="Z537">
        <v>9602.35</v>
      </c>
      <c r="AA537">
        <v>7387.57</v>
      </c>
      <c r="AB537" s="2">
        <f t="shared" si="91"/>
        <v>2214.7820000000011</v>
      </c>
      <c r="AC537">
        <v>2214.7800000000002</v>
      </c>
      <c r="AD537" s="11">
        <f t="shared" si="98"/>
        <v>0.23064978885377019</v>
      </c>
      <c r="AE537" t="s">
        <v>33</v>
      </c>
      <c r="AF537" t="s">
        <v>34</v>
      </c>
    </row>
    <row r="538" spans="1:32">
      <c r="A538" t="s">
        <v>1709</v>
      </c>
      <c r="B538" s="2" t="str">
        <f t="shared" si="88"/>
        <v>Unique</v>
      </c>
      <c r="C538" s="2" t="str">
        <f t="shared" si="92"/>
        <v>Apr</v>
      </c>
      <c r="D538" s="2">
        <f t="shared" si="93"/>
        <v>2025</v>
      </c>
      <c r="E538" s="4">
        <v>45757</v>
      </c>
      <c r="F538" s="4">
        <v>45764</v>
      </c>
      <c r="G538" s="6">
        <f t="shared" si="89"/>
        <v>7</v>
      </c>
      <c r="H538" s="6" t="str">
        <f t="shared" si="90"/>
        <v>Valid</v>
      </c>
      <c r="I538" t="s">
        <v>1710</v>
      </c>
      <c r="J538" t="s">
        <v>63</v>
      </c>
      <c r="K538" t="s">
        <v>38</v>
      </c>
      <c r="L538" t="s">
        <v>64</v>
      </c>
      <c r="M538" t="s">
        <v>27</v>
      </c>
      <c r="O538" t="s">
        <v>42</v>
      </c>
      <c r="P538" t="s">
        <v>67</v>
      </c>
      <c r="Q538" t="s">
        <v>1711</v>
      </c>
      <c r="R538" t="s">
        <v>51</v>
      </c>
      <c r="S538">
        <v>7</v>
      </c>
      <c r="T538">
        <v>3788.9</v>
      </c>
      <c r="U538" s="2">
        <f t="shared" si="94"/>
        <v>19891.724999999999</v>
      </c>
      <c r="V538" s="13">
        <v>0.25</v>
      </c>
      <c r="W538" s="2">
        <f t="shared" si="95"/>
        <v>0.25</v>
      </c>
      <c r="X538" s="2" t="str">
        <f t="shared" si="96"/>
        <v>Valid</v>
      </c>
      <c r="Y538" s="2" t="str">
        <f t="shared" si="97"/>
        <v>Clean</v>
      </c>
      <c r="Z538">
        <v>19891.72</v>
      </c>
      <c r="AA538">
        <v>12295.76</v>
      </c>
      <c r="AB538" s="2">
        <f t="shared" si="91"/>
        <v>7595.9649999999983</v>
      </c>
      <c r="AC538">
        <v>7595.96</v>
      </c>
      <c r="AD538" s="11">
        <f t="shared" si="98"/>
        <v>0.38186541938052615</v>
      </c>
      <c r="AE538" t="s">
        <v>156</v>
      </c>
      <c r="AF538" t="s">
        <v>69</v>
      </c>
    </row>
    <row r="539" spans="1:32">
      <c r="A539" t="s">
        <v>1712</v>
      </c>
      <c r="B539" s="2" t="str">
        <f t="shared" si="88"/>
        <v>Unique</v>
      </c>
      <c r="C539" s="2" t="str">
        <f t="shared" si="92"/>
        <v>Jan</v>
      </c>
      <c r="D539" s="2">
        <f t="shared" si="93"/>
        <v>2024</v>
      </c>
      <c r="E539" s="4">
        <v>45313</v>
      </c>
      <c r="F539" s="4">
        <v>45321</v>
      </c>
      <c r="G539" s="6">
        <f t="shared" si="89"/>
        <v>8</v>
      </c>
      <c r="H539" s="6" t="str">
        <f t="shared" si="90"/>
        <v>Valid</v>
      </c>
      <c r="I539" t="s">
        <v>1713</v>
      </c>
      <c r="J539" t="s">
        <v>63</v>
      </c>
      <c r="K539" t="s">
        <v>38</v>
      </c>
      <c r="L539" t="s">
        <v>26</v>
      </c>
      <c r="M539" t="s">
        <v>237</v>
      </c>
      <c r="O539" t="s">
        <v>29</v>
      </c>
      <c r="P539" t="s">
        <v>49</v>
      </c>
      <c r="Q539" t="s">
        <v>1714</v>
      </c>
      <c r="R539" t="s">
        <v>45</v>
      </c>
      <c r="S539">
        <v>3</v>
      </c>
      <c r="T539">
        <v>676.37</v>
      </c>
      <c r="U539" s="2">
        <f t="shared" si="94"/>
        <v>1927.6545000000001</v>
      </c>
      <c r="V539" s="13">
        <v>0.05</v>
      </c>
      <c r="W539" s="2">
        <f t="shared" si="95"/>
        <v>0.05</v>
      </c>
      <c r="X539" s="2" t="str">
        <f t="shared" si="96"/>
        <v>Valid</v>
      </c>
      <c r="Y539" s="2" t="str">
        <f t="shared" si="97"/>
        <v>Clean</v>
      </c>
      <c r="Z539">
        <v>1927.65</v>
      </c>
      <c r="AA539">
        <v>1460.6</v>
      </c>
      <c r="AB539" s="2">
        <f t="shared" si="91"/>
        <v>467.05450000000019</v>
      </c>
      <c r="AC539">
        <v>467.05</v>
      </c>
      <c r="AD539" s="11">
        <f t="shared" si="98"/>
        <v>0.24228983477291002</v>
      </c>
      <c r="AE539" t="s">
        <v>156</v>
      </c>
      <c r="AF539" t="s">
        <v>69</v>
      </c>
    </row>
    <row r="540" spans="1:32">
      <c r="A540" t="s">
        <v>1715</v>
      </c>
      <c r="B540" s="2" t="str">
        <f t="shared" si="88"/>
        <v>Unique</v>
      </c>
      <c r="C540" s="2" t="str">
        <f t="shared" si="92"/>
        <v>Sep</v>
      </c>
      <c r="D540" s="2">
        <f t="shared" si="93"/>
        <v>2024</v>
      </c>
      <c r="E540" s="4">
        <v>45560</v>
      </c>
      <c r="F540" s="4">
        <v>45566</v>
      </c>
      <c r="G540" s="6">
        <f t="shared" si="89"/>
        <v>6</v>
      </c>
      <c r="H540" s="6" t="str">
        <f t="shared" si="90"/>
        <v>Valid</v>
      </c>
      <c r="I540" t="s">
        <v>1716</v>
      </c>
      <c r="J540" t="s">
        <v>163</v>
      </c>
      <c r="K540" t="s">
        <v>38</v>
      </c>
      <c r="L540" t="s">
        <v>39</v>
      </c>
      <c r="M540" t="s">
        <v>229</v>
      </c>
      <c r="O540" t="s">
        <v>42</v>
      </c>
      <c r="P540" t="s">
        <v>43</v>
      </c>
      <c r="Q540" t="s">
        <v>1717</v>
      </c>
      <c r="R540" t="s">
        <v>32</v>
      </c>
      <c r="S540">
        <v>9</v>
      </c>
      <c r="T540">
        <v>3908.6</v>
      </c>
      <c r="U540" s="2">
        <f t="shared" si="94"/>
        <v>29900.79</v>
      </c>
      <c r="V540" s="13">
        <v>0.15</v>
      </c>
      <c r="W540" s="2">
        <f t="shared" si="95"/>
        <v>0.15</v>
      </c>
      <c r="X540" s="2" t="str">
        <f t="shared" si="96"/>
        <v>Valid</v>
      </c>
      <c r="Y540" s="2" t="str">
        <f t="shared" si="97"/>
        <v>Clean</v>
      </c>
      <c r="Z540">
        <v>29900.79</v>
      </c>
      <c r="AA540">
        <v>24650.67</v>
      </c>
      <c r="AB540" s="2">
        <f t="shared" si="91"/>
        <v>5250.1200000000026</v>
      </c>
      <c r="AC540">
        <v>5250.12</v>
      </c>
      <c r="AD540" s="11">
        <f t="shared" si="98"/>
        <v>0.17558465846554555</v>
      </c>
      <c r="AE540" t="s">
        <v>33</v>
      </c>
      <c r="AF540" t="s">
        <v>34</v>
      </c>
    </row>
    <row r="541" spans="1:32">
      <c r="A541" t="s">
        <v>1718</v>
      </c>
      <c r="B541" s="2" t="str">
        <f t="shared" si="88"/>
        <v>Unique</v>
      </c>
      <c r="C541" s="2" t="str">
        <f t="shared" si="92"/>
        <v>Jul</v>
      </c>
      <c r="D541" s="2">
        <f t="shared" si="93"/>
        <v>2025</v>
      </c>
      <c r="E541" s="4">
        <v>45842</v>
      </c>
      <c r="F541" s="4">
        <v>45842</v>
      </c>
      <c r="G541" s="6">
        <f t="shared" si="89"/>
        <v>0</v>
      </c>
      <c r="H541" s="6" t="str">
        <f t="shared" si="90"/>
        <v>Valid</v>
      </c>
      <c r="I541" t="s">
        <v>1719</v>
      </c>
      <c r="J541" t="s">
        <v>37</v>
      </c>
      <c r="K541" t="s">
        <v>38</v>
      </c>
      <c r="L541" t="s">
        <v>55</v>
      </c>
      <c r="M541" t="s">
        <v>248</v>
      </c>
      <c r="O541" t="s">
        <v>42</v>
      </c>
      <c r="P541" t="s">
        <v>67</v>
      </c>
      <c r="Q541" t="s">
        <v>1720</v>
      </c>
      <c r="R541" t="s">
        <v>60</v>
      </c>
      <c r="S541">
        <v>3</v>
      </c>
      <c r="T541">
        <v>705.35</v>
      </c>
      <c r="U541" s="2">
        <f t="shared" si="94"/>
        <v>1904.4450000000002</v>
      </c>
      <c r="V541" s="13">
        <v>0.1</v>
      </c>
      <c r="W541" s="2">
        <f t="shared" si="95"/>
        <v>0.1</v>
      </c>
      <c r="X541" s="2" t="str">
        <f t="shared" si="96"/>
        <v>Valid</v>
      </c>
      <c r="Y541" s="2" t="str">
        <f t="shared" si="97"/>
        <v>Clean</v>
      </c>
      <c r="Z541">
        <v>1904.45</v>
      </c>
      <c r="AA541">
        <v>1316.54</v>
      </c>
      <c r="AB541" s="2">
        <f t="shared" si="91"/>
        <v>587.9050000000002</v>
      </c>
      <c r="AC541">
        <v>587.91</v>
      </c>
      <c r="AD541" s="11">
        <f t="shared" si="98"/>
        <v>0.30870330016540204</v>
      </c>
      <c r="AE541" t="s">
        <v>33</v>
      </c>
      <c r="AF541" t="s">
        <v>69</v>
      </c>
    </row>
    <row r="542" spans="1:32">
      <c r="A542" t="s">
        <v>1721</v>
      </c>
      <c r="B542" s="2" t="str">
        <f t="shared" si="88"/>
        <v>Unique</v>
      </c>
      <c r="C542" s="2" t="str">
        <f t="shared" si="92"/>
        <v>Feb</v>
      </c>
      <c r="D542" s="2">
        <f t="shared" si="93"/>
        <v>2024</v>
      </c>
      <c r="E542" s="4">
        <v>45348</v>
      </c>
      <c r="F542" s="4">
        <v>45345</v>
      </c>
      <c r="G542" s="6">
        <f t="shared" si="89"/>
        <v>-3</v>
      </c>
      <c r="H542" s="6" t="str">
        <f t="shared" si="90"/>
        <v>Invalid: Ship Date Before Order Date</v>
      </c>
      <c r="I542" t="s">
        <v>1722</v>
      </c>
      <c r="J542" t="s">
        <v>265</v>
      </c>
      <c r="K542" t="s">
        <v>25</v>
      </c>
      <c r="L542" t="s">
        <v>64</v>
      </c>
      <c r="M542" t="s">
        <v>181</v>
      </c>
      <c r="O542" t="s">
        <v>42</v>
      </c>
      <c r="P542" t="s">
        <v>58</v>
      </c>
      <c r="Q542" t="s">
        <v>1723</v>
      </c>
      <c r="R542" t="s">
        <v>60</v>
      </c>
      <c r="S542">
        <v>7</v>
      </c>
      <c r="T542">
        <v>3852.07</v>
      </c>
      <c r="U542" s="2">
        <f t="shared" si="94"/>
        <v>21571.592000000004</v>
      </c>
      <c r="V542" s="13">
        <v>0.2</v>
      </c>
      <c r="W542" s="2">
        <f t="shared" si="95"/>
        <v>0.2</v>
      </c>
      <c r="X542" s="2" t="str">
        <f t="shared" si="96"/>
        <v>Valid</v>
      </c>
      <c r="Y542" s="2" t="str">
        <f t="shared" si="97"/>
        <v>Invalid</v>
      </c>
      <c r="Z542">
        <v>21571.59</v>
      </c>
      <c r="AA542">
        <v>17118.07</v>
      </c>
      <c r="AB542" s="2">
        <f t="shared" si="91"/>
        <v>4453.5220000000045</v>
      </c>
      <c r="AC542">
        <v>4453.5200000000004</v>
      </c>
      <c r="AD542" s="11">
        <f t="shared" si="98"/>
        <v>0.20645302455683612</v>
      </c>
      <c r="AE542" t="s">
        <v>33</v>
      </c>
      <c r="AF542" t="s">
        <v>34</v>
      </c>
    </row>
    <row r="543" spans="1:32">
      <c r="A543" t="s">
        <v>1724</v>
      </c>
      <c r="B543" s="2" t="str">
        <f t="shared" si="88"/>
        <v>Unique</v>
      </c>
      <c r="C543" s="2" t="str">
        <f t="shared" si="92"/>
        <v>Jul</v>
      </c>
      <c r="D543" s="2">
        <f t="shared" si="93"/>
        <v>2025</v>
      </c>
      <c r="E543" s="4">
        <v>45846</v>
      </c>
      <c r="F543" s="4">
        <v>45847</v>
      </c>
      <c r="G543" s="6">
        <f t="shared" si="89"/>
        <v>1</v>
      </c>
      <c r="H543" s="6" t="str">
        <f t="shared" si="90"/>
        <v>Valid</v>
      </c>
      <c r="I543" t="s">
        <v>1725</v>
      </c>
      <c r="J543" t="s">
        <v>133</v>
      </c>
      <c r="K543" t="s">
        <v>25</v>
      </c>
      <c r="L543" t="s">
        <v>64</v>
      </c>
      <c r="M543" t="s">
        <v>65</v>
      </c>
      <c r="O543" t="s">
        <v>75</v>
      </c>
      <c r="P543" t="s">
        <v>81</v>
      </c>
      <c r="Q543" t="s">
        <v>1726</v>
      </c>
      <c r="R543" t="s">
        <v>45</v>
      </c>
      <c r="S543">
        <v>3</v>
      </c>
      <c r="T543">
        <v>2880.56</v>
      </c>
      <c r="U543" s="2">
        <f t="shared" si="94"/>
        <v>8641.68</v>
      </c>
      <c r="V543" s="13">
        <v>0</v>
      </c>
      <c r="W543" s="2">
        <f t="shared" si="95"/>
        <v>0</v>
      </c>
      <c r="X543" s="2" t="str">
        <f t="shared" si="96"/>
        <v>Valid</v>
      </c>
      <c r="Y543" s="2" t="str">
        <f t="shared" si="97"/>
        <v>Clean</v>
      </c>
      <c r="Z543">
        <v>8641.68</v>
      </c>
      <c r="AA543">
        <v>5747.09</v>
      </c>
      <c r="AB543" s="2">
        <f t="shared" si="91"/>
        <v>2894.59</v>
      </c>
      <c r="AC543">
        <v>2894.59</v>
      </c>
      <c r="AD543" s="11">
        <f t="shared" si="98"/>
        <v>0.33495686024013849</v>
      </c>
      <c r="AE543" t="s">
        <v>33</v>
      </c>
      <c r="AF543" t="s">
        <v>104</v>
      </c>
    </row>
    <row r="544" spans="1:32">
      <c r="A544" t="s">
        <v>1727</v>
      </c>
      <c r="B544" s="2" t="str">
        <f t="shared" si="88"/>
        <v>Unique</v>
      </c>
      <c r="C544" s="2" t="str">
        <f t="shared" si="92"/>
        <v>Sep</v>
      </c>
      <c r="D544" s="2">
        <f t="shared" si="93"/>
        <v>2024</v>
      </c>
      <c r="E544" s="4">
        <v>45552</v>
      </c>
      <c r="F544" s="4">
        <v>45558</v>
      </c>
      <c r="G544" s="6">
        <f t="shared" si="89"/>
        <v>6</v>
      </c>
      <c r="H544" s="6" t="str">
        <f t="shared" si="90"/>
        <v>Valid</v>
      </c>
      <c r="I544" t="s">
        <v>1728</v>
      </c>
      <c r="J544" t="s">
        <v>119</v>
      </c>
      <c r="K544" t="s">
        <v>96</v>
      </c>
      <c r="L544" t="s">
        <v>55</v>
      </c>
      <c r="M544" t="s">
        <v>186</v>
      </c>
      <c r="O544" t="s">
        <v>42</v>
      </c>
      <c r="P544" t="s">
        <v>159</v>
      </c>
      <c r="Q544" t="s">
        <v>1729</v>
      </c>
      <c r="R544" t="s">
        <v>32</v>
      </c>
      <c r="S544">
        <v>3</v>
      </c>
      <c r="T544">
        <v>4067.62</v>
      </c>
      <c r="U544" s="2">
        <f t="shared" si="94"/>
        <v>9762.2880000000005</v>
      </c>
      <c r="V544" s="13">
        <v>0.2</v>
      </c>
      <c r="W544" s="2">
        <f t="shared" si="95"/>
        <v>0.2</v>
      </c>
      <c r="X544" s="2" t="str">
        <f t="shared" si="96"/>
        <v>Valid</v>
      </c>
      <c r="Y544" s="2" t="str">
        <f t="shared" si="97"/>
        <v>Clean</v>
      </c>
      <c r="Z544">
        <v>9988.5300000000007</v>
      </c>
      <c r="AA544">
        <v>8368.24</v>
      </c>
      <c r="AB544" s="2">
        <f t="shared" si="91"/>
        <v>1394.0480000000007</v>
      </c>
      <c r="AC544">
        <v>1394.05</v>
      </c>
      <c r="AD544" s="11">
        <f t="shared" si="98"/>
        <v>0.13956508114807684</v>
      </c>
      <c r="AE544" t="s">
        <v>33</v>
      </c>
      <c r="AF544" t="s">
        <v>69</v>
      </c>
    </row>
    <row r="545" spans="1:32">
      <c r="A545" t="s">
        <v>1730</v>
      </c>
      <c r="B545" s="2" t="str">
        <f t="shared" si="88"/>
        <v>Unique</v>
      </c>
      <c r="C545" s="2" t="str">
        <f t="shared" si="92"/>
        <v>Jul</v>
      </c>
      <c r="D545" s="2">
        <f t="shared" si="93"/>
        <v>2024</v>
      </c>
      <c r="E545" s="4">
        <v>45487</v>
      </c>
      <c r="F545" s="4">
        <v>45493</v>
      </c>
      <c r="G545" s="6">
        <f t="shared" si="89"/>
        <v>6</v>
      </c>
      <c r="H545" s="6" t="str">
        <f t="shared" si="90"/>
        <v>Valid</v>
      </c>
      <c r="I545" t="s">
        <v>1731</v>
      </c>
      <c r="J545" t="s">
        <v>37</v>
      </c>
      <c r="K545" t="s">
        <v>25</v>
      </c>
      <c r="L545" t="s">
        <v>39</v>
      </c>
      <c r="M545" t="s">
        <v>146</v>
      </c>
      <c r="O545" t="s">
        <v>75</v>
      </c>
      <c r="P545" t="s">
        <v>81</v>
      </c>
      <c r="Q545" t="s">
        <v>1732</v>
      </c>
      <c r="R545" t="s">
        <v>45</v>
      </c>
      <c r="S545">
        <v>1</v>
      </c>
      <c r="T545">
        <v>492.67</v>
      </c>
      <c r="U545" s="2">
        <f t="shared" si="94"/>
        <v>418.76949999999999</v>
      </c>
      <c r="V545" s="13">
        <v>0.15</v>
      </c>
      <c r="W545" s="2">
        <f t="shared" si="95"/>
        <v>0.15</v>
      </c>
      <c r="X545" s="2" t="str">
        <f t="shared" si="96"/>
        <v>Valid</v>
      </c>
      <c r="Y545" s="2" t="str">
        <f t="shared" si="97"/>
        <v>Clean</v>
      </c>
      <c r="Z545">
        <v>418.77</v>
      </c>
      <c r="AA545">
        <v>313.72000000000003</v>
      </c>
      <c r="AB545" s="2">
        <f t="shared" si="91"/>
        <v>105.04949999999997</v>
      </c>
      <c r="AC545">
        <v>105.05</v>
      </c>
      <c r="AD545" s="11">
        <f t="shared" si="98"/>
        <v>0.25085369057000262</v>
      </c>
      <c r="AE545" t="s">
        <v>33</v>
      </c>
      <c r="AF545" t="s">
        <v>34</v>
      </c>
    </row>
    <row r="546" spans="1:32">
      <c r="A546" t="s">
        <v>1733</v>
      </c>
      <c r="B546" s="2" t="str">
        <f t="shared" si="88"/>
        <v>Unique</v>
      </c>
      <c r="C546" s="2" t="str">
        <f t="shared" si="92"/>
        <v>Jan</v>
      </c>
      <c r="D546" s="2">
        <f t="shared" si="93"/>
        <v>2025</v>
      </c>
      <c r="E546" s="4">
        <v>45686</v>
      </c>
      <c r="F546" s="4">
        <v>45693</v>
      </c>
      <c r="G546" s="6">
        <f t="shared" si="89"/>
        <v>7</v>
      </c>
      <c r="H546" s="6" t="str">
        <f t="shared" si="90"/>
        <v>Valid</v>
      </c>
      <c r="I546" t="s">
        <v>1734</v>
      </c>
      <c r="J546" t="s">
        <v>63</v>
      </c>
      <c r="K546" t="s">
        <v>25</v>
      </c>
      <c r="L546" t="s">
        <v>55</v>
      </c>
      <c r="M546" t="s">
        <v>186</v>
      </c>
      <c r="O546" t="s">
        <v>29</v>
      </c>
      <c r="P546" t="s">
        <v>49</v>
      </c>
      <c r="Q546" t="s">
        <v>1735</v>
      </c>
      <c r="R546" t="s">
        <v>45</v>
      </c>
      <c r="S546">
        <v>8</v>
      </c>
      <c r="T546">
        <v>3643.62</v>
      </c>
      <c r="U546" s="2">
        <f t="shared" si="94"/>
        <v>21861.72</v>
      </c>
      <c r="V546" s="13">
        <v>0.25</v>
      </c>
      <c r="W546" s="2">
        <f t="shared" si="95"/>
        <v>0.25</v>
      </c>
      <c r="X546" s="2" t="str">
        <f t="shared" si="96"/>
        <v>Valid</v>
      </c>
      <c r="Y546" s="2" t="str">
        <f t="shared" si="97"/>
        <v>Clean</v>
      </c>
      <c r="Z546">
        <v>21861.72</v>
      </c>
      <c r="AA546">
        <v>18464.34</v>
      </c>
      <c r="AB546" s="2">
        <f t="shared" si="91"/>
        <v>3397.380000000001</v>
      </c>
      <c r="AC546">
        <v>3397.38</v>
      </c>
      <c r="AD546" s="11">
        <f t="shared" si="98"/>
        <v>0.15540314302808744</v>
      </c>
      <c r="AE546" t="s">
        <v>33</v>
      </c>
      <c r="AF546" t="s">
        <v>69</v>
      </c>
    </row>
    <row r="547" spans="1:32">
      <c r="A547" t="s">
        <v>1736</v>
      </c>
      <c r="B547" s="2" t="str">
        <f t="shared" si="88"/>
        <v>Unique</v>
      </c>
      <c r="C547" s="2" t="str">
        <f t="shared" si="92"/>
        <v>May</v>
      </c>
      <c r="D547" s="2">
        <f t="shared" si="93"/>
        <v>2024</v>
      </c>
      <c r="E547" s="4">
        <v>45439</v>
      </c>
      <c r="F547" s="4">
        <v>45442</v>
      </c>
      <c r="G547" s="6">
        <f t="shared" si="89"/>
        <v>3</v>
      </c>
      <c r="H547" s="6" t="str">
        <f t="shared" si="90"/>
        <v>Valid</v>
      </c>
      <c r="I547" t="s">
        <v>1737</v>
      </c>
      <c r="J547" t="s">
        <v>265</v>
      </c>
      <c r="K547" t="s">
        <v>38</v>
      </c>
      <c r="L547" t="s">
        <v>39</v>
      </c>
      <c r="M547" t="s">
        <v>229</v>
      </c>
      <c r="O547" t="s">
        <v>29</v>
      </c>
      <c r="P547" t="s">
        <v>125</v>
      </c>
      <c r="Q547" t="s">
        <v>1738</v>
      </c>
      <c r="R547" t="s">
        <v>45</v>
      </c>
      <c r="S547">
        <v>7</v>
      </c>
      <c r="T547">
        <v>2900.86</v>
      </c>
      <c r="U547" s="2">
        <f t="shared" si="94"/>
        <v>17260.116999999998</v>
      </c>
      <c r="V547" s="13">
        <v>0.15</v>
      </c>
      <c r="W547" s="2">
        <f t="shared" si="95"/>
        <v>0.15</v>
      </c>
      <c r="X547" s="2" t="str">
        <f t="shared" si="96"/>
        <v>Valid</v>
      </c>
      <c r="Y547" s="2" t="str">
        <f t="shared" si="97"/>
        <v>Clean</v>
      </c>
      <c r="Z547">
        <v>17260.12</v>
      </c>
      <c r="AA547">
        <v>13513.51</v>
      </c>
      <c r="AB547" s="2">
        <f t="shared" si="91"/>
        <v>3746.6069999999982</v>
      </c>
      <c r="AC547">
        <v>3746.61</v>
      </c>
      <c r="AD547" s="11">
        <f t="shared" si="98"/>
        <v>0.21706743637935311</v>
      </c>
      <c r="AE547" t="s">
        <v>33</v>
      </c>
      <c r="AF547" t="s">
        <v>34</v>
      </c>
    </row>
    <row r="548" spans="1:32">
      <c r="A548" t="s">
        <v>1739</v>
      </c>
      <c r="B548" s="2" t="str">
        <f t="shared" si="88"/>
        <v>Unique</v>
      </c>
      <c r="C548" s="2" t="str">
        <f t="shared" si="92"/>
        <v>Aug</v>
      </c>
      <c r="D548" s="2">
        <f t="shared" si="93"/>
        <v>2025</v>
      </c>
      <c r="E548" s="4">
        <v>45883</v>
      </c>
      <c r="F548" s="4">
        <v>45891</v>
      </c>
      <c r="G548" s="6">
        <f t="shared" si="89"/>
        <v>8</v>
      </c>
      <c r="H548" s="6" t="str">
        <f t="shared" si="90"/>
        <v>Valid</v>
      </c>
      <c r="I548" t="s">
        <v>1740</v>
      </c>
      <c r="J548" t="s">
        <v>54</v>
      </c>
      <c r="K548" t="s">
        <v>91</v>
      </c>
      <c r="L548" t="s">
        <v>64</v>
      </c>
      <c r="M548" t="s">
        <v>181</v>
      </c>
      <c r="O548" t="s">
        <v>29</v>
      </c>
      <c r="P548" t="s">
        <v>30</v>
      </c>
      <c r="Q548" t="s">
        <v>1741</v>
      </c>
      <c r="R548" t="s">
        <v>51</v>
      </c>
      <c r="S548">
        <v>5</v>
      </c>
      <c r="T548">
        <v>2567.37</v>
      </c>
      <c r="U548" s="2">
        <f t="shared" si="94"/>
        <v>10911.322499999998</v>
      </c>
      <c r="V548" s="13">
        <v>0.15</v>
      </c>
      <c r="W548" s="2">
        <f t="shared" si="95"/>
        <v>0.15</v>
      </c>
      <c r="X548" s="2" t="str">
        <f t="shared" si="96"/>
        <v>Valid</v>
      </c>
      <c r="Y548" s="2" t="str">
        <f t="shared" si="97"/>
        <v>Clean</v>
      </c>
      <c r="Z548">
        <v>10911.32</v>
      </c>
      <c r="AA548">
        <v>6966.44</v>
      </c>
      <c r="AB548" s="2">
        <f t="shared" si="91"/>
        <v>3944.8824999999988</v>
      </c>
      <c r="AC548">
        <v>4395.17</v>
      </c>
      <c r="AD548" s="11">
        <f t="shared" si="98"/>
        <v>0.40280827617556814</v>
      </c>
      <c r="AE548" t="s">
        <v>33</v>
      </c>
      <c r="AF548" t="s">
        <v>34</v>
      </c>
    </row>
    <row r="549" spans="1:32">
      <c r="A549" t="s">
        <v>1742</v>
      </c>
      <c r="B549" s="2" t="str">
        <f t="shared" si="88"/>
        <v>Unique</v>
      </c>
      <c r="C549" s="2" t="str">
        <f t="shared" si="92"/>
        <v>May</v>
      </c>
      <c r="D549" s="2">
        <f t="shared" si="93"/>
        <v>2024</v>
      </c>
      <c r="E549" s="4">
        <v>45428</v>
      </c>
      <c r="F549" s="4">
        <v>45435</v>
      </c>
      <c r="G549" s="6">
        <f t="shared" si="89"/>
        <v>7</v>
      </c>
      <c r="H549" s="6" t="str">
        <f t="shared" si="90"/>
        <v>Valid</v>
      </c>
      <c r="I549" t="s">
        <v>1743</v>
      </c>
      <c r="J549" t="s">
        <v>80</v>
      </c>
      <c r="K549" t="s">
        <v>38</v>
      </c>
      <c r="L549" t="s">
        <v>26</v>
      </c>
      <c r="M549" t="s">
        <v>137</v>
      </c>
      <c r="O549" t="s">
        <v>75</v>
      </c>
      <c r="P549" t="s">
        <v>81</v>
      </c>
      <c r="Q549" t="s">
        <v>1744</v>
      </c>
      <c r="R549" t="s">
        <v>60</v>
      </c>
      <c r="S549">
        <v>9</v>
      </c>
      <c r="T549">
        <v>3722.09</v>
      </c>
      <c r="U549" s="2">
        <f t="shared" si="94"/>
        <v>30148.929</v>
      </c>
      <c r="V549" s="13">
        <v>0.1</v>
      </c>
      <c r="W549" s="2">
        <f t="shared" si="95"/>
        <v>0.1</v>
      </c>
      <c r="X549" s="2" t="str">
        <f t="shared" si="96"/>
        <v>Valid</v>
      </c>
      <c r="Y549" s="2" t="str">
        <f t="shared" si="97"/>
        <v>Clean</v>
      </c>
      <c r="Z549">
        <v>30148.93</v>
      </c>
      <c r="AA549">
        <v>25155.07</v>
      </c>
      <c r="AB549" s="2">
        <f t="shared" si="91"/>
        <v>4993.8590000000004</v>
      </c>
      <c r="AC549">
        <v>4993.8599999999997</v>
      </c>
      <c r="AD549" s="11">
        <f t="shared" si="98"/>
        <v>0.16563970926994753</v>
      </c>
      <c r="AE549" t="s">
        <v>33</v>
      </c>
      <c r="AF549" t="s">
        <v>34</v>
      </c>
    </row>
    <row r="550" spans="1:32">
      <c r="A550" t="s">
        <v>1745</v>
      </c>
      <c r="B550" s="2" t="str">
        <f t="shared" si="88"/>
        <v>Unique</v>
      </c>
      <c r="C550" s="2" t="str">
        <f t="shared" si="92"/>
        <v>May</v>
      </c>
      <c r="D550" s="2">
        <f t="shared" si="93"/>
        <v>2024</v>
      </c>
      <c r="E550" s="4">
        <v>45441</v>
      </c>
      <c r="F550" s="4">
        <v>45441</v>
      </c>
      <c r="G550" s="6">
        <f t="shared" si="89"/>
        <v>0</v>
      </c>
      <c r="H550" s="6" t="str">
        <f t="shared" si="90"/>
        <v>Valid</v>
      </c>
      <c r="I550" t="s">
        <v>1746</v>
      </c>
      <c r="J550" t="s">
        <v>142</v>
      </c>
      <c r="K550" t="s">
        <v>91</v>
      </c>
      <c r="L550" t="s">
        <v>39</v>
      </c>
      <c r="M550" t="s">
        <v>146</v>
      </c>
      <c r="O550" t="s">
        <v>42</v>
      </c>
      <c r="P550" t="s">
        <v>159</v>
      </c>
      <c r="Q550" t="s">
        <v>1747</v>
      </c>
      <c r="R550" t="s">
        <v>45</v>
      </c>
      <c r="S550">
        <v>1</v>
      </c>
      <c r="T550">
        <v>1072.01</v>
      </c>
      <c r="U550" s="2">
        <f t="shared" si="94"/>
        <v>1072.01</v>
      </c>
      <c r="V550" s="13">
        <v>0</v>
      </c>
      <c r="W550" s="2">
        <f t="shared" si="95"/>
        <v>0</v>
      </c>
      <c r="X550" s="2" t="str">
        <f t="shared" si="96"/>
        <v>Valid</v>
      </c>
      <c r="Y550" s="2" t="str">
        <f t="shared" si="97"/>
        <v>Clean</v>
      </c>
      <c r="Z550">
        <v>1072.01</v>
      </c>
      <c r="AA550">
        <v>852.62</v>
      </c>
      <c r="AB550" s="2">
        <f t="shared" si="91"/>
        <v>219.39</v>
      </c>
      <c r="AC550">
        <v>219.39</v>
      </c>
      <c r="AD550" s="11">
        <f t="shared" si="98"/>
        <v>0.20465294167032022</v>
      </c>
      <c r="AE550" t="s">
        <v>112</v>
      </c>
      <c r="AF550" t="s">
        <v>69</v>
      </c>
    </row>
    <row r="551" spans="1:32">
      <c r="A551" t="s">
        <v>1748</v>
      </c>
      <c r="B551" s="2" t="str">
        <f t="shared" si="88"/>
        <v>Unique</v>
      </c>
      <c r="C551" s="2" t="str">
        <f t="shared" si="92"/>
        <v>Oct</v>
      </c>
      <c r="D551" s="2">
        <f t="shared" si="93"/>
        <v>2025</v>
      </c>
      <c r="E551" s="4">
        <v>45941</v>
      </c>
      <c r="F551" s="4">
        <v>45943</v>
      </c>
      <c r="G551" s="6">
        <f t="shared" si="89"/>
        <v>2</v>
      </c>
      <c r="H551" s="6" t="str">
        <f t="shared" si="90"/>
        <v>Valid</v>
      </c>
      <c r="I551" t="s">
        <v>1749</v>
      </c>
      <c r="J551" t="s">
        <v>37</v>
      </c>
      <c r="K551" t="s">
        <v>91</v>
      </c>
      <c r="L551" t="s">
        <v>55</v>
      </c>
      <c r="M551" t="s">
        <v>56</v>
      </c>
      <c r="O551" t="s">
        <v>29</v>
      </c>
      <c r="P551" t="s">
        <v>49</v>
      </c>
      <c r="Q551" t="s">
        <v>1750</v>
      </c>
      <c r="R551" t="s">
        <v>32</v>
      </c>
      <c r="S551">
        <v>3</v>
      </c>
      <c r="T551">
        <v>3804.27</v>
      </c>
      <c r="U551" s="2">
        <f t="shared" si="94"/>
        <v>10271.529</v>
      </c>
      <c r="V551" s="13">
        <v>0.1</v>
      </c>
      <c r="W551" s="2">
        <f t="shared" si="95"/>
        <v>0.1</v>
      </c>
      <c r="X551" s="2" t="str">
        <f t="shared" si="96"/>
        <v>Valid</v>
      </c>
      <c r="Y551" s="2" t="str">
        <f t="shared" si="97"/>
        <v>Clean</v>
      </c>
      <c r="Z551">
        <v>10271.530000000001</v>
      </c>
      <c r="AA551">
        <v>8272.24</v>
      </c>
      <c r="AB551" s="2">
        <f t="shared" si="91"/>
        <v>1999.2890000000007</v>
      </c>
      <c r="AC551">
        <v>1999.29</v>
      </c>
      <c r="AD551" s="11">
        <f t="shared" si="98"/>
        <v>0.19464383592317794</v>
      </c>
      <c r="AE551" t="s">
        <v>33</v>
      </c>
      <c r="AF551" t="s">
        <v>34</v>
      </c>
    </row>
    <row r="552" spans="1:32">
      <c r="A552" t="s">
        <v>1751</v>
      </c>
      <c r="B552" s="2" t="str">
        <f t="shared" si="88"/>
        <v>Unique</v>
      </c>
      <c r="C552" s="2" t="str">
        <f t="shared" si="92"/>
        <v>Aug</v>
      </c>
      <c r="D552" s="2">
        <f t="shared" si="93"/>
        <v>2024</v>
      </c>
      <c r="E552" s="4">
        <v>45506</v>
      </c>
      <c r="F552" s="4">
        <v>45514</v>
      </c>
      <c r="G552" s="6">
        <f t="shared" si="89"/>
        <v>8</v>
      </c>
      <c r="H552" s="6" t="str">
        <f t="shared" si="90"/>
        <v>Valid</v>
      </c>
      <c r="I552" t="s">
        <v>1752</v>
      </c>
      <c r="J552" t="s">
        <v>37</v>
      </c>
      <c r="K552" t="s">
        <v>96</v>
      </c>
      <c r="L552" t="s">
        <v>39</v>
      </c>
      <c r="M552" t="s">
        <v>40</v>
      </c>
      <c r="O552" t="s">
        <v>75</v>
      </c>
      <c r="P552" t="s">
        <v>76</v>
      </c>
      <c r="Q552" t="s">
        <v>1753</v>
      </c>
      <c r="R552" t="s">
        <v>60</v>
      </c>
      <c r="S552">
        <v>6</v>
      </c>
      <c r="T552">
        <v>2126.44</v>
      </c>
      <c r="U552" s="2">
        <f t="shared" si="94"/>
        <v>10206.912</v>
      </c>
      <c r="V552" s="13">
        <v>0.2</v>
      </c>
      <c r="W552" s="2">
        <f t="shared" si="95"/>
        <v>0.2</v>
      </c>
      <c r="X552" s="2" t="str">
        <f t="shared" si="96"/>
        <v>Valid</v>
      </c>
      <c r="Y552" s="2" t="str">
        <f t="shared" si="97"/>
        <v>Clean</v>
      </c>
      <c r="Z552">
        <v>10206.91</v>
      </c>
      <c r="AA552">
        <v>6764.53</v>
      </c>
      <c r="AB552" s="2">
        <f t="shared" si="91"/>
        <v>3442.3820000000005</v>
      </c>
      <c r="AC552">
        <v>3442.38</v>
      </c>
      <c r="AD552" s="11">
        <f t="shared" si="98"/>
        <v>0.33725975834018329</v>
      </c>
      <c r="AE552" t="s">
        <v>33</v>
      </c>
      <c r="AF552" t="s">
        <v>34</v>
      </c>
    </row>
    <row r="553" spans="1:32">
      <c r="A553" t="s">
        <v>1754</v>
      </c>
      <c r="B553" s="2" t="str">
        <f t="shared" si="88"/>
        <v>Unique</v>
      </c>
      <c r="C553" s="2" t="str">
        <f t="shared" si="92"/>
        <v>Feb</v>
      </c>
      <c r="D553" s="2">
        <f t="shared" si="93"/>
        <v>2024</v>
      </c>
      <c r="E553" s="4">
        <v>45349</v>
      </c>
      <c r="F553" s="4">
        <v>45349</v>
      </c>
      <c r="G553" s="6">
        <f t="shared" si="89"/>
        <v>0</v>
      </c>
      <c r="H553" s="6" t="str">
        <f t="shared" si="90"/>
        <v>Valid</v>
      </c>
      <c r="I553" t="s">
        <v>1755</v>
      </c>
      <c r="J553" t="s">
        <v>133</v>
      </c>
      <c r="K553" t="s">
        <v>25</v>
      </c>
      <c r="L553" t="s">
        <v>39</v>
      </c>
      <c r="M553" t="s">
        <v>229</v>
      </c>
      <c r="O553" t="s">
        <v>42</v>
      </c>
      <c r="P553" t="s">
        <v>67</v>
      </c>
      <c r="Q553" t="s">
        <v>1756</v>
      </c>
      <c r="R553" t="s">
        <v>32</v>
      </c>
      <c r="S553">
        <v>3</v>
      </c>
      <c r="T553">
        <v>3148.09</v>
      </c>
      <c r="U553" s="2">
        <f t="shared" si="94"/>
        <v>8027.6295</v>
      </c>
      <c r="V553" s="13">
        <v>0.15</v>
      </c>
      <c r="W553" s="2">
        <f t="shared" si="95"/>
        <v>0.15</v>
      </c>
      <c r="X553" s="2" t="str">
        <f t="shared" si="96"/>
        <v>Valid</v>
      </c>
      <c r="Y553" s="2" t="str">
        <f t="shared" si="97"/>
        <v>Clean</v>
      </c>
      <c r="Z553">
        <v>8027.63</v>
      </c>
      <c r="AA553">
        <v>5496.09</v>
      </c>
      <c r="AB553" s="2">
        <f t="shared" si="91"/>
        <v>2531.5394999999999</v>
      </c>
      <c r="AC553">
        <v>2531.54</v>
      </c>
      <c r="AD553" s="11">
        <f t="shared" si="98"/>
        <v>0.31535334837305656</v>
      </c>
      <c r="AE553" t="s">
        <v>33</v>
      </c>
      <c r="AF553" t="s">
        <v>34</v>
      </c>
    </row>
    <row r="554" spans="1:32">
      <c r="A554" t="s">
        <v>1757</v>
      </c>
      <c r="B554" s="2" t="str">
        <f t="shared" si="88"/>
        <v>Unique</v>
      </c>
      <c r="C554" s="2" t="str">
        <f t="shared" si="92"/>
        <v>Jan</v>
      </c>
      <c r="D554" s="2">
        <f t="shared" si="93"/>
        <v>2025</v>
      </c>
      <c r="E554" s="4">
        <v>45681</v>
      </c>
      <c r="F554" s="4">
        <v>45687</v>
      </c>
      <c r="G554" s="6">
        <f t="shared" si="89"/>
        <v>6</v>
      </c>
      <c r="H554" s="6" t="str">
        <f t="shared" si="90"/>
        <v>Valid</v>
      </c>
      <c r="I554" t="s">
        <v>1758</v>
      </c>
      <c r="J554" t="s">
        <v>63</v>
      </c>
      <c r="K554" t="s">
        <v>91</v>
      </c>
      <c r="L554" t="s">
        <v>39</v>
      </c>
      <c r="M554" t="s">
        <v>100</v>
      </c>
      <c r="O554" t="s">
        <v>75</v>
      </c>
      <c r="P554" t="s">
        <v>81</v>
      </c>
      <c r="Q554" t="s">
        <v>1759</v>
      </c>
      <c r="R554" t="s">
        <v>60</v>
      </c>
      <c r="S554">
        <v>8</v>
      </c>
      <c r="T554">
        <v>312.52999999999997</v>
      </c>
      <c r="U554" s="2" t="str">
        <f t="shared" si="94"/>
        <v>Invalid</v>
      </c>
      <c r="V554" s="13" t="s">
        <v>464</v>
      </c>
      <c r="W554" s="2" t="str">
        <f t="shared" si="95"/>
        <v>Invalid</v>
      </c>
      <c r="X554" s="2" t="str">
        <f t="shared" si="96"/>
        <v>Invalid</v>
      </c>
      <c r="Y554" s="2" t="str">
        <f t="shared" si="97"/>
        <v>Invalid</v>
      </c>
      <c r="Z554">
        <v>1875.18</v>
      </c>
      <c r="AA554">
        <v>1579.17</v>
      </c>
      <c r="AB554" s="2" t="str">
        <f t="shared" si="91"/>
        <v>Invalid</v>
      </c>
      <c r="AC554">
        <v>296.01</v>
      </c>
      <c r="AD554" s="11">
        <f t="shared" si="98"/>
        <v>0.15785684574280867</v>
      </c>
      <c r="AE554" t="s">
        <v>33</v>
      </c>
      <c r="AF554" t="s">
        <v>34</v>
      </c>
    </row>
    <row r="555" spans="1:32">
      <c r="A555" t="s">
        <v>1760</v>
      </c>
      <c r="B555" s="2" t="str">
        <f t="shared" si="88"/>
        <v>Unique</v>
      </c>
      <c r="C555" s="2" t="str">
        <f t="shared" si="92"/>
        <v>Apr</v>
      </c>
      <c r="D555" s="2">
        <f t="shared" si="93"/>
        <v>2025</v>
      </c>
      <c r="E555" s="4">
        <v>45772</v>
      </c>
      <c r="F555" s="4">
        <v>45775</v>
      </c>
      <c r="G555" s="6">
        <f t="shared" si="89"/>
        <v>3</v>
      </c>
      <c r="H555" s="6" t="str">
        <f t="shared" si="90"/>
        <v>Valid</v>
      </c>
      <c r="I555" t="s">
        <v>1761</v>
      </c>
      <c r="J555" t="s">
        <v>129</v>
      </c>
      <c r="K555" t="s">
        <v>38</v>
      </c>
      <c r="L555" t="s">
        <v>64</v>
      </c>
      <c r="M555" t="s">
        <v>181</v>
      </c>
      <c r="O555" t="s">
        <v>29</v>
      </c>
      <c r="P555" t="s">
        <v>125</v>
      </c>
      <c r="Q555" t="s">
        <v>1762</v>
      </c>
      <c r="R555" t="s">
        <v>51</v>
      </c>
      <c r="S555">
        <v>9</v>
      </c>
      <c r="T555">
        <v>1294.1099999999999</v>
      </c>
      <c r="U555" s="2">
        <f t="shared" si="94"/>
        <v>8735.2425000000003</v>
      </c>
      <c r="V555" s="13">
        <v>0.25</v>
      </c>
      <c r="W555" s="2">
        <f t="shared" si="95"/>
        <v>0.25</v>
      </c>
      <c r="X555" s="2" t="str">
        <f t="shared" si="96"/>
        <v>Valid</v>
      </c>
      <c r="Y555" s="2" t="str">
        <f t="shared" si="97"/>
        <v>Clean</v>
      </c>
      <c r="Z555">
        <v>8735.24</v>
      </c>
      <c r="AA555">
        <v>6620.07</v>
      </c>
      <c r="AB555" s="2">
        <f t="shared" si="91"/>
        <v>2115.1725000000006</v>
      </c>
      <c r="AC555">
        <v>2115.17</v>
      </c>
      <c r="AD555" s="11">
        <f t="shared" si="98"/>
        <v>0.24214217354073844</v>
      </c>
      <c r="AE555" t="s">
        <v>33</v>
      </c>
      <c r="AF555" t="s">
        <v>34</v>
      </c>
    </row>
    <row r="556" spans="1:32">
      <c r="A556" t="s">
        <v>1763</v>
      </c>
      <c r="B556" s="2" t="str">
        <f t="shared" si="88"/>
        <v>Unique</v>
      </c>
      <c r="C556" s="2" t="str">
        <f t="shared" si="92"/>
        <v>Oct</v>
      </c>
      <c r="D556" s="2">
        <f t="shared" si="93"/>
        <v>2024</v>
      </c>
      <c r="E556" s="4">
        <v>45577</v>
      </c>
      <c r="F556" s="4">
        <v>45582</v>
      </c>
      <c r="G556" s="6">
        <f t="shared" si="89"/>
        <v>5</v>
      </c>
      <c r="H556" s="6" t="str">
        <f t="shared" si="90"/>
        <v>Valid</v>
      </c>
      <c r="I556" t="s">
        <v>1764</v>
      </c>
      <c r="J556" t="s">
        <v>54</v>
      </c>
      <c r="K556" t="s">
        <v>25</v>
      </c>
      <c r="L556" s="2" t="s">
        <v>2793</v>
      </c>
      <c r="M556" t="s">
        <v>229</v>
      </c>
      <c r="O556" t="s">
        <v>42</v>
      </c>
      <c r="P556" t="s">
        <v>58</v>
      </c>
      <c r="Q556" t="s">
        <v>1765</v>
      </c>
      <c r="R556" t="s">
        <v>60</v>
      </c>
      <c r="S556">
        <v>4</v>
      </c>
      <c r="T556">
        <v>1071.22</v>
      </c>
      <c r="U556" s="2">
        <f t="shared" si="94"/>
        <v>4070.636</v>
      </c>
      <c r="V556" s="13">
        <v>0.05</v>
      </c>
      <c r="W556" s="2">
        <f t="shared" si="95"/>
        <v>0.05</v>
      </c>
      <c r="X556" s="2" t="str">
        <f t="shared" si="96"/>
        <v>Valid</v>
      </c>
      <c r="Y556" s="2" t="str">
        <f t="shared" si="97"/>
        <v>Clean</v>
      </c>
      <c r="Z556">
        <v>4070.64</v>
      </c>
      <c r="AA556">
        <v>2831.62</v>
      </c>
      <c r="AB556" s="2">
        <f t="shared" si="91"/>
        <v>1239.0160000000001</v>
      </c>
      <c r="AC556">
        <v>1239.02</v>
      </c>
      <c r="AD556" s="11">
        <f t="shared" si="98"/>
        <v>0.30437965528762062</v>
      </c>
      <c r="AE556" t="s">
        <v>33</v>
      </c>
      <c r="AF556" t="s">
        <v>34</v>
      </c>
    </row>
    <row r="557" spans="1:32">
      <c r="A557" t="s">
        <v>1766</v>
      </c>
      <c r="B557" s="2" t="str">
        <f t="shared" si="88"/>
        <v>Unique</v>
      </c>
      <c r="C557" s="2" t="str">
        <f t="shared" si="92"/>
        <v>Feb</v>
      </c>
      <c r="D557" s="2">
        <f t="shared" si="93"/>
        <v>2025</v>
      </c>
      <c r="E557" s="4">
        <v>45692</v>
      </c>
      <c r="F557" s="4">
        <v>45698</v>
      </c>
      <c r="G557" s="6">
        <f t="shared" si="89"/>
        <v>6</v>
      </c>
      <c r="H557" s="6" t="str">
        <f t="shared" si="90"/>
        <v>Valid</v>
      </c>
      <c r="I557" t="s">
        <v>1767</v>
      </c>
      <c r="J557" t="s">
        <v>63</v>
      </c>
      <c r="K557" t="s">
        <v>38</v>
      </c>
      <c r="L557" t="s">
        <v>55</v>
      </c>
      <c r="M557" t="s">
        <v>56</v>
      </c>
      <c r="O557" t="s">
        <v>29</v>
      </c>
      <c r="P557" t="s">
        <v>125</v>
      </c>
      <c r="Q557" t="s">
        <v>1768</v>
      </c>
      <c r="R557" t="s">
        <v>60</v>
      </c>
      <c r="S557">
        <v>6</v>
      </c>
      <c r="T557">
        <v>1042.8</v>
      </c>
      <c r="U557" s="2">
        <f t="shared" si="94"/>
        <v>5943.9599999999991</v>
      </c>
      <c r="V557" s="13">
        <v>0.05</v>
      </c>
      <c r="W557" s="2">
        <f t="shared" si="95"/>
        <v>0.05</v>
      </c>
      <c r="X557" s="2" t="str">
        <f t="shared" si="96"/>
        <v>Valid</v>
      </c>
      <c r="Y557" s="2" t="str">
        <f t="shared" si="97"/>
        <v>Clean</v>
      </c>
      <c r="Z557">
        <v>5943.96</v>
      </c>
      <c r="AA557">
        <v>3604.14</v>
      </c>
      <c r="AB557" s="2">
        <f t="shared" si="91"/>
        <v>2339.8199999999993</v>
      </c>
      <c r="AC557">
        <v>2339.8200000000002</v>
      </c>
      <c r="AD557" s="11">
        <f t="shared" si="98"/>
        <v>0.39364665980255592</v>
      </c>
      <c r="AE557" t="s">
        <v>33</v>
      </c>
      <c r="AF557" t="s">
        <v>34</v>
      </c>
    </row>
    <row r="558" spans="1:32">
      <c r="A558" t="s">
        <v>1769</v>
      </c>
      <c r="B558" s="2" t="str">
        <f t="shared" si="88"/>
        <v>Unique</v>
      </c>
      <c r="C558" s="2" t="str">
        <f t="shared" si="92"/>
        <v>Jun</v>
      </c>
      <c r="D558" s="2">
        <f t="shared" si="93"/>
        <v>2024</v>
      </c>
      <c r="E558" s="4">
        <v>45466</v>
      </c>
      <c r="F558" s="4">
        <v>45472</v>
      </c>
      <c r="G558" s="6">
        <f t="shared" si="89"/>
        <v>6</v>
      </c>
      <c r="H558" s="6" t="str">
        <f t="shared" si="90"/>
        <v>Valid</v>
      </c>
      <c r="I558" t="s">
        <v>1770</v>
      </c>
      <c r="J558" t="s">
        <v>80</v>
      </c>
      <c r="K558" t="s">
        <v>25</v>
      </c>
      <c r="L558" t="s">
        <v>26</v>
      </c>
      <c r="M558" t="s">
        <v>237</v>
      </c>
      <c r="O558" t="s">
        <v>42</v>
      </c>
      <c r="P558" t="s">
        <v>43</v>
      </c>
      <c r="Q558" t="s">
        <v>1771</v>
      </c>
      <c r="R558" t="s">
        <v>51</v>
      </c>
      <c r="S558">
        <v>1</v>
      </c>
      <c r="T558">
        <v>4426.66</v>
      </c>
      <c r="U558" s="2">
        <f t="shared" si="94"/>
        <v>4426.66</v>
      </c>
      <c r="V558" s="13">
        <v>0</v>
      </c>
      <c r="W558" s="2">
        <f t="shared" si="95"/>
        <v>0</v>
      </c>
      <c r="X558" s="2" t="str">
        <f t="shared" si="96"/>
        <v>Valid</v>
      </c>
      <c r="Y558" s="2" t="str">
        <f t="shared" si="97"/>
        <v>Clean</v>
      </c>
      <c r="Z558">
        <v>4426.66</v>
      </c>
      <c r="AA558">
        <v>3035.2</v>
      </c>
      <c r="AB558" s="2">
        <f t="shared" si="91"/>
        <v>1391.46</v>
      </c>
      <c r="AC558">
        <v>1816.23</v>
      </c>
      <c r="AD558" s="11">
        <f t="shared" si="98"/>
        <v>0.41029353959870424</v>
      </c>
      <c r="AE558" t="s">
        <v>33</v>
      </c>
      <c r="AF558" t="s">
        <v>104</v>
      </c>
    </row>
    <row r="559" spans="1:32">
      <c r="A559" t="s">
        <v>1772</v>
      </c>
      <c r="B559" s="2" t="str">
        <f t="shared" si="88"/>
        <v>Unique</v>
      </c>
      <c r="C559" s="2" t="str">
        <f t="shared" si="92"/>
        <v>May</v>
      </c>
      <c r="D559" s="2">
        <f t="shared" si="93"/>
        <v>2024</v>
      </c>
      <c r="E559" s="4">
        <v>45420</v>
      </c>
      <c r="F559" s="4">
        <v>45426</v>
      </c>
      <c r="G559" s="6">
        <f t="shared" si="89"/>
        <v>6</v>
      </c>
      <c r="H559" s="6" t="str">
        <f t="shared" si="90"/>
        <v>Valid</v>
      </c>
      <c r="I559" t="s">
        <v>1773</v>
      </c>
      <c r="J559" t="s">
        <v>72</v>
      </c>
      <c r="K559" t="s">
        <v>96</v>
      </c>
      <c r="L559" t="s">
        <v>26</v>
      </c>
      <c r="M559" t="s">
        <v>237</v>
      </c>
      <c r="O559" t="s">
        <v>75</v>
      </c>
      <c r="P559" t="s">
        <v>172</v>
      </c>
      <c r="Q559" t="s">
        <v>1774</v>
      </c>
      <c r="R559" t="s">
        <v>51</v>
      </c>
      <c r="S559">
        <v>9</v>
      </c>
      <c r="T559">
        <v>3769.46</v>
      </c>
      <c r="U559" s="2">
        <f t="shared" si="94"/>
        <v>32228.882999999998</v>
      </c>
      <c r="V559" s="13">
        <v>0.05</v>
      </c>
      <c r="W559" s="2">
        <f t="shared" si="95"/>
        <v>0.05</v>
      </c>
      <c r="X559" s="2" t="str">
        <f t="shared" si="96"/>
        <v>Valid</v>
      </c>
      <c r="Y559" s="2" t="str">
        <f t="shared" si="97"/>
        <v>Clean</v>
      </c>
      <c r="Z559">
        <v>32228.880000000001</v>
      </c>
      <c r="AA559">
        <v>24971.360000000001</v>
      </c>
      <c r="AB559" s="2">
        <f t="shared" si="91"/>
        <v>7257.5229999999974</v>
      </c>
      <c r="AC559">
        <v>7257.52</v>
      </c>
      <c r="AD559" s="11">
        <f t="shared" si="98"/>
        <v>0.22518685104788005</v>
      </c>
      <c r="AE559" t="s">
        <v>33</v>
      </c>
      <c r="AF559" t="s">
        <v>69</v>
      </c>
    </row>
    <row r="560" spans="1:32">
      <c r="A560" t="s">
        <v>1775</v>
      </c>
      <c r="B560" s="2" t="str">
        <f t="shared" si="88"/>
        <v>Unique</v>
      </c>
      <c r="C560" s="2" t="str">
        <f t="shared" si="92"/>
        <v>Sep</v>
      </c>
      <c r="D560" s="2">
        <f t="shared" si="93"/>
        <v>2025</v>
      </c>
      <c r="E560" s="4">
        <v>45904</v>
      </c>
      <c r="F560" s="4">
        <v>45904</v>
      </c>
      <c r="G560" s="6">
        <f t="shared" si="89"/>
        <v>0</v>
      </c>
      <c r="H560" s="6" t="str">
        <f t="shared" si="90"/>
        <v>Valid</v>
      </c>
      <c r="I560" t="s">
        <v>1776</v>
      </c>
      <c r="J560" t="s">
        <v>90</v>
      </c>
      <c r="K560" t="s">
        <v>91</v>
      </c>
      <c r="L560" t="s">
        <v>26</v>
      </c>
      <c r="M560" t="s">
        <v>123</v>
      </c>
      <c r="O560" t="s">
        <v>75</v>
      </c>
      <c r="P560" t="s">
        <v>275</v>
      </c>
      <c r="Q560" t="s">
        <v>1777</v>
      </c>
      <c r="R560" t="s">
        <v>51</v>
      </c>
      <c r="S560">
        <v>8</v>
      </c>
      <c r="T560">
        <v>3079.95</v>
      </c>
      <c r="U560" s="2">
        <f t="shared" si="94"/>
        <v>19711.68</v>
      </c>
      <c r="V560" s="13">
        <v>0.2</v>
      </c>
      <c r="W560" s="2">
        <f t="shared" si="95"/>
        <v>0.2</v>
      </c>
      <c r="X560" s="2" t="str">
        <f t="shared" si="96"/>
        <v>Valid</v>
      </c>
      <c r="Y560" s="2" t="str">
        <f t="shared" si="97"/>
        <v>Clean</v>
      </c>
      <c r="Z560">
        <v>19711.68</v>
      </c>
      <c r="AA560">
        <v>14461.8</v>
      </c>
      <c r="AB560" s="2">
        <f t="shared" si="91"/>
        <v>5249.880000000001</v>
      </c>
      <c r="AC560">
        <v>5249.88</v>
      </c>
      <c r="AD560" s="11">
        <f t="shared" si="98"/>
        <v>0.2663334632055715</v>
      </c>
      <c r="AE560" t="s">
        <v>33</v>
      </c>
      <c r="AF560" t="s">
        <v>34</v>
      </c>
    </row>
    <row r="561" spans="1:32">
      <c r="A561" t="s">
        <v>1778</v>
      </c>
      <c r="B561" s="2" t="str">
        <f t="shared" si="88"/>
        <v>Unique</v>
      </c>
      <c r="C561" s="2" t="str">
        <f t="shared" si="92"/>
        <v>Sep</v>
      </c>
      <c r="D561" s="2">
        <f t="shared" si="93"/>
        <v>2025</v>
      </c>
      <c r="E561" s="4">
        <v>45930</v>
      </c>
      <c r="F561" s="4">
        <v>45937</v>
      </c>
      <c r="G561" s="6">
        <f t="shared" si="89"/>
        <v>7</v>
      </c>
      <c r="H561" s="6" t="str">
        <f t="shared" si="90"/>
        <v>Valid</v>
      </c>
      <c r="I561" t="s">
        <v>1779</v>
      </c>
      <c r="J561" t="s">
        <v>163</v>
      </c>
      <c r="K561" t="s">
        <v>91</v>
      </c>
      <c r="L561" t="s">
        <v>39</v>
      </c>
      <c r="M561" t="s">
        <v>146</v>
      </c>
      <c r="O561" t="s">
        <v>75</v>
      </c>
      <c r="P561" t="s">
        <v>81</v>
      </c>
      <c r="Q561" t="s">
        <v>1780</v>
      </c>
      <c r="R561" t="s">
        <v>32</v>
      </c>
      <c r="S561">
        <v>5</v>
      </c>
      <c r="T561">
        <v>3277.82</v>
      </c>
      <c r="U561" s="2">
        <f t="shared" si="94"/>
        <v>14750.190000000002</v>
      </c>
      <c r="V561" s="13">
        <v>0.1</v>
      </c>
      <c r="W561" s="2">
        <f t="shared" si="95"/>
        <v>0.1</v>
      </c>
      <c r="X561" s="2" t="str">
        <f t="shared" si="96"/>
        <v>Valid</v>
      </c>
      <c r="Y561" s="2" t="str">
        <f t="shared" si="97"/>
        <v>Clean</v>
      </c>
      <c r="Z561">
        <v>14750.19</v>
      </c>
      <c r="AA561">
        <v>9482.58</v>
      </c>
      <c r="AB561" s="2">
        <f t="shared" si="91"/>
        <v>5267.6100000000024</v>
      </c>
      <c r="AC561">
        <v>5267.61</v>
      </c>
      <c r="AD561" s="11">
        <f t="shared" si="98"/>
        <v>0.35712150148574356</v>
      </c>
      <c r="AE561" t="s">
        <v>33</v>
      </c>
      <c r="AF561" t="s">
        <v>104</v>
      </c>
    </row>
    <row r="562" spans="1:32">
      <c r="A562" t="s">
        <v>1781</v>
      </c>
      <c r="B562" s="2" t="str">
        <f t="shared" si="88"/>
        <v>Unique</v>
      </c>
      <c r="C562" s="2" t="str">
        <f t="shared" si="92"/>
        <v>Jan</v>
      </c>
      <c r="D562" s="2">
        <f t="shared" si="93"/>
        <v>2024</v>
      </c>
      <c r="E562" s="4">
        <v>45307</v>
      </c>
      <c r="F562" s="4">
        <v>45313</v>
      </c>
      <c r="G562" s="6">
        <f t="shared" si="89"/>
        <v>6</v>
      </c>
      <c r="H562" s="6" t="str">
        <f t="shared" si="90"/>
        <v>Valid</v>
      </c>
      <c r="I562" t="s">
        <v>1782</v>
      </c>
      <c r="J562" t="s">
        <v>54</v>
      </c>
      <c r="K562" t="s">
        <v>25</v>
      </c>
      <c r="L562" t="s">
        <v>64</v>
      </c>
      <c r="M562" t="s">
        <v>191</v>
      </c>
      <c r="O562" t="s">
        <v>29</v>
      </c>
      <c r="P562" t="s">
        <v>125</v>
      </c>
      <c r="Q562" t="s">
        <v>1783</v>
      </c>
      <c r="R562" t="s">
        <v>60</v>
      </c>
      <c r="S562">
        <v>4</v>
      </c>
      <c r="T562">
        <v>282.52999999999997</v>
      </c>
      <c r="U562" s="2">
        <f t="shared" si="94"/>
        <v>1130.1199999999999</v>
      </c>
      <c r="V562" s="13">
        <v>0</v>
      </c>
      <c r="W562" s="2">
        <f t="shared" si="95"/>
        <v>0</v>
      </c>
      <c r="X562" s="2" t="str">
        <f t="shared" si="96"/>
        <v>Valid</v>
      </c>
      <c r="Y562" s="2" t="str">
        <f t="shared" si="97"/>
        <v>Clean</v>
      </c>
      <c r="Z562">
        <v>1130.1199999999999</v>
      </c>
      <c r="AA562">
        <v>848.62</v>
      </c>
      <c r="AB562" s="2">
        <f t="shared" si="91"/>
        <v>281.49999999999989</v>
      </c>
      <c r="AC562">
        <v>281.5</v>
      </c>
      <c r="AD562" s="11">
        <f t="shared" si="98"/>
        <v>0.24908859236187311</v>
      </c>
      <c r="AE562" t="s">
        <v>33</v>
      </c>
      <c r="AF562" t="s">
        <v>69</v>
      </c>
    </row>
    <row r="563" spans="1:32">
      <c r="A563" t="s">
        <v>1784</v>
      </c>
      <c r="B563" s="2" t="str">
        <f t="shared" si="88"/>
        <v>Unique</v>
      </c>
      <c r="C563" s="2" t="str">
        <f t="shared" si="92"/>
        <v>Jul</v>
      </c>
      <c r="D563" s="2">
        <f t="shared" si="93"/>
        <v>2025</v>
      </c>
      <c r="E563" s="4">
        <v>45852</v>
      </c>
      <c r="F563" s="4">
        <v>45856</v>
      </c>
      <c r="G563" s="6">
        <f t="shared" si="89"/>
        <v>4</v>
      </c>
      <c r="H563" s="6" t="str">
        <f t="shared" si="90"/>
        <v>Valid</v>
      </c>
      <c r="I563" t="s">
        <v>1785</v>
      </c>
      <c r="J563" t="s">
        <v>90</v>
      </c>
      <c r="K563" t="s">
        <v>25</v>
      </c>
      <c r="L563" t="s">
        <v>26</v>
      </c>
      <c r="M563" t="s">
        <v>123</v>
      </c>
      <c r="O563" t="s">
        <v>75</v>
      </c>
      <c r="P563" t="s">
        <v>81</v>
      </c>
      <c r="Q563" t="s">
        <v>1786</v>
      </c>
      <c r="R563" t="s">
        <v>51</v>
      </c>
      <c r="S563">
        <v>4</v>
      </c>
      <c r="T563">
        <v>725.22</v>
      </c>
      <c r="U563" s="2">
        <f t="shared" si="94"/>
        <v>2900.88</v>
      </c>
      <c r="V563" s="13">
        <v>0</v>
      </c>
      <c r="W563" s="2">
        <f t="shared" si="95"/>
        <v>0</v>
      </c>
      <c r="X563" s="2" t="str">
        <f t="shared" si="96"/>
        <v>Valid</v>
      </c>
      <c r="Y563" s="2" t="str">
        <f t="shared" si="97"/>
        <v>Clean</v>
      </c>
      <c r="Z563">
        <v>2900.88</v>
      </c>
      <c r="AA563">
        <v>2391.85</v>
      </c>
      <c r="AB563" s="2">
        <f t="shared" si="91"/>
        <v>509.0300000000002</v>
      </c>
      <c r="AC563">
        <v>509.03</v>
      </c>
      <c r="AD563" s="11">
        <f t="shared" si="98"/>
        <v>0.17547433882132316</v>
      </c>
      <c r="AE563" t="s">
        <v>112</v>
      </c>
      <c r="AF563" t="s">
        <v>104</v>
      </c>
    </row>
    <row r="564" spans="1:32">
      <c r="A564" t="s">
        <v>1787</v>
      </c>
      <c r="B564" s="2" t="str">
        <f t="shared" si="88"/>
        <v>Unique</v>
      </c>
      <c r="C564" s="2" t="str">
        <f t="shared" si="92"/>
        <v>May</v>
      </c>
      <c r="D564" s="2">
        <f t="shared" si="93"/>
        <v>2024</v>
      </c>
      <c r="E564" s="4">
        <v>45422</v>
      </c>
      <c r="F564" s="4">
        <v>45428</v>
      </c>
      <c r="G564" s="6">
        <f t="shared" si="89"/>
        <v>6</v>
      </c>
      <c r="H564" s="6" t="str">
        <f t="shared" si="90"/>
        <v>Valid</v>
      </c>
      <c r="I564" t="s">
        <v>1788</v>
      </c>
      <c r="J564" t="s">
        <v>24</v>
      </c>
      <c r="K564" t="s">
        <v>25</v>
      </c>
      <c r="L564" t="s">
        <v>26</v>
      </c>
      <c r="M564" t="s">
        <v>123</v>
      </c>
      <c r="O564" t="s">
        <v>29</v>
      </c>
      <c r="P564" t="s">
        <v>154</v>
      </c>
      <c r="Q564" t="s">
        <v>1789</v>
      </c>
      <c r="R564" t="s">
        <v>45</v>
      </c>
      <c r="S564">
        <v>7</v>
      </c>
      <c r="T564">
        <v>121.54</v>
      </c>
      <c r="U564" s="2">
        <f t="shared" si="94"/>
        <v>680.62400000000014</v>
      </c>
      <c r="V564" s="13">
        <v>0.2</v>
      </c>
      <c r="W564" s="2">
        <f t="shared" si="95"/>
        <v>0.2</v>
      </c>
      <c r="X564" s="2" t="str">
        <f t="shared" si="96"/>
        <v>Valid</v>
      </c>
      <c r="Y564" s="2" t="str">
        <f t="shared" si="97"/>
        <v>Clean</v>
      </c>
      <c r="Z564">
        <v>680.62</v>
      </c>
      <c r="AA564">
        <v>463.49</v>
      </c>
      <c r="AB564" s="2">
        <f t="shared" si="91"/>
        <v>217.13400000000013</v>
      </c>
      <c r="AC564">
        <v>217.13</v>
      </c>
      <c r="AD564" s="11">
        <f t="shared" si="98"/>
        <v>0.31901795421821277</v>
      </c>
      <c r="AE564" t="s">
        <v>156</v>
      </c>
      <c r="AF564" t="s">
        <v>104</v>
      </c>
    </row>
    <row r="565" spans="1:32">
      <c r="A565" t="s">
        <v>1790</v>
      </c>
      <c r="B565" s="2" t="str">
        <f t="shared" si="88"/>
        <v>Unique</v>
      </c>
      <c r="C565" s="2" t="str">
        <f t="shared" si="92"/>
        <v>May</v>
      </c>
      <c r="D565" s="2">
        <f t="shared" si="93"/>
        <v>2024</v>
      </c>
      <c r="E565" s="4">
        <v>45418</v>
      </c>
      <c r="F565" s="4">
        <v>45424</v>
      </c>
      <c r="G565" s="6">
        <f t="shared" si="89"/>
        <v>6</v>
      </c>
      <c r="H565" s="6" t="str">
        <f t="shared" si="90"/>
        <v>Valid</v>
      </c>
      <c r="I565" t="s">
        <v>1791</v>
      </c>
      <c r="J565" t="s">
        <v>54</v>
      </c>
      <c r="K565" t="s">
        <v>91</v>
      </c>
      <c r="L565" t="s">
        <v>64</v>
      </c>
      <c r="M565" t="s">
        <v>191</v>
      </c>
      <c r="O565" t="s">
        <v>42</v>
      </c>
      <c r="P565" t="s">
        <v>43</v>
      </c>
      <c r="Q565" t="s">
        <v>1792</v>
      </c>
      <c r="R565" t="s">
        <v>60</v>
      </c>
      <c r="S565">
        <v>9</v>
      </c>
      <c r="T565">
        <v>790.97</v>
      </c>
      <c r="U565" s="2">
        <f t="shared" si="94"/>
        <v>5694.9840000000004</v>
      </c>
      <c r="V565" s="13">
        <v>0.2</v>
      </c>
      <c r="W565" s="2">
        <f t="shared" si="95"/>
        <v>0.2</v>
      </c>
      <c r="X565" s="2" t="str">
        <f t="shared" si="96"/>
        <v>Valid</v>
      </c>
      <c r="Y565" s="2" t="str">
        <f t="shared" si="97"/>
        <v>Clean</v>
      </c>
      <c r="Z565">
        <v>5694.98</v>
      </c>
      <c r="AA565">
        <v>4618.33</v>
      </c>
      <c r="AB565" s="2">
        <f t="shared" si="91"/>
        <v>1076.6540000000005</v>
      </c>
      <c r="AC565">
        <v>1076.6500000000001</v>
      </c>
      <c r="AD565" s="11">
        <f t="shared" si="98"/>
        <v>0.18905246374877527</v>
      </c>
      <c r="AE565" t="s">
        <v>112</v>
      </c>
      <c r="AF565" t="s">
        <v>69</v>
      </c>
    </row>
    <row r="566" spans="1:32">
      <c r="A566" t="s">
        <v>1793</v>
      </c>
      <c r="B566" s="2" t="str">
        <f t="shared" si="88"/>
        <v>Unique</v>
      </c>
      <c r="C566" s="2" t="str">
        <f t="shared" si="92"/>
        <v>Nov</v>
      </c>
      <c r="D566" s="2">
        <f t="shared" si="93"/>
        <v>2024</v>
      </c>
      <c r="E566" s="4">
        <v>45606</v>
      </c>
      <c r="F566" s="4">
        <v>45610</v>
      </c>
      <c r="G566" s="6">
        <f t="shared" si="89"/>
        <v>4</v>
      </c>
      <c r="H566" s="6" t="str">
        <f t="shared" si="90"/>
        <v>Valid</v>
      </c>
      <c r="I566" t="s">
        <v>1794</v>
      </c>
      <c r="J566" t="s">
        <v>133</v>
      </c>
      <c r="K566" t="s">
        <v>91</v>
      </c>
      <c r="L566" t="s">
        <v>55</v>
      </c>
      <c r="M566" t="s">
        <v>85</v>
      </c>
      <c r="O566" t="s">
        <v>42</v>
      </c>
      <c r="P566" t="s">
        <v>43</v>
      </c>
      <c r="Q566" t="s">
        <v>1795</v>
      </c>
      <c r="R566" t="s">
        <v>51</v>
      </c>
      <c r="S566">
        <v>2</v>
      </c>
      <c r="T566">
        <v>921.34</v>
      </c>
      <c r="U566" s="2">
        <f t="shared" si="94"/>
        <v>1474.1440000000002</v>
      </c>
      <c r="V566" s="13">
        <v>0.2</v>
      </c>
      <c r="W566" s="2">
        <f t="shared" si="95"/>
        <v>0.2</v>
      </c>
      <c r="X566" s="2" t="str">
        <f t="shared" si="96"/>
        <v>Valid</v>
      </c>
      <c r="Y566" s="2" t="str">
        <f t="shared" si="97"/>
        <v>Clean</v>
      </c>
      <c r="Z566">
        <v>1474.14</v>
      </c>
      <c r="AA566">
        <v>968.46</v>
      </c>
      <c r="AB566" s="2">
        <f t="shared" si="91"/>
        <v>505.6840000000002</v>
      </c>
      <c r="AC566">
        <v>505.68</v>
      </c>
      <c r="AD566" s="11">
        <f t="shared" si="98"/>
        <v>0.34303390451381821</v>
      </c>
      <c r="AE566" t="s">
        <v>33</v>
      </c>
      <c r="AF566" t="s">
        <v>34</v>
      </c>
    </row>
    <row r="567" spans="1:32">
      <c r="A567" t="s">
        <v>1796</v>
      </c>
      <c r="B567" s="2" t="str">
        <f t="shared" si="88"/>
        <v>Unique</v>
      </c>
      <c r="C567" s="2" t="str">
        <f t="shared" si="92"/>
        <v>Aug</v>
      </c>
      <c r="D567" s="2">
        <f t="shared" si="93"/>
        <v>2025</v>
      </c>
      <c r="E567" s="4">
        <v>45876</v>
      </c>
      <c r="F567" s="4">
        <v>45882</v>
      </c>
      <c r="G567" s="6">
        <f t="shared" si="89"/>
        <v>6</v>
      </c>
      <c r="H567" s="6" t="str">
        <f t="shared" si="90"/>
        <v>Valid</v>
      </c>
      <c r="I567" t="s">
        <v>1797</v>
      </c>
      <c r="J567" t="s">
        <v>37</v>
      </c>
      <c r="K567" t="s">
        <v>91</v>
      </c>
      <c r="L567" t="s">
        <v>26</v>
      </c>
      <c r="M567" t="s">
        <v>351</v>
      </c>
      <c r="O567" t="s">
        <v>75</v>
      </c>
      <c r="P567" t="s">
        <v>172</v>
      </c>
      <c r="Q567" t="s">
        <v>1798</v>
      </c>
      <c r="R567" t="s">
        <v>60</v>
      </c>
      <c r="S567">
        <v>6</v>
      </c>
      <c r="T567">
        <v>1921.86</v>
      </c>
      <c r="U567" s="2">
        <f t="shared" si="94"/>
        <v>9224.9279999999999</v>
      </c>
      <c r="V567" s="13">
        <v>0.2</v>
      </c>
      <c r="W567" s="2">
        <f t="shared" si="95"/>
        <v>0.2</v>
      </c>
      <c r="X567" s="2" t="str">
        <f t="shared" si="96"/>
        <v>Valid</v>
      </c>
      <c r="Y567" s="2" t="str">
        <f t="shared" si="97"/>
        <v>Clean</v>
      </c>
      <c r="Z567">
        <v>9224.93</v>
      </c>
      <c r="AA567">
        <v>7005.2</v>
      </c>
      <c r="AB567" s="2">
        <f t="shared" si="91"/>
        <v>2219.7280000000001</v>
      </c>
      <c r="AC567">
        <v>2219.73</v>
      </c>
      <c r="AD567" s="11">
        <f t="shared" si="98"/>
        <v>0.24062296407669218</v>
      </c>
      <c r="AE567" t="s">
        <v>103</v>
      </c>
      <c r="AF567" t="s">
        <v>69</v>
      </c>
    </row>
    <row r="568" spans="1:32">
      <c r="A568" t="s">
        <v>1799</v>
      </c>
      <c r="B568" s="2" t="str">
        <f t="shared" si="88"/>
        <v>Unique</v>
      </c>
      <c r="C568" s="2" t="str">
        <f t="shared" si="92"/>
        <v>Aug</v>
      </c>
      <c r="D568" s="2">
        <f t="shared" si="93"/>
        <v>2024</v>
      </c>
      <c r="E568" s="4">
        <v>45515</v>
      </c>
      <c r="F568" s="4">
        <v>45523</v>
      </c>
      <c r="G568" s="6">
        <f t="shared" si="89"/>
        <v>8</v>
      </c>
      <c r="H568" s="6" t="str">
        <f t="shared" si="90"/>
        <v>Valid</v>
      </c>
      <c r="I568" t="s">
        <v>1800</v>
      </c>
      <c r="J568" t="s">
        <v>133</v>
      </c>
      <c r="K568" t="s">
        <v>38</v>
      </c>
      <c r="L568" t="s">
        <v>64</v>
      </c>
      <c r="M568" t="s">
        <v>65</v>
      </c>
      <c r="O568" t="s">
        <v>29</v>
      </c>
      <c r="P568" t="s">
        <v>30</v>
      </c>
      <c r="Q568" t="s">
        <v>1801</v>
      </c>
      <c r="R568" t="s">
        <v>45</v>
      </c>
      <c r="S568">
        <v>2</v>
      </c>
      <c r="T568">
        <v>2617.89</v>
      </c>
      <c r="U568" s="2">
        <f t="shared" si="94"/>
        <v>4712.2020000000002</v>
      </c>
      <c r="V568" s="13">
        <v>0.1</v>
      </c>
      <c r="W568" s="2">
        <f t="shared" si="95"/>
        <v>0.1</v>
      </c>
      <c r="X568" s="2" t="str">
        <f t="shared" si="96"/>
        <v>Valid</v>
      </c>
      <c r="Y568" s="2" t="str">
        <f t="shared" si="97"/>
        <v>Clean</v>
      </c>
      <c r="Z568">
        <v>4712.2</v>
      </c>
      <c r="AA568">
        <v>3851.91</v>
      </c>
      <c r="AB568" s="2">
        <f t="shared" si="91"/>
        <v>860.29200000000037</v>
      </c>
      <c r="AC568">
        <v>860.29</v>
      </c>
      <c r="AD568" s="11">
        <f t="shared" si="98"/>
        <v>0.18256652943423454</v>
      </c>
      <c r="AE568" t="s">
        <v>156</v>
      </c>
      <c r="AF568" t="s">
        <v>104</v>
      </c>
    </row>
    <row r="569" spans="1:32">
      <c r="A569" t="s">
        <v>1802</v>
      </c>
      <c r="B569" s="2" t="str">
        <f t="shared" si="88"/>
        <v>Unique</v>
      </c>
      <c r="C569" s="2" t="str">
        <f t="shared" si="92"/>
        <v>Feb</v>
      </c>
      <c r="D569" s="2">
        <f t="shared" si="93"/>
        <v>2024</v>
      </c>
      <c r="E569" s="4">
        <v>45328</v>
      </c>
      <c r="F569" s="4">
        <v>45332</v>
      </c>
      <c r="G569" s="6">
        <f t="shared" si="89"/>
        <v>4</v>
      </c>
      <c r="H569" s="6" t="str">
        <f t="shared" si="90"/>
        <v>Valid</v>
      </c>
      <c r="I569" t="s">
        <v>1803</v>
      </c>
      <c r="J569" t="s">
        <v>54</v>
      </c>
      <c r="K569" t="s">
        <v>96</v>
      </c>
      <c r="L569" t="s">
        <v>26</v>
      </c>
      <c r="M569" t="s">
        <v>137</v>
      </c>
      <c r="O569" t="s">
        <v>42</v>
      </c>
      <c r="P569" t="s">
        <v>58</v>
      </c>
      <c r="Q569" t="s">
        <v>598</v>
      </c>
      <c r="R569" t="s">
        <v>45</v>
      </c>
      <c r="S569">
        <v>1</v>
      </c>
      <c r="T569">
        <v>1374.06</v>
      </c>
      <c r="U569" s="2">
        <f t="shared" si="94"/>
        <v>1305.357</v>
      </c>
      <c r="V569" s="13">
        <v>0.05</v>
      </c>
      <c r="W569" s="2">
        <f t="shared" si="95"/>
        <v>0.05</v>
      </c>
      <c r="X569" s="2" t="str">
        <f t="shared" si="96"/>
        <v>Valid</v>
      </c>
      <c r="Y569" s="2" t="str">
        <f t="shared" si="97"/>
        <v>Clean</v>
      </c>
      <c r="Z569">
        <v>1305.3599999999999</v>
      </c>
      <c r="AA569">
        <v>731.89</v>
      </c>
      <c r="AB569" s="2">
        <f t="shared" si="91"/>
        <v>573.46699999999998</v>
      </c>
      <c r="AC569">
        <v>573.47</v>
      </c>
      <c r="AD569" s="11">
        <f t="shared" si="98"/>
        <v>0.43931942146227865</v>
      </c>
      <c r="AE569" t="s">
        <v>33</v>
      </c>
      <c r="AF569" t="s">
        <v>34</v>
      </c>
    </row>
    <row r="570" spans="1:32">
      <c r="A570" t="s">
        <v>1804</v>
      </c>
      <c r="B570" s="2" t="str">
        <f t="shared" si="88"/>
        <v>Unique</v>
      </c>
      <c r="C570" s="2" t="str">
        <f t="shared" si="92"/>
        <v>Jan</v>
      </c>
      <c r="D570" s="2">
        <f t="shared" si="93"/>
        <v>2024</v>
      </c>
      <c r="E570" s="4">
        <v>45312</v>
      </c>
      <c r="F570" s="4">
        <v>45315</v>
      </c>
      <c r="G570" s="6">
        <f t="shared" si="89"/>
        <v>3</v>
      </c>
      <c r="H570" s="6" t="str">
        <f t="shared" si="90"/>
        <v>Valid</v>
      </c>
      <c r="I570" t="s">
        <v>1805</v>
      </c>
      <c r="J570" t="s">
        <v>265</v>
      </c>
      <c r="K570" t="s">
        <v>91</v>
      </c>
      <c r="L570" t="s">
        <v>26</v>
      </c>
      <c r="M570" t="s">
        <v>123</v>
      </c>
      <c r="O570" t="s">
        <v>75</v>
      </c>
      <c r="P570" t="s">
        <v>275</v>
      </c>
      <c r="Q570" t="s">
        <v>1806</v>
      </c>
      <c r="R570" t="s">
        <v>45</v>
      </c>
      <c r="S570">
        <v>1</v>
      </c>
      <c r="T570">
        <v>3806.3</v>
      </c>
      <c r="U570" s="2">
        <f t="shared" si="94"/>
        <v>2854.7250000000004</v>
      </c>
      <c r="V570" s="13">
        <v>0.25</v>
      </c>
      <c r="W570" s="2">
        <f t="shared" si="95"/>
        <v>0.25</v>
      </c>
      <c r="X570" s="2" t="str">
        <f t="shared" si="96"/>
        <v>Valid</v>
      </c>
      <c r="Y570" s="2" t="str">
        <f t="shared" si="97"/>
        <v>Clean</v>
      </c>
      <c r="Z570">
        <v>2854.73</v>
      </c>
      <c r="AA570">
        <v>1968.12</v>
      </c>
      <c r="AB570" s="2">
        <f t="shared" si="91"/>
        <v>886.60500000000047</v>
      </c>
      <c r="AC570">
        <v>886.61</v>
      </c>
      <c r="AD570" s="11">
        <f t="shared" si="98"/>
        <v>0.31057578124726332</v>
      </c>
      <c r="AE570" t="s">
        <v>33</v>
      </c>
      <c r="AF570" t="s">
        <v>34</v>
      </c>
    </row>
    <row r="571" spans="1:32">
      <c r="A571" t="s">
        <v>1807</v>
      </c>
      <c r="B571" s="2" t="str">
        <f t="shared" si="88"/>
        <v>Unique</v>
      </c>
      <c r="C571" s="2" t="str">
        <f t="shared" si="92"/>
        <v>Sep</v>
      </c>
      <c r="D571" s="2">
        <f t="shared" si="93"/>
        <v>2025</v>
      </c>
      <c r="E571" s="4">
        <v>45908</v>
      </c>
      <c r="F571" s="4">
        <v>45910</v>
      </c>
      <c r="G571" s="6">
        <f t="shared" si="89"/>
        <v>2</v>
      </c>
      <c r="H571" s="6" t="str">
        <f t="shared" si="90"/>
        <v>Valid</v>
      </c>
      <c r="I571" t="s">
        <v>1808</v>
      </c>
      <c r="J571" t="s">
        <v>119</v>
      </c>
      <c r="K571" t="s">
        <v>96</v>
      </c>
      <c r="L571" t="s">
        <v>64</v>
      </c>
      <c r="M571" t="s">
        <v>65</v>
      </c>
      <c r="O571" t="s">
        <v>42</v>
      </c>
      <c r="P571" t="s">
        <v>58</v>
      </c>
      <c r="Q571" t="s">
        <v>1809</v>
      </c>
      <c r="R571" t="s">
        <v>60</v>
      </c>
      <c r="S571">
        <v>6</v>
      </c>
      <c r="T571">
        <v>3251.17</v>
      </c>
      <c r="U571" s="2">
        <f t="shared" si="94"/>
        <v>14630.264999999999</v>
      </c>
      <c r="V571" s="13">
        <v>0.25</v>
      </c>
      <c r="W571" s="2">
        <f t="shared" si="95"/>
        <v>0.25</v>
      </c>
      <c r="X571" s="2" t="str">
        <f t="shared" si="96"/>
        <v>Valid</v>
      </c>
      <c r="Y571" s="2" t="str">
        <f t="shared" si="97"/>
        <v>Clean</v>
      </c>
      <c r="Z571">
        <v>14630.26</v>
      </c>
      <c r="AA571">
        <v>11906.36</v>
      </c>
      <c r="AB571" s="2">
        <f t="shared" si="91"/>
        <v>2723.9049999999988</v>
      </c>
      <c r="AC571">
        <v>2723.9</v>
      </c>
      <c r="AD571" s="11">
        <f t="shared" si="98"/>
        <v>0.18618261056194491</v>
      </c>
      <c r="AE571" t="s">
        <v>103</v>
      </c>
      <c r="AF571" t="s">
        <v>104</v>
      </c>
    </row>
    <row r="572" spans="1:32">
      <c r="A572" t="s">
        <v>1810</v>
      </c>
      <c r="B572" s="2" t="str">
        <f t="shared" si="88"/>
        <v>Unique</v>
      </c>
      <c r="C572" s="2" t="str">
        <f t="shared" si="92"/>
        <v>Aug</v>
      </c>
      <c r="D572" s="2">
        <f t="shared" si="93"/>
        <v>2025</v>
      </c>
      <c r="E572" s="4">
        <v>45887</v>
      </c>
      <c r="F572" s="4">
        <v>45891</v>
      </c>
      <c r="G572" s="6">
        <f t="shared" si="89"/>
        <v>4</v>
      </c>
      <c r="H572" s="6" t="str">
        <f t="shared" si="90"/>
        <v>Valid</v>
      </c>
      <c r="I572" t="s">
        <v>1811</v>
      </c>
      <c r="J572" t="s">
        <v>54</v>
      </c>
      <c r="K572" t="s">
        <v>25</v>
      </c>
      <c r="L572" t="s">
        <v>39</v>
      </c>
      <c r="M572" t="s">
        <v>229</v>
      </c>
      <c r="O572" t="s">
        <v>42</v>
      </c>
      <c r="P572" t="s">
        <v>58</v>
      </c>
      <c r="Q572" t="s">
        <v>1812</v>
      </c>
      <c r="R572" t="s">
        <v>32</v>
      </c>
      <c r="S572">
        <v>3</v>
      </c>
      <c r="T572">
        <v>3946.44</v>
      </c>
      <c r="U572" s="2">
        <f t="shared" si="94"/>
        <v>8879.49</v>
      </c>
      <c r="V572" s="13">
        <v>0.25</v>
      </c>
      <c r="W572" s="2">
        <f t="shared" si="95"/>
        <v>0.25</v>
      </c>
      <c r="X572" s="2" t="str">
        <f t="shared" si="96"/>
        <v>Valid</v>
      </c>
      <c r="Y572" s="2" t="str">
        <f t="shared" si="97"/>
        <v>Clean</v>
      </c>
      <c r="Z572">
        <v>8879.49</v>
      </c>
      <c r="AA572">
        <v>6344.57</v>
      </c>
      <c r="AB572" s="2">
        <f t="shared" si="91"/>
        <v>2534.92</v>
      </c>
      <c r="AC572">
        <v>2534.92</v>
      </c>
      <c r="AD572" s="11">
        <f t="shared" si="98"/>
        <v>0.28548035979543873</v>
      </c>
      <c r="AE572" t="s">
        <v>156</v>
      </c>
      <c r="AF572" t="s">
        <v>104</v>
      </c>
    </row>
    <row r="573" spans="1:32">
      <c r="A573" t="s">
        <v>1813</v>
      </c>
      <c r="B573" s="2" t="str">
        <f t="shared" si="88"/>
        <v>Duplicate Order ID</v>
      </c>
      <c r="C573" s="2" t="str">
        <f t="shared" si="92"/>
        <v>Feb</v>
      </c>
      <c r="D573" s="2">
        <f t="shared" si="93"/>
        <v>2025</v>
      </c>
      <c r="E573" s="4">
        <v>45698</v>
      </c>
      <c r="F573" s="4">
        <v>45702</v>
      </c>
      <c r="G573" s="6">
        <f t="shared" si="89"/>
        <v>4</v>
      </c>
      <c r="H573" s="6" t="str">
        <f t="shared" si="90"/>
        <v>Valid</v>
      </c>
      <c r="I573" t="s">
        <v>1814</v>
      </c>
      <c r="J573" t="s">
        <v>115</v>
      </c>
      <c r="K573" t="s">
        <v>38</v>
      </c>
      <c r="L573" t="s">
        <v>26</v>
      </c>
      <c r="M573" t="s">
        <v>137</v>
      </c>
      <c r="O573" t="s">
        <v>75</v>
      </c>
      <c r="P573" t="s">
        <v>172</v>
      </c>
      <c r="Q573" t="s">
        <v>1815</v>
      </c>
      <c r="R573" s="2" t="s">
        <v>2793</v>
      </c>
      <c r="S573">
        <v>5</v>
      </c>
      <c r="T573">
        <v>4276.29</v>
      </c>
      <c r="U573" s="2">
        <f t="shared" si="94"/>
        <v>21381.45</v>
      </c>
      <c r="V573" s="13">
        <v>0</v>
      </c>
      <c r="W573" s="2">
        <f t="shared" si="95"/>
        <v>0</v>
      </c>
      <c r="X573" s="2" t="str">
        <f t="shared" si="96"/>
        <v>Valid</v>
      </c>
      <c r="Y573" s="2" t="str">
        <f t="shared" si="97"/>
        <v>Clean</v>
      </c>
      <c r="Z573">
        <v>21381.45</v>
      </c>
      <c r="AA573">
        <v>13240.21</v>
      </c>
      <c r="AB573" s="2">
        <f t="shared" si="91"/>
        <v>8141.2400000000016</v>
      </c>
      <c r="AC573">
        <v>8141.24</v>
      </c>
      <c r="AD573" s="11">
        <f t="shared" si="98"/>
        <v>0.38076182859441243</v>
      </c>
      <c r="AE573" t="s">
        <v>156</v>
      </c>
      <c r="AF573" t="s">
        <v>104</v>
      </c>
    </row>
    <row r="574" spans="1:32">
      <c r="A574" t="s">
        <v>1816</v>
      </c>
      <c r="B574" s="2" t="str">
        <f t="shared" si="88"/>
        <v>Unique</v>
      </c>
      <c r="C574" s="2" t="str">
        <f t="shared" si="92"/>
        <v>Jan</v>
      </c>
      <c r="D574" s="2">
        <f t="shared" si="93"/>
        <v>2024</v>
      </c>
      <c r="E574" s="4">
        <v>45293</v>
      </c>
      <c r="F574" s="4">
        <v>45300</v>
      </c>
      <c r="G574" s="6">
        <f t="shared" si="89"/>
        <v>7</v>
      </c>
      <c r="H574" s="6" t="str">
        <f t="shared" si="90"/>
        <v>Valid</v>
      </c>
      <c r="I574" t="s">
        <v>1817</v>
      </c>
      <c r="J574" t="s">
        <v>163</v>
      </c>
      <c r="K574" t="s">
        <v>91</v>
      </c>
      <c r="L574" t="s">
        <v>26</v>
      </c>
      <c r="M574" t="s">
        <v>351</v>
      </c>
      <c r="O574" t="s">
        <v>75</v>
      </c>
      <c r="P574" t="s">
        <v>172</v>
      </c>
      <c r="Q574" t="s">
        <v>1818</v>
      </c>
      <c r="R574" t="s">
        <v>60</v>
      </c>
      <c r="S574">
        <v>3</v>
      </c>
      <c r="T574">
        <v>739.56</v>
      </c>
      <c r="U574" s="2">
        <f t="shared" si="94"/>
        <v>1774.944</v>
      </c>
      <c r="V574" s="13">
        <v>0.2</v>
      </c>
      <c r="W574" s="2">
        <f t="shared" si="95"/>
        <v>0.2</v>
      </c>
      <c r="X574" s="2" t="str">
        <f t="shared" si="96"/>
        <v>Valid</v>
      </c>
      <c r="Y574" s="2" t="str">
        <f t="shared" si="97"/>
        <v>Clean</v>
      </c>
      <c r="Z574">
        <v>1774.94</v>
      </c>
      <c r="AA574">
        <v>1007.4</v>
      </c>
      <c r="AB574" s="2">
        <f t="shared" si="91"/>
        <v>767.54399999999998</v>
      </c>
      <c r="AC574">
        <v>767.54</v>
      </c>
      <c r="AD574" s="11">
        <f t="shared" si="98"/>
        <v>0.43243151881190345</v>
      </c>
      <c r="AE574" t="s">
        <v>33</v>
      </c>
      <c r="AF574" t="s">
        <v>34</v>
      </c>
    </row>
    <row r="575" spans="1:32">
      <c r="A575" t="s">
        <v>1819</v>
      </c>
      <c r="B575" s="2" t="str">
        <f t="shared" si="88"/>
        <v>Unique</v>
      </c>
      <c r="C575" s="2" t="str">
        <f t="shared" si="92"/>
        <v>Sep</v>
      </c>
      <c r="D575" s="2">
        <f t="shared" si="93"/>
        <v>2025</v>
      </c>
      <c r="E575" s="4">
        <v>45922</v>
      </c>
      <c r="F575" s="4">
        <v>45926</v>
      </c>
      <c r="G575" s="6">
        <f t="shared" si="89"/>
        <v>4</v>
      </c>
      <c r="H575" s="6" t="str">
        <f t="shared" si="90"/>
        <v>Valid</v>
      </c>
      <c r="I575" t="s">
        <v>1820</v>
      </c>
      <c r="J575" t="s">
        <v>48</v>
      </c>
      <c r="K575" t="s">
        <v>25</v>
      </c>
      <c r="L575" t="s">
        <v>55</v>
      </c>
      <c r="M575" t="s">
        <v>85</v>
      </c>
      <c r="O575" t="s">
        <v>75</v>
      </c>
      <c r="P575" t="s">
        <v>172</v>
      </c>
      <c r="Q575" t="s">
        <v>1821</v>
      </c>
      <c r="R575" t="s">
        <v>60</v>
      </c>
      <c r="S575">
        <v>1</v>
      </c>
      <c r="T575">
        <v>573.65</v>
      </c>
      <c r="U575" s="2">
        <f t="shared" si="94"/>
        <v>573.65</v>
      </c>
      <c r="V575" s="13">
        <v>0</v>
      </c>
      <c r="W575" s="2">
        <f t="shared" si="95"/>
        <v>0</v>
      </c>
      <c r="X575" s="2" t="str">
        <f t="shared" si="96"/>
        <v>Valid</v>
      </c>
      <c r="Y575" s="2" t="str">
        <f t="shared" si="97"/>
        <v>Clean</v>
      </c>
      <c r="Z575">
        <v>573.65</v>
      </c>
      <c r="AA575">
        <v>322.67</v>
      </c>
      <c r="AB575" s="2">
        <f t="shared" si="91"/>
        <v>250.97999999999996</v>
      </c>
      <c r="AC575">
        <v>250.98</v>
      </c>
      <c r="AD575" s="11">
        <f t="shared" si="98"/>
        <v>0.43751416368866031</v>
      </c>
      <c r="AE575" t="s">
        <v>33</v>
      </c>
      <c r="AF575" t="s">
        <v>34</v>
      </c>
    </row>
    <row r="576" spans="1:32">
      <c r="A576" t="s">
        <v>1822</v>
      </c>
      <c r="B576" s="2" t="str">
        <f t="shared" si="88"/>
        <v>Unique</v>
      </c>
      <c r="C576" s="2" t="str">
        <f t="shared" si="92"/>
        <v>Feb</v>
      </c>
      <c r="D576" s="2">
        <f t="shared" si="93"/>
        <v>2024</v>
      </c>
      <c r="E576" s="4">
        <v>45342</v>
      </c>
      <c r="F576" s="4">
        <v>45347</v>
      </c>
      <c r="G576" s="6">
        <f t="shared" si="89"/>
        <v>5</v>
      </c>
      <c r="H576" s="6" t="str">
        <f t="shared" si="90"/>
        <v>Valid</v>
      </c>
      <c r="I576" t="s">
        <v>803</v>
      </c>
      <c r="J576" t="s">
        <v>163</v>
      </c>
      <c r="K576" t="s">
        <v>96</v>
      </c>
      <c r="L576" t="s">
        <v>26</v>
      </c>
      <c r="M576" t="s">
        <v>123</v>
      </c>
      <c r="O576" t="s">
        <v>75</v>
      </c>
      <c r="P576" t="s">
        <v>275</v>
      </c>
      <c r="Q576" t="s">
        <v>1823</v>
      </c>
      <c r="R576" t="s">
        <v>60</v>
      </c>
      <c r="S576">
        <v>4</v>
      </c>
      <c r="T576">
        <v>1355.8</v>
      </c>
      <c r="U576" s="2">
        <f t="shared" si="94"/>
        <v>5423.2</v>
      </c>
      <c r="V576" s="13">
        <v>0</v>
      </c>
      <c r="W576" s="2">
        <f t="shared" si="95"/>
        <v>0</v>
      </c>
      <c r="X576" s="2" t="str">
        <f t="shared" si="96"/>
        <v>Valid</v>
      </c>
      <c r="Y576" s="2" t="str">
        <f t="shared" si="97"/>
        <v>Clean</v>
      </c>
      <c r="Z576">
        <v>5423.2</v>
      </c>
      <c r="AA576">
        <v>4072.44</v>
      </c>
      <c r="AB576" s="2">
        <f t="shared" si="91"/>
        <v>1350.7599999999998</v>
      </c>
      <c r="AC576">
        <v>1350.76</v>
      </c>
      <c r="AD576" s="11">
        <f t="shared" si="98"/>
        <v>0.24907065938929046</v>
      </c>
      <c r="AE576" t="s">
        <v>33</v>
      </c>
      <c r="AF576" t="s">
        <v>34</v>
      </c>
    </row>
    <row r="577" spans="1:32">
      <c r="A577" t="s">
        <v>1824</v>
      </c>
      <c r="B577" s="2" t="str">
        <f t="shared" si="88"/>
        <v>Unique</v>
      </c>
      <c r="C577" s="2" t="str">
        <f t="shared" si="92"/>
        <v>Mar</v>
      </c>
      <c r="D577" s="2">
        <f t="shared" si="93"/>
        <v>2025</v>
      </c>
      <c r="E577" s="4">
        <v>45727</v>
      </c>
      <c r="F577" s="4">
        <v>45730</v>
      </c>
      <c r="G577" s="6">
        <f t="shared" si="89"/>
        <v>3</v>
      </c>
      <c r="H577" s="6" t="str">
        <f t="shared" si="90"/>
        <v>Valid</v>
      </c>
      <c r="I577" t="s">
        <v>1825</v>
      </c>
      <c r="J577" t="s">
        <v>133</v>
      </c>
      <c r="K577" t="s">
        <v>96</v>
      </c>
      <c r="L577" t="s">
        <v>55</v>
      </c>
      <c r="M577" t="s">
        <v>186</v>
      </c>
      <c r="O577" t="s">
        <v>42</v>
      </c>
      <c r="P577" t="s">
        <v>58</v>
      </c>
      <c r="Q577" t="s">
        <v>1826</v>
      </c>
      <c r="R577" t="s">
        <v>45</v>
      </c>
      <c r="S577">
        <v>4</v>
      </c>
      <c r="T577">
        <v>1244.82</v>
      </c>
      <c r="U577" s="2">
        <f t="shared" si="94"/>
        <v>3983.424</v>
      </c>
      <c r="V577" s="13">
        <v>0.2</v>
      </c>
      <c r="W577" s="2">
        <f t="shared" si="95"/>
        <v>0.2</v>
      </c>
      <c r="X577" s="2" t="str">
        <f t="shared" si="96"/>
        <v>Valid</v>
      </c>
      <c r="Y577" s="2" t="str">
        <f t="shared" si="97"/>
        <v>Clean</v>
      </c>
      <c r="Z577">
        <v>3983.42</v>
      </c>
      <c r="AA577">
        <v>3174.91</v>
      </c>
      <c r="AB577" s="2">
        <f t="shared" si="91"/>
        <v>808.51400000000012</v>
      </c>
      <c r="AC577">
        <v>808.51</v>
      </c>
      <c r="AD577" s="11">
        <f t="shared" si="98"/>
        <v>0.20296880569962494</v>
      </c>
      <c r="AE577" t="s">
        <v>156</v>
      </c>
      <c r="AF577" t="s">
        <v>104</v>
      </c>
    </row>
    <row r="578" spans="1:32">
      <c r="A578" t="s">
        <v>1827</v>
      </c>
      <c r="B578" s="2" t="str">
        <f t="shared" ref="B578:B641" si="99">IF(COUNTIF($A:$A,A578)&gt;1,"Duplicate Order ID","Unique")</f>
        <v>Unique</v>
      </c>
      <c r="C578" s="2" t="str">
        <f t="shared" si="92"/>
        <v>Feb</v>
      </c>
      <c r="D578" s="2">
        <f t="shared" si="93"/>
        <v>2024</v>
      </c>
      <c r="E578" s="4">
        <v>45339</v>
      </c>
      <c r="F578" s="4">
        <v>45345</v>
      </c>
      <c r="G578" s="6">
        <f t="shared" ref="G578:G641" si="100">F578-E578</f>
        <v>6</v>
      </c>
      <c r="H578" s="6" t="str">
        <f t="shared" ref="H578:H641" si="101">IF(G578&lt;0,"Invalid: Ship Date Before Order Date","Valid")</f>
        <v>Valid</v>
      </c>
      <c r="I578" t="s">
        <v>1828</v>
      </c>
      <c r="J578" t="s">
        <v>142</v>
      </c>
      <c r="K578" t="s">
        <v>96</v>
      </c>
      <c r="L578" s="2" t="s">
        <v>2793</v>
      </c>
      <c r="M578" t="s">
        <v>146</v>
      </c>
      <c r="O578" t="s">
        <v>29</v>
      </c>
      <c r="P578" t="s">
        <v>154</v>
      </c>
      <c r="Q578" t="s">
        <v>1829</v>
      </c>
      <c r="R578" t="s">
        <v>60</v>
      </c>
      <c r="S578">
        <v>9</v>
      </c>
      <c r="T578">
        <v>2614.46</v>
      </c>
      <c r="U578" s="2">
        <f t="shared" si="94"/>
        <v>23530.14</v>
      </c>
      <c r="V578" s="13">
        <v>0</v>
      </c>
      <c r="W578" s="2">
        <f t="shared" si="95"/>
        <v>0</v>
      </c>
      <c r="X578" s="2" t="str">
        <f t="shared" si="96"/>
        <v>Valid</v>
      </c>
      <c r="Y578" s="2" t="str">
        <f t="shared" si="97"/>
        <v>Clean</v>
      </c>
      <c r="Z578">
        <v>23530.14</v>
      </c>
      <c r="AA578">
        <v>19537.79</v>
      </c>
      <c r="AB578" s="2">
        <f t="shared" ref="AB578:AB641" si="102">IF(ISNUMBER(U578),U578-AA578,"Invalid")</f>
        <v>3992.3499999999985</v>
      </c>
      <c r="AC578">
        <v>3992.35</v>
      </c>
      <c r="AD578" s="11">
        <f t="shared" si="98"/>
        <v>0.16966962372514571</v>
      </c>
      <c r="AE578" t="s">
        <v>103</v>
      </c>
      <c r="AF578" t="s">
        <v>104</v>
      </c>
    </row>
    <row r="579" spans="1:32">
      <c r="A579" t="s">
        <v>1830</v>
      </c>
      <c r="B579" s="2" t="str">
        <f t="shared" si="99"/>
        <v>Unique</v>
      </c>
      <c r="C579" s="2" t="str">
        <f t="shared" ref="C579:C642" si="103">TEXT(E579,"mmm")</f>
        <v>Aug</v>
      </c>
      <c r="D579" s="2">
        <f t="shared" ref="D579:D642" si="104">YEAR(E579)</f>
        <v>2025</v>
      </c>
      <c r="E579" s="4">
        <v>45897</v>
      </c>
      <c r="F579" s="4">
        <v>45903</v>
      </c>
      <c r="G579" s="6">
        <f t="shared" si="100"/>
        <v>6</v>
      </c>
      <c r="H579" s="6" t="str">
        <f t="shared" si="101"/>
        <v>Valid</v>
      </c>
      <c r="I579" t="s">
        <v>1831</v>
      </c>
      <c r="J579" t="s">
        <v>115</v>
      </c>
      <c r="K579" t="s">
        <v>91</v>
      </c>
      <c r="L579" t="s">
        <v>64</v>
      </c>
      <c r="M579" t="s">
        <v>73</v>
      </c>
      <c r="O579" t="s">
        <v>42</v>
      </c>
      <c r="P579" t="s">
        <v>58</v>
      </c>
      <c r="Q579" t="s">
        <v>1832</v>
      </c>
      <c r="R579" t="s">
        <v>60</v>
      </c>
      <c r="S579">
        <v>7</v>
      </c>
      <c r="T579">
        <v>268.45</v>
      </c>
      <c r="U579" s="2">
        <f t="shared" ref="U579:U642" si="105">IF(ISNUMBER(W579),S579*T579*(1-W579),"Invalid")</f>
        <v>1879.1499999999999</v>
      </c>
      <c r="V579" s="13">
        <v>0</v>
      </c>
      <c r="W579" s="2">
        <f t="shared" ref="W579:W642" si="106">IF(OR(V579&lt;0,V579&gt;1),"Invalid",V579)</f>
        <v>0</v>
      </c>
      <c r="X579" s="2" t="str">
        <f t="shared" ref="X579:X642" si="107">IF(OR(V579&lt;0,V579&gt;1),"Invalid","Valid")</f>
        <v>Valid</v>
      </c>
      <c r="Y579" s="2" t="str">
        <f t="shared" ref="Y579:Y642" si="108">IF(AND(H579="Valid",X579="Valid"),"Clean","Invalid")</f>
        <v>Clean</v>
      </c>
      <c r="Z579">
        <v>1879.15</v>
      </c>
      <c r="AA579">
        <v>1134.9000000000001</v>
      </c>
      <c r="AB579" s="2">
        <f t="shared" si="102"/>
        <v>744.24999999999977</v>
      </c>
      <c r="AC579">
        <v>744.25</v>
      </c>
      <c r="AD579" s="11">
        <f t="shared" ref="AD579:AD642" si="109">AC579/Z579</f>
        <v>0.3960567277758561</v>
      </c>
      <c r="AE579" t="s">
        <v>33</v>
      </c>
      <c r="AF579" t="s">
        <v>34</v>
      </c>
    </row>
    <row r="580" spans="1:32">
      <c r="A580" t="s">
        <v>1833</v>
      </c>
      <c r="B580" s="2" t="str">
        <f t="shared" si="99"/>
        <v>Unique</v>
      </c>
      <c r="C580" s="2" t="str">
        <f t="shared" si="103"/>
        <v>Feb</v>
      </c>
      <c r="D580" s="2">
        <f t="shared" si="104"/>
        <v>2024</v>
      </c>
      <c r="E580" s="4">
        <v>45343</v>
      </c>
      <c r="F580" s="4">
        <v>45345</v>
      </c>
      <c r="G580" s="6">
        <f t="shared" si="100"/>
        <v>2</v>
      </c>
      <c r="H580" s="6" t="str">
        <f t="shared" si="101"/>
        <v>Valid</v>
      </c>
      <c r="I580" t="s">
        <v>296</v>
      </c>
      <c r="J580" t="s">
        <v>80</v>
      </c>
      <c r="K580" t="s">
        <v>38</v>
      </c>
      <c r="L580" t="s">
        <v>64</v>
      </c>
      <c r="M580" t="s">
        <v>181</v>
      </c>
      <c r="O580" t="s">
        <v>75</v>
      </c>
      <c r="P580" t="s">
        <v>81</v>
      </c>
      <c r="Q580" t="s">
        <v>1834</v>
      </c>
      <c r="R580" t="s">
        <v>51</v>
      </c>
      <c r="S580">
        <v>6</v>
      </c>
      <c r="T580">
        <v>2633.65</v>
      </c>
      <c r="U580" s="2">
        <f t="shared" si="105"/>
        <v>15011.805</v>
      </c>
      <c r="V580" s="13">
        <v>0.05</v>
      </c>
      <c r="W580" s="2">
        <f t="shared" si="106"/>
        <v>0.05</v>
      </c>
      <c r="X580" s="2" t="str">
        <f t="shared" si="107"/>
        <v>Valid</v>
      </c>
      <c r="Y580" s="2" t="str">
        <f t="shared" si="108"/>
        <v>Clean</v>
      </c>
      <c r="Z580">
        <v>15011.81</v>
      </c>
      <c r="AA580">
        <v>9660.36</v>
      </c>
      <c r="AB580" s="2">
        <f t="shared" si="102"/>
        <v>5351.4449999999997</v>
      </c>
      <c r="AC580">
        <v>5351.45</v>
      </c>
      <c r="AD580" s="11">
        <f t="shared" si="109"/>
        <v>0.35648266265027334</v>
      </c>
      <c r="AE580" t="s">
        <v>33</v>
      </c>
      <c r="AF580" t="s">
        <v>34</v>
      </c>
    </row>
    <row r="581" spans="1:32">
      <c r="A581" t="s">
        <v>1835</v>
      </c>
      <c r="B581" s="2" t="str">
        <f t="shared" si="99"/>
        <v>Unique</v>
      </c>
      <c r="C581" s="2" t="str">
        <f t="shared" si="103"/>
        <v>Jun</v>
      </c>
      <c r="D581" s="2">
        <f t="shared" si="104"/>
        <v>2024</v>
      </c>
      <c r="E581" s="4">
        <v>45462</v>
      </c>
      <c r="F581" s="4">
        <v>45467</v>
      </c>
      <c r="G581" s="6">
        <f t="shared" si="100"/>
        <v>5</v>
      </c>
      <c r="H581" s="6" t="str">
        <f t="shared" si="101"/>
        <v>Valid</v>
      </c>
      <c r="I581" t="s">
        <v>1836</v>
      </c>
      <c r="J581" t="s">
        <v>129</v>
      </c>
      <c r="K581" t="s">
        <v>38</v>
      </c>
      <c r="L581" t="s">
        <v>55</v>
      </c>
      <c r="M581" t="s">
        <v>248</v>
      </c>
      <c r="O581" t="s">
        <v>29</v>
      </c>
      <c r="P581" t="s">
        <v>125</v>
      </c>
      <c r="Q581" t="s">
        <v>1837</v>
      </c>
      <c r="R581" t="s">
        <v>45</v>
      </c>
      <c r="S581">
        <v>1</v>
      </c>
      <c r="T581">
        <v>3202.41</v>
      </c>
      <c r="U581" s="2">
        <f t="shared" si="105"/>
        <v>3202.41</v>
      </c>
      <c r="V581" s="13">
        <v>0</v>
      </c>
      <c r="W581" s="2">
        <f t="shared" si="106"/>
        <v>0</v>
      </c>
      <c r="X581" s="2" t="str">
        <f t="shared" si="107"/>
        <v>Valid</v>
      </c>
      <c r="Y581" s="2" t="str">
        <f t="shared" si="108"/>
        <v>Clean</v>
      </c>
      <c r="Z581">
        <v>3202.41</v>
      </c>
      <c r="AA581">
        <v>2608.44</v>
      </c>
      <c r="AB581" s="2">
        <f t="shared" si="102"/>
        <v>593.9699999999998</v>
      </c>
      <c r="AC581">
        <v>593.97</v>
      </c>
      <c r="AD581" s="11">
        <f t="shared" si="109"/>
        <v>0.185475938433867</v>
      </c>
      <c r="AE581" t="s">
        <v>33</v>
      </c>
      <c r="AF581" t="s">
        <v>34</v>
      </c>
    </row>
    <row r="582" spans="1:32">
      <c r="A582" t="s">
        <v>1838</v>
      </c>
      <c r="B582" s="2" t="str">
        <f t="shared" si="99"/>
        <v>Unique</v>
      </c>
      <c r="C582" s="2" t="str">
        <f t="shared" si="103"/>
        <v>Mar</v>
      </c>
      <c r="D582" s="2">
        <f t="shared" si="104"/>
        <v>2025</v>
      </c>
      <c r="E582" s="4">
        <v>45722</v>
      </c>
      <c r="F582" s="4">
        <v>45729</v>
      </c>
      <c r="G582" s="6">
        <f t="shared" si="100"/>
        <v>7</v>
      </c>
      <c r="H582" s="6" t="str">
        <f t="shared" si="101"/>
        <v>Valid</v>
      </c>
      <c r="I582" t="s">
        <v>1839</v>
      </c>
      <c r="J582" t="s">
        <v>265</v>
      </c>
      <c r="K582" t="s">
        <v>25</v>
      </c>
      <c r="L582" t="s">
        <v>55</v>
      </c>
      <c r="M582" t="s">
        <v>186</v>
      </c>
      <c r="O582" t="s">
        <v>42</v>
      </c>
      <c r="P582" t="s">
        <v>67</v>
      </c>
      <c r="Q582" t="s">
        <v>1840</v>
      </c>
      <c r="R582" t="s">
        <v>60</v>
      </c>
      <c r="S582">
        <v>3</v>
      </c>
      <c r="T582">
        <v>163.72</v>
      </c>
      <c r="U582" s="2">
        <f t="shared" si="105"/>
        <v>417.48599999999999</v>
      </c>
      <c r="V582" s="13">
        <v>0.15</v>
      </c>
      <c r="W582" s="2">
        <f t="shared" si="106"/>
        <v>0.15</v>
      </c>
      <c r="X582" s="2" t="str">
        <f t="shared" si="107"/>
        <v>Valid</v>
      </c>
      <c r="Y582" s="2" t="str">
        <f t="shared" si="108"/>
        <v>Clean</v>
      </c>
      <c r="Z582">
        <v>417.49</v>
      </c>
      <c r="AA582">
        <v>261.67</v>
      </c>
      <c r="AB582" s="2">
        <f t="shared" si="102"/>
        <v>155.81599999999997</v>
      </c>
      <c r="AC582">
        <v>155.82</v>
      </c>
      <c r="AD582" s="11">
        <f t="shared" si="109"/>
        <v>0.37323049653883922</v>
      </c>
      <c r="AE582" t="s">
        <v>156</v>
      </c>
      <c r="AF582" t="s">
        <v>104</v>
      </c>
    </row>
    <row r="583" spans="1:32">
      <c r="A583" t="s">
        <v>1841</v>
      </c>
      <c r="B583" s="2" t="str">
        <f t="shared" si="99"/>
        <v>Unique</v>
      </c>
      <c r="C583" s="2" t="str">
        <f t="shared" si="103"/>
        <v>Aug</v>
      </c>
      <c r="D583" s="2">
        <f t="shared" si="104"/>
        <v>2025</v>
      </c>
      <c r="E583" s="4">
        <v>45878</v>
      </c>
      <c r="F583" s="4">
        <v>45879</v>
      </c>
      <c r="G583" s="6">
        <f t="shared" si="100"/>
        <v>1</v>
      </c>
      <c r="H583" s="6" t="str">
        <f t="shared" si="101"/>
        <v>Valid</v>
      </c>
      <c r="I583" t="s">
        <v>1842</v>
      </c>
      <c r="J583" t="s">
        <v>80</v>
      </c>
      <c r="K583" t="s">
        <v>25</v>
      </c>
      <c r="L583" t="s">
        <v>26</v>
      </c>
      <c r="M583" t="s">
        <v>351</v>
      </c>
      <c r="O583" t="s">
        <v>29</v>
      </c>
      <c r="P583" t="s">
        <v>49</v>
      </c>
      <c r="Q583" t="s">
        <v>1843</v>
      </c>
      <c r="R583" t="s">
        <v>32</v>
      </c>
      <c r="S583">
        <v>4</v>
      </c>
      <c r="T583">
        <v>4080.95</v>
      </c>
      <c r="U583" s="2">
        <f t="shared" si="105"/>
        <v>16323.8</v>
      </c>
      <c r="V583" s="13">
        <v>0</v>
      </c>
      <c r="W583" s="2">
        <f t="shared" si="106"/>
        <v>0</v>
      </c>
      <c r="X583" s="2" t="str">
        <f t="shared" si="107"/>
        <v>Valid</v>
      </c>
      <c r="Y583" s="2" t="str">
        <f t="shared" si="108"/>
        <v>Clean</v>
      </c>
      <c r="Z583">
        <v>16323.8</v>
      </c>
      <c r="AA583">
        <v>9965.7900000000009</v>
      </c>
      <c r="AB583" s="2">
        <f t="shared" si="102"/>
        <v>6358.0099999999984</v>
      </c>
      <c r="AC583">
        <v>6358.01</v>
      </c>
      <c r="AD583" s="11">
        <f t="shared" si="109"/>
        <v>0.38949325524694006</v>
      </c>
      <c r="AE583" t="s">
        <v>103</v>
      </c>
      <c r="AF583" t="s">
        <v>104</v>
      </c>
    </row>
    <row r="584" spans="1:32">
      <c r="A584" t="s">
        <v>1844</v>
      </c>
      <c r="B584" s="2" t="str">
        <f t="shared" si="99"/>
        <v>Unique</v>
      </c>
      <c r="C584" s="2" t="str">
        <f t="shared" si="103"/>
        <v>Oct</v>
      </c>
      <c r="D584" s="2">
        <f t="shared" si="104"/>
        <v>2024</v>
      </c>
      <c r="E584" s="4">
        <v>45580</v>
      </c>
      <c r="F584" s="4">
        <v>45585</v>
      </c>
      <c r="G584" s="6">
        <f t="shared" si="100"/>
        <v>5</v>
      </c>
      <c r="H584" s="6" t="str">
        <f t="shared" si="101"/>
        <v>Valid</v>
      </c>
      <c r="I584" t="s">
        <v>1845</v>
      </c>
      <c r="J584" t="s">
        <v>63</v>
      </c>
      <c r="K584" t="s">
        <v>25</v>
      </c>
      <c r="L584" t="s">
        <v>39</v>
      </c>
      <c r="M584" t="s">
        <v>40</v>
      </c>
      <c r="O584" t="s">
        <v>29</v>
      </c>
      <c r="P584" t="s">
        <v>49</v>
      </c>
      <c r="Q584" t="s">
        <v>1846</v>
      </c>
      <c r="R584" t="s">
        <v>51</v>
      </c>
      <c r="S584">
        <v>5</v>
      </c>
      <c r="T584">
        <v>671.24</v>
      </c>
      <c r="U584" s="2">
        <f t="shared" si="105"/>
        <v>3356.2</v>
      </c>
      <c r="V584" s="13">
        <v>0</v>
      </c>
      <c r="W584" s="2">
        <f t="shared" si="106"/>
        <v>0</v>
      </c>
      <c r="X584" s="2" t="str">
        <f t="shared" si="107"/>
        <v>Valid</v>
      </c>
      <c r="Y584" s="2" t="str">
        <f t="shared" si="108"/>
        <v>Clean</v>
      </c>
      <c r="Z584">
        <v>3356.2</v>
      </c>
      <c r="AA584">
        <v>2205.7199999999998</v>
      </c>
      <c r="AB584" s="2">
        <f t="shared" si="102"/>
        <v>1150.48</v>
      </c>
      <c r="AC584">
        <v>1150.48</v>
      </c>
      <c r="AD584" s="11">
        <f t="shared" si="109"/>
        <v>0.34279244383528995</v>
      </c>
      <c r="AE584" t="s">
        <v>112</v>
      </c>
      <c r="AF584" t="s">
        <v>104</v>
      </c>
    </row>
    <row r="585" spans="1:32">
      <c r="A585" t="s">
        <v>1847</v>
      </c>
      <c r="B585" s="2" t="str">
        <f t="shared" si="99"/>
        <v>Unique</v>
      </c>
      <c r="C585" s="2" t="str">
        <f t="shared" si="103"/>
        <v>Feb</v>
      </c>
      <c r="D585" s="2">
        <f t="shared" si="104"/>
        <v>2024</v>
      </c>
      <c r="E585" s="4">
        <v>45350</v>
      </c>
      <c r="F585" s="4">
        <v>45350</v>
      </c>
      <c r="G585" s="6">
        <f t="shared" si="100"/>
        <v>0</v>
      </c>
      <c r="H585" s="6" t="str">
        <f t="shared" si="101"/>
        <v>Valid</v>
      </c>
      <c r="I585" t="s">
        <v>1848</v>
      </c>
      <c r="J585" t="s">
        <v>142</v>
      </c>
      <c r="K585" t="s">
        <v>38</v>
      </c>
      <c r="L585" t="s">
        <v>39</v>
      </c>
      <c r="M585" t="s">
        <v>100</v>
      </c>
      <c r="O585" t="s">
        <v>29</v>
      </c>
      <c r="P585" t="s">
        <v>125</v>
      </c>
      <c r="Q585" t="s">
        <v>1849</v>
      </c>
      <c r="R585" t="s">
        <v>51</v>
      </c>
      <c r="S585">
        <v>1</v>
      </c>
      <c r="T585">
        <v>2626.84</v>
      </c>
      <c r="U585" s="2">
        <f t="shared" si="105"/>
        <v>2101.4720000000002</v>
      </c>
      <c r="V585" s="13">
        <v>0.2</v>
      </c>
      <c r="W585" s="2">
        <f t="shared" si="106"/>
        <v>0.2</v>
      </c>
      <c r="X585" s="2" t="str">
        <f t="shared" si="107"/>
        <v>Valid</v>
      </c>
      <c r="Y585" s="2" t="str">
        <f t="shared" si="108"/>
        <v>Clean</v>
      </c>
      <c r="Z585">
        <v>2101.4699999999998</v>
      </c>
      <c r="AA585">
        <v>1217.83</v>
      </c>
      <c r="AB585" s="2">
        <f t="shared" si="102"/>
        <v>883.64200000000028</v>
      </c>
      <c r="AC585">
        <v>883.64</v>
      </c>
      <c r="AD585" s="11">
        <f t="shared" si="109"/>
        <v>0.4204866117527255</v>
      </c>
      <c r="AE585" t="s">
        <v>156</v>
      </c>
      <c r="AF585" t="s">
        <v>104</v>
      </c>
    </row>
    <row r="586" spans="1:32">
      <c r="A586" t="s">
        <v>1850</v>
      </c>
      <c r="B586" s="2" t="str">
        <f t="shared" si="99"/>
        <v>Unique</v>
      </c>
      <c r="C586" s="2" t="str">
        <f t="shared" si="103"/>
        <v>Aug</v>
      </c>
      <c r="D586" s="2">
        <f t="shared" si="104"/>
        <v>2024</v>
      </c>
      <c r="E586" s="4">
        <v>45508</v>
      </c>
      <c r="F586" s="4">
        <v>45514</v>
      </c>
      <c r="G586" s="6">
        <f t="shared" si="100"/>
        <v>6</v>
      </c>
      <c r="H586" s="6" t="str">
        <f t="shared" si="101"/>
        <v>Valid</v>
      </c>
      <c r="I586" t="s">
        <v>1851</v>
      </c>
      <c r="J586" t="s">
        <v>72</v>
      </c>
      <c r="K586" t="s">
        <v>25</v>
      </c>
      <c r="L586" t="s">
        <v>39</v>
      </c>
      <c r="M586" t="s">
        <v>146</v>
      </c>
      <c r="O586" t="s">
        <v>29</v>
      </c>
      <c r="P586" t="s">
        <v>49</v>
      </c>
      <c r="Q586" t="s">
        <v>1852</v>
      </c>
      <c r="R586" t="s">
        <v>45</v>
      </c>
      <c r="S586">
        <v>1</v>
      </c>
      <c r="T586">
        <v>984.93</v>
      </c>
      <c r="U586" s="2">
        <f t="shared" si="105"/>
        <v>837.19049999999993</v>
      </c>
      <c r="V586" s="13">
        <v>0.15</v>
      </c>
      <c r="W586" s="2">
        <f t="shared" si="106"/>
        <v>0.15</v>
      </c>
      <c r="X586" s="2" t="str">
        <f t="shared" si="107"/>
        <v>Valid</v>
      </c>
      <c r="Y586" s="2" t="str">
        <f t="shared" si="108"/>
        <v>Clean</v>
      </c>
      <c r="Z586">
        <v>837.19</v>
      </c>
      <c r="AA586">
        <v>583.79</v>
      </c>
      <c r="AB586" s="2">
        <f t="shared" si="102"/>
        <v>253.40049999999997</v>
      </c>
      <c r="AC586">
        <v>253.4</v>
      </c>
      <c r="AD586" s="11">
        <f t="shared" si="109"/>
        <v>0.3026792006593485</v>
      </c>
      <c r="AE586" t="s">
        <v>112</v>
      </c>
      <c r="AF586" t="s">
        <v>104</v>
      </c>
    </row>
    <row r="587" spans="1:32">
      <c r="A587" t="s">
        <v>1853</v>
      </c>
      <c r="B587" s="2" t="str">
        <f t="shared" si="99"/>
        <v>Unique</v>
      </c>
      <c r="C587" s="2" t="str">
        <f t="shared" si="103"/>
        <v>Jun</v>
      </c>
      <c r="D587" s="2">
        <f t="shared" si="104"/>
        <v>2025</v>
      </c>
      <c r="E587" s="4">
        <v>45830</v>
      </c>
      <c r="F587" s="4">
        <v>45833</v>
      </c>
      <c r="G587" s="6">
        <f t="shared" si="100"/>
        <v>3</v>
      </c>
      <c r="H587" s="6" t="str">
        <f t="shared" si="101"/>
        <v>Valid</v>
      </c>
      <c r="I587" t="s">
        <v>1854</v>
      </c>
      <c r="J587" t="s">
        <v>163</v>
      </c>
      <c r="K587" t="s">
        <v>38</v>
      </c>
      <c r="L587" t="s">
        <v>64</v>
      </c>
      <c r="M587" t="s">
        <v>65</v>
      </c>
      <c r="O587" t="s">
        <v>75</v>
      </c>
      <c r="P587" t="s">
        <v>172</v>
      </c>
      <c r="Q587" t="s">
        <v>1855</v>
      </c>
      <c r="R587" t="s">
        <v>51</v>
      </c>
      <c r="S587">
        <v>8</v>
      </c>
      <c r="T587">
        <v>3453.66</v>
      </c>
      <c r="U587" s="2">
        <f t="shared" si="105"/>
        <v>27629.279999999999</v>
      </c>
      <c r="V587" s="13">
        <v>0</v>
      </c>
      <c r="W587" s="2">
        <f t="shared" si="106"/>
        <v>0</v>
      </c>
      <c r="X587" s="2" t="str">
        <f t="shared" si="107"/>
        <v>Valid</v>
      </c>
      <c r="Y587" s="2" t="str">
        <f t="shared" si="108"/>
        <v>Clean</v>
      </c>
      <c r="Z587">
        <v>27629.279999999999</v>
      </c>
      <c r="AA587">
        <v>22026.48</v>
      </c>
      <c r="AB587" s="2">
        <f t="shared" si="102"/>
        <v>5602.7999999999993</v>
      </c>
      <c r="AC587">
        <v>5602.8</v>
      </c>
      <c r="AD587" s="11">
        <f t="shared" si="109"/>
        <v>0.20278487170132556</v>
      </c>
      <c r="AE587" t="s">
        <v>33</v>
      </c>
      <c r="AF587" t="s">
        <v>34</v>
      </c>
    </row>
    <row r="588" spans="1:32">
      <c r="A588" t="s">
        <v>1856</v>
      </c>
      <c r="B588" s="2" t="str">
        <f t="shared" si="99"/>
        <v>Unique</v>
      </c>
      <c r="C588" s="2" t="str">
        <f t="shared" si="103"/>
        <v>Apr</v>
      </c>
      <c r="D588" s="2">
        <f t="shared" si="104"/>
        <v>2025</v>
      </c>
      <c r="E588" s="4">
        <v>45759</v>
      </c>
      <c r="F588" s="4">
        <v>45759</v>
      </c>
      <c r="G588" s="6">
        <f t="shared" si="100"/>
        <v>0</v>
      </c>
      <c r="H588" s="6" t="str">
        <f t="shared" si="101"/>
        <v>Valid</v>
      </c>
      <c r="I588" t="s">
        <v>1857</v>
      </c>
      <c r="J588" t="s">
        <v>37</v>
      </c>
      <c r="K588" t="s">
        <v>96</v>
      </c>
      <c r="L588" t="s">
        <v>26</v>
      </c>
      <c r="M588" t="s">
        <v>123</v>
      </c>
      <c r="O588" t="s">
        <v>29</v>
      </c>
      <c r="P588" t="s">
        <v>154</v>
      </c>
      <c r="Q588" t="s">
        <v>1858</v>
      </c>
      <c r="R588" t="s">
        <v>32</v>
      </c>
      <c r="S588">
        <v>7</v>
      </c>
      <c r="T588">
        <v>1334.2</v>
      </c>
      <c r="U588" s="2">
        <f t="shared" si="105"/>
        <v>7471.52</v>
      </c>
      <c r="V588" s="13">
        <v>0.2</v>
      </c>
      <c r="W588" s="2">
        <f t="shared" si="106"/>
        <v>0.2</v>
      </c>
      <c r="X588" s="2" t="str">
        <f t="shared" si="107"/>
        <v>Valid</v>
      </c>
      <c r="Y588" s="2" t="str">
        <f t="shared" si="108"/>
        <v>Clean</v>
      </c>
      <c r="Z588">
        <v>7471.52</v>
      </c>
      <c r="AA588">
        <v>6184.32</v>
      </c>
      <c r="AB588" s="2">
        <f t="shared" si="102"/>
        <v>1287.2000000000007</v>
      </c>
      <c r="AC588">
        <v>1287.2</v>
      </c>
      <c r="AD588" s="11">
        <f t="shared" si="109"/>
        <v>0.17228087457438379</v>
      </c>
      <c r="AE588" t="s">
        <v>33</v>
      </c>
      <c r="AF588" t="s">
        <v>34</v>
      </c>
    </row>
    <row r="589" spans="1:32">
      <c r="A589" t="s">
        <v>1859</v>
      </c>
      <c r="B589" s="2" t="str">
        <f t="shared" si="99"/>
        <v>Unique</v>
      </c>
      <c r="C589" s="2" t="str">
        <f t="shared" si="103"/>
        <v>Jul</v>
      </c>
      <c r="D589" s="2">
        <f t="shared" si="104"/>
        <v>2025</v>
      </c>
      <c r="E589" s="4">
        <v>45861</v>
      </c>
      <c r="F589" s="4">
        <v>45869</v>
      </c>
      <c r="G589" s="6">
        <f t="shared" si="100"/>
        <v>8</v>
      </c>
      <c r="H589" s="6" t="str">
        <f t="shared" si="101"/>
        <v>Valid</v>
      </c>
      <c r="I589" t="s">
        <v>1860</v>
      </c>
      <c r="J589" t="s">
        <v>265</v>
      </c>
      <c r="K589" t="s">
        <v>96</v>
      </c>
      <c r="L589" t="s">
        <v>64</v>
      </c>
      <c r="M589" t="s">
        <v>73</v>
      </c>
      <c r="O589" t="s">
        <v>75</v>
      </c>
      <c r="P589" t="s">
        <v>76</v>
      </c>
      <c r="Q589" t="s">
        <v>1861</v>
      </c>
      <c r="R589" t="s">
        <v>51</v>
      </c>
      <c r="S589">
        <v>1</v>
      </c>
      <c r="T589">
        <v>4253.84</v>
      </c>
      <c r="U589" s="2">
        <f t="shared" si="105"/>
        <v>3615.7640000000001</v>
      </c>
      <c r="V589" s="13">
        <v>0.15</v>
      </c>
      <c r="W589" s="2">
        <f t="shared" si="106"/>
        <v>0.15</v>
      </c>
      <c r="X589" s="2" t="str">
        <f t="shared" si="107"/>
        <v>Valid</v>
      </c>
      <c r="Y589" s="2" t="str">
        <f t="shared" si="108"/>
        <v>Clean</v>
      </c>
      <c r="Z589">
        <v>3615.76</v>
      </c>
      <c r="AA589">
        <v>2951.52</v>
      </c>
      <c r="AB589" s="2">
        <f t="shared" si="102"/>
        <v>664.24400000000014</v>
      </c>
      <c r="AC589">
        <v>664.24</v>
      </c>
      <c r="AD589" s="11">
        <f t="shared" si="109"/>
        <v>0.18370688320021239</v>
      </c>
      <c r="AE589" t="s">
        <v>103</v>
      </c>
      <c r="AF589" t="s">
        <v>69</v>
      </c>
    </row>
    <row r="590" spans="1:32">
      <c r="A590" t="s">
        <v>1862</v>
      </c>
      <c r="B590" s="2" t="str">
        <f t="shared" si="99"/>
        <v>Unique</v>
      </c>
      <c r="C590" s="2" t="str">
        <f t="shared" si="103"/>
        <v>Mar</v>
      </c>
      <c r="D590" s="2">
        <f t="shared" si="104"/>
        <v>2025</v>
      </c>
      <c r="E590" s="4">
        <v>45727</v>
      </c>
      <c r="F590" s="4">
        <v>45731</v>
      </c>
      <c r="G590" s="6">
        <f t="shared" si="100"/>
        <v>4</v>
      </c>
      <c r="H590" s="6" t="str">
        <f t="shared" si="101"/>
        <v>Valid</v>
      </c>
      <c r="I590" t="s">
        <v>1863</v>
      </c>
      <c r="J590" t="s">
        <v>129</v>
      </c>
      <c r="K590" t="s">
        <v>96</v>
      </c>
      <c r="L590" t="s">
        <v>55</v>
      </c>
      <c r="M590" t="s">
        <v>176</v>
      </c>
      <c r="O590" t="s">
        <v>75</v>
      </c>
      <c r="P590" t="s">
        <v>76</v>
      </c>
      <c r="Q590" t="s">
        <v>1864</v>
      </c>
      <c r="R590" t="s">
        <v>32</v>
      </c>
      <c r="S590">
        <v>8</v>
      </c>
      <c r="T590">
        <v>4446.3599999999997</v>
      </c>
      <c r="U590" s="2">
        <f t="shared" si="105"/>
        <v>32013.791999999998</v>
      </c>
      <c r="V590" s="13">
        <v>0.1</v>
      </c>
      <c r="W590" s="2">
        <f t="shared" si="106"/>
        <v>0.1</v>
      </c>
      <c r="X590" s="2" t="str">
        <f t="shared" si="107"/>
        <v>Valid</v>
      </c>
      <c r="Y590" s="2" t="str">
        <f t="shared" si="108"/>
        <v>Clean</v>
      </c>
      <c r="Z590">
        <v>32013.79</v>
      </c>
      <c r="AA590">
        <v>20896.88</v>
      </c>
      <c r="AB590" s="2">
        <f t="shared" si="102"/>
        <v>11116.911999999997</v>
      </c>
      <c r="AC590">
        <v>11116.91</v>
      </c>
      <c r="AD590" s="11">
        <f t="shared" si="109"/>
        <v>0.3472537928186572</v>
      </c>
      <c r="AE590" t="s">
        <v>103</v>
      </c>
      <c r="AF590" t="s">
        <v>69</v>
      </c>
    </row>
    <row r="591" spans="1:32">
      <c r="A591" t="s">
        <v>1865</v>
      </c>
      <c r="B591" s="2" t="str">
        <f t="shared" si="99"/>
        <v>Unique</v>
      </c>
      <c r="C591" s="2" t="str">
        <f t="shared" si="103"/>
        <v>Dec</v>
      </c>
      <c r="D591" s="2">
        <f t="shared" si="104"/>
        <v>2024</v>
      </c>
      <c r="E591" s="4">
        <v>45632</v>
      </c>
      <c r="F591" s="4">
        <v>45638</v>
      </c>
      <c r="G591" s="6">
        <f t="shared" si="100"/>
        <v>6</v>
      </c>
      <c r="H591" s="6" t="str">
        <f t="shared" si="101"/>
        <v>Valid</v>
      </c>
      <c r="I591" t="s">
        <v>1866</v>
      </c>
      <c r="J591" t="s">
        <v>142</v>
      </c>
      <c r="K591" t="s">
        <v>91</v>
      </c>
      <c r="L591" t="s">
        <v>26</v>
      </c>
      <c r="M591" t="s">
        <v>137</v>
      </c>
      <c r="O591" t="s">
        <v>75</v>
      </c>
      <c r="P591" t="s">
        <v>172</v>
      </c>
      <c r="Q591" t="s">
        <v>1867</v>
      </c>
      <c r="R591" t="s">
        <v>51</v>
      </c>
      <c r="S591">
        <v>3</v>
      </c>
      <c r="T591">
        <v>524.75</v>
      </c>
      <c r="U591" s="2">
        <f t="shared" si="105"/>
        <v>1574.25</v>
      </c>
      <c r="V591" s="13">
        <v>0</v>
      </c>
      <c r="W591" s="2">
        <f t="shared" si="106"/>
        <v>0</v>
      </c>
      <c r="X591" s="2" t="str">
        <f t="shared" si="107"/>
        <v>Valid</v>
      </c>
      <c r="Y591" s="2" t="str">
        <f t="shared" si="108"/>
        <v>Clean</v>
      </c>
      <c r="Z591">
        <v>1574.25</v>
      </c>
      <c r="AA591">
        <v>1326.12</v>
      </c>
      <c r="AB591" s="2">
        <f t="shared" si="102"/>
        <v>248.13000000000011</v>
      </c>
      <c r="AC591">
        <v>248.13</v>
      </c>
      <c r="AD591" s="11">
        <f t="shared" si="109"/>
        <v>0.15761791329204383</v>
      </c>
      <c r="AE591" t="s">
        <v>33</v>
      </c>
      <c r="AF591" t="s">
        <v>34</v>
      </c>
    </row>
    <row r="592" spans="1:32">
      <c r="A592" t="s">
        <v>1868</v>
      </c>
      <c r="B592" s="2" t="str">
        <f t="shared" si="99"/>
        <v>Unique</v>
      </c>
      <c r="C592" s="2" t="str">
        <f t="shared" si="103"/>
        <v>May</v>
      </c>
      <c r="D592" s="2">
        <f t="shared" si="104"/>
        <v>2024</v>
      </c>
      <c r="E592" s="4">
        <v>45441</v>
      </c>
      <c r="F592" s="4">
        <v>45441</v>
      </c>
      <c r="G592" s="6">
        <f t="shared" si="100"/>
        <v>0</v>
      </c>
      <c r="H592" s="6" t="str">
        <f t="shared" si="101"/>
        <v>Valid</v>
      </c>
      <c r="I592" t="s">
        <v>1869</v>
      </c>
      <c r="J592" t="s">
        <v>129</v>
      </c>
      <c r="K592" t="s">
        <v>96</v>
      </c>
      <c r="L592" t="s">
        <v>26</v>
      </c>
      <c r="M592" t="s">
        <v>351</v>
      </c>
      <c r="O592" t="s">
        <v>42</v>
      </c>
      <c r="P592" t="s">
        <v>67</v>
      </c>
      <c r="Q592" t="s">
        <v>1870</v>
      </c>
      <c r="R592" t="s">
        <v>45</v>
      </c>
      <c r="S592">
        <v>6</v>
      </c>
      <c r="T592">
        <v>3430.35</v>
      </c>
      <c r="U592" s="2">
        <f t="shared" si="105"/>
        <v>20582.099999999999</v>
      </c>
      <c r="V592" s="13">
        <v>0</v>
      </c>
      <c r="W592" s="2">
        <f t="shared" si="106"/>
        <v>0</v>
      </c>
      <c r="X592" s="2" t="str">
        <f t="shared" si="107"/>
        <v>Valid</v>
      </c>
      <c r="Y592" s="2" t="str">
        <f t="shared" si="108"/>
        <v>Clean</v>
      </c>
      <c r="Z592">
        <v>20582.099999999999</v>
      </c>
      <c r="AA592">
        <v>15897.65</v>
      </c>
      <c r="AB592" s="2">
        <f t="shared" si="102"/>
        <v>4684.4499999999989</v>
      </c>
      <c r="AC592">
        <v>4684.45</v>
      </c>
      <c r="AD592" s="11">
        <f t="shared" si="109"/>
        <v>0.22759825285077812</v>
      </c>
      <c r="AE592" t="s">
        <v>112</v>
      </c>
      <c r="AF592" t="s">
        <v>69</v>
      </c>
    </row>
    <row r="593" spans="1:32">
      <c r="A593" t="s">
        <v>1871</v>
      </c>
      <c r="B593" s="2" t="str">
        <f t="shared" si="99"/>
        <v>Unique</v>
      </c>
      <c r="C593" s="2" t="str">
        <f t="shared" si="103"/>
        <v>Feb</v>
      </c>
      <c r="D593" s="2">
        <f t="shared" si="104"/>
        <v>2024</v>
      </c>
      <c r="E593" s="4">
        <v>45344</v>
      </c>
      <c r="F593" s="4">
        <v>45346</v>
      </c>
      <c r="G593" s="6">
        <f t="shared" si="100"/>
        <v>2</v>
      </c>
      <c r="H593" s="6" t="str">
        <f t="shared" si="101"/>
        <v>Valid</v>
      </c>
      <c r="I593" t="s">
        <v>1872</v>
      </c>
      <c r="J593" t="s">
        <v>133</v>
      </c>
      <c r="K593" t="s">
        <v>25</v>
      </c>
      <c r="L593" t="s">
        <v>55</v>
      </c>
      <c r="M593" t="s">
        <v>176</v>
      </c>
      <c r="O593" t="s">
        <v>75</v>
      </c>
      <c r="P593" t="s">
        <v>81</v>
      </c>
      <c r="Q593" t="s">
        <v>1873</v>
      </c>
      <c r="R593" t="s">
        <v>51</v>
      </c>
      <c r="S593">
        <v>3</v>
      </c>
      <c r="T593">
        <v>3545.08</v>
      </c>
      <c r="U593" s="2">
        <f t="shared" si="105"/>
        <v>10635.24</v>
      </c>
      <c r="V593" s="13">
        <v>0</v>
      </c>
      <c r="W593" s="2">
        <f t="shared" si="106"/>
        <v>0</v>
      </c>
      <c r="X593" s="2" t="str">
        <f t="shared" si="107"/>
        <v>Valid</v>
      </c>
      <c r="Y593" s="2" t="str">
        <f t="shared" si="108"/>
        <v>Clean</v>
      </c>
      <c r="Z593">
        <v>10635.24</v>
      </c>
      <c r="AA593">
        <v>6031.88</v>
      </c>
      <c r="AB593" s="2">
        <f t="shared" si="102"/>
        <v>4603.3599999999997</v>
      </c>
      <c r="AC593">
        <v>4603.3599999999997</v>
      </c>
      <c r="AD593" s="11">
        <f t="shared" si="109"/>
        <v>0.43284025560307055</v>
      </c>
      <c r="AE593" t="s">
        <v>156</v>
      </c>
      <c r="AF593" t="s">
        <v>104</v>
      </c>
    </row>
    <row r="594" spans="1:32">
      <c r="A594" t="s">
        <v>1874</v>
      </c>
      <c r="B594" s="2" t="str">
        <f t="shared" si="99"/>
        <v>Unique</v>
      </c>
      <c r="C594" s="2" t="str">
        <f t="shared" si="103"/>
        <v>Mar</v>
      </c>
      <c r="D594" s="2">
        <f t="shared" si="104"/>
        <v>2024</v>
      </c>
      <c r="E594" s="4">
        <v>45355</v>
      </c>
      <c r="F594" s="4">
        <v>45360</v>
      </c>
      <c r="G594" s="6">
        <f t="shared" si="100"/>
        <v>5</v>
      </c>
      <c r="H594" s="6" t="str">
        <f t="shared" si="101"/>
        <v>Valid</v>
      </c>
      <c r="I594" t="s">
        <v>1875</v>
      </c>
      <c r="J594" t="s">
        <v>37</v>
      </c>
      <c r="K594" t="s">
        <v>25</v>
      </c>
      <c r="L594" t="s">
        <v>39</v>
      </c>
      <c r="M594" t="s">
        <v>100</v>
      </c>
      <c r="O594" t="s">
        <v>75</v>
      </c>
      <c r="P594" t="s">
        <v>76</v>
      </c>
      <c r="Q594" t="s">
        <v>1876</v>
      </c>
      <c r="R594" t="s">
        <v>45</v>
      </c>
      <c r="S594">
        <v>8</v>
      </c>
      <c r="T594">
        <v>4401.41</v>
      </c>
      <c r="U594" s="2">
        <f t="shared" si="105"/>
        <v>29929.588</v>
      </c>
      <c r="V594" s="13">
        <v>0.15</v>
      </c>
      <c r="W594" s="2">
        <f t="shared" si="106"/>
        <v>0.15</v>
      </c>
      <c r="X594" s="2" t="str">
        <f t="shared" si="107"/>
        <v>Valid</v>
      </c>
      <c r="Y594" s="2" t="str">
        <f t="shared" si="108"/>
        <v>Clean</v>
      </c>
      <c r="Z594">
        <v>29929.59</v>
      </c>
      <c r="AA594">
        <v>22436.03</v>
      </c>
      <c r="AB594" s="2">
        <f t="shared" si="102"/>
        <v>7493.5580000000009</v>
      </c>
      <c r="AC594">
        <v>7493.56</v>
      </c>
      <c r="AD594" s="11">
        <f t="shared" si="109"/>
        <v>0.25037295866732556</v>
      </c>
      <c r="AE594" t="s">
        <v>33</v>
      </c>
      <c r="AF594" t="s">
        <v>34</v>
      </c>
    </row>
    <row r="595" spans="1:32">
      <c r="A595" t="s">
        <v>1877</v>
      </c>
      <c r="B595" s="2" t="str">
        <f t="shared" si="99"/>
        <v>Unique</v>
      </c>
      <c r="C595" s="2" t="str">
        <f t="shared" si="103"/>
        <v>Sep</v>
      </c>
      <c r="D595" s="2">
        <f t="shared" si="104"/>
        <v>2025</v>
      </c>
      <c r="E595" s="4">
        <v>45927</v>
      </c>
      <c r="F595" s="4">
        <v>45929</v>
      </c>
      <c r="G595" s="6">
        <f t="shared" si="100"/>
        <v>2</v>
      </c>
      <c r="H595" s="6" t="str">
        <f t="shared" si="101"/>
        <v>Valid</v>
      </c>
      <c r="I595" t="s">
        <v>1669</v>
      </c>
      <c r="J595" t="s">
        <v>54</v>
      </c>
      <c r="K595" t="s">
        <v>96</v>
      </c>
      <c r="L595" t="s">
        <v>26</v>
      </c>
      <c r="M595" t="s">
        <v>137</v>
      </c>
      <c r="O595" t="s">
        <v>42</v>
      </c>
      <c r="P595" t="s">
        <v>43</v>
      </c>
      <c r="Q595" t="s">
        <v>1878</v>
      </c>
      <c r="R595" t="s">
        <v>32</v>
      </c>
      <c r="S595">
        <v>9</v>
      </c>
      <c r="T595">
        <v>4100.1099999999997</v>
      </c>
      <c r="U595" s="2">
        <f t="shared" si="105"/>
        <v>27675.7425</v>
      </c>
      <c r="V595" s="13">
        <v>0.25</v>
      </c>
      <c r="W595" s="2">
        <f t="shared" si="106"/>
        <v>0.25</v>
      </c>
      <c r="X595" s="2" t="str">
        <f t="shared" si="107"/>
        <v>Valid</v>
      </c>
      <c r="Y595" s="2" t="str">
        <f t="shared" si="108"/>
        <v>Clean</v>
      </c>
      <c r="Z595">
        <v>27675.74</v>
      </c>
      <c r="AA595">
        <v>15571.08</v>
      </c>
      <c r="AB595" s="2">
        <f t="shared" si="102"/>
        <v>12104.6625</v>
      </c>
      <c r="AC595">
        <v>12104.66</v>
      </c>
      <c r="AD595" s="11">
        <f t="shared" si="109"/>
        <v>0.43737439360248359</v>
      </c>
      <c r="AE595" t="s">
        <v>33</v>
      </c>
      <c r="AF595" t="s">
        <v>34</v>
      </c>
    </row>
    <row r="596" spans="1:32">
      <c r="A596" t="s">
        <v>1879</v>
      </c>
      <c r="B596" s="2" t="str">
        <f t="shared" si="99"/>
        <v>Unique</v>
      </c>
      <c r="C596" s="2" t="str">
        <f t="shared" si="103"/>
        <v>Sep</v>
      </c>
      <c r="D596" s="2">
        <f t="shared" si="104"/>
        <v>2024</v>
      </c>
      <c r="E596" s="4">
        <v>45554</v>
      </c>
      <c r="F596" s="4">
        <v>45556</v>
      </c>
      <c r="G596" s="6">
        <f t="shared" si="100"/>
        <v>2</v>
      </c>
      <c r="H596" s="6" t="str">
        <f t="shared" si="101"/>
        <v>Valid</v>
      </c>
      <c r="I596" t="s">
        <v>1880</v>
      </c>
      <c r="J596" t="s">
        <v>24</v>
      </c>
      <c r="K596" t="s">
        <v>38</v>
      </c>
      <c r="L596" t="s">
        <v>39</v>
      </c>
      <c r="M596" t="s">
        <v>100</v>
      </c>
      <c r="O596" t="s">
        <v>42</v>
      </c>
      <c r="P596" t="s">
        <v>67</v>
      </c>
      <c r="Q596" t="s">
        <v>1881</v>
      </c>
      <c r="R596" t="s">
        <v>51</v>
      </c>
      <c r="S596">
        <v>3</v>
      </c>
      <c r="T596">
        <v>3981.76</v>
      </c>
      <c r="U596" s="2">
        <f t="shared" si="105"/>
        <v>11945.28</v>
      </c>
      <c r="V596" s="13">
        <v>0</v>
      </c>
      <c r="W596" s="2">
        <f t="shared" si="106"/>
        <v>0</v>
      </c>
      <c r="X596" s="2" t="str">
        <f t="shared" si="107"/>
        <v>Valid</v>
      </c>
      <c r="Y596" s="2" t="str">
        <f t="shared" si="108"/>
        <v>Clean</v>
      </c>
      <c r="Z596">
        <v>11945.28</v>
      </c>
      <c r="AA596">
        <v>9700.31</v>
      </c>
      <c r="AB596" s="2">
        <f t="shared" si="102"/>
        <v>2244.9700000000012</v>
      </c>
      <c r="AC596">
        <v>2244.9699999999998</v>
      </c>
      <c r="AD596" s="11">
        <f t="shared" si="109"/>
        <v>0.18793782983739182</v>
      </c>
      <c r="AE596" t="s">
        <v>33</v>
      </c>
      <c r="AF596" t="s">
        <v>34</v>
      </c>
    </row>
    <row r="597" spans="1:32">
      <c r="A597" t="s">
        <v>1882</v>
      </c>
      <c r="B597" s="2" t="str">
        <f t="shared" si="99"/>
        <v>Unique</v>
      </c>
      <c r="C597" s="2" t="str">
        <f t="shared" si="103"/>
        <v>Feb</v>
      </c>
      <c r="D597" s="2">
        <f t="shared" si="104"/>
        <v>2025</v>
      </c>
      <c r="E597" s="4">
        <v>45699</v>
      </c>
      <c r="F597" s="4">
        <v>45704</v>
      </c>
      <c r="G597" s="6">
        <f t="shared" si="100"/>
        <v>5</v>
      </c>
      <c r="H597" s="6" t="str">
        <f t="shared" si="101"/>
        <v>Valid</v>
      </c>
      <c r="I597" t="s">
        <v>1883</v>
      </c>
      <c r="J597" t="s">
        <v>37</v>
      </c>
      <c r="K597" t="s">
        <v>91</v>
      </c>
      <c r="L597" t="s">
        <v>26</v>
      </c>
      <c r="M597" t="s">
        <v>137</v>
      </c>
      <c r="O597" t="s">
        <v>75</v>
      </c>
      <c r="P597" t="s">
        <v>172</v>
      </c>
      <c r="Q597" t="s">
        <v>1884</v>
      </c>
      <c r="R597" t="s">
        <v>51</v>
      </c>
      <c r="S597">
        <v>8</v>
      </c>
      <c r="T597">
        <v>1825.56</v>
      </c>
      <c r="U597" s="2">
        <f t="shared" si="105"/>
        <v>13144.031999999999</v>
      </c>
      <c r="V597" s="13">
        <v>0.1</v>
      </c>
      <c r="W597" s="2">
        <f t="shared" si="106"/>
        <v>0.1</v>
      </c>
      <c r="X597" s="2" t="str">
        <f t="shared" si="107"/>
        <v>Valid</v>
      </c>
      <c r="Y597" s="2" t="str">
        <f t="shared" si="108"/>
        <v>Clean</v>
      </c>
      <c r="Z597">
        <v>13144.03</v>
      </c>
      <c r="AA597">
        <v>9764</v>
      </c>
      <c r="AB597" s="2">
        <f t="shared" si="102"/>
        <v>3380.0319999999992</v>
      </c>
      <c r="AC597">
        <v>3380.03</v>
      </c>
      <c r="AD597" s="11">
        <f t="shared" si="109"/>
        <v>0.25715324751997676</v>
      </c>
      <c r="AE597" t="s">
        <v>33</v>
      </c>
      <c r="AF597" t="s">
        <v>34</v>
      </c>
    </row>
    <row r="598" spans="1:32">
      <c r="A598" t="s">
        <v>1885</v>
      </c>
      <c r="B598" s="2" t="str">
        <f t="shared" si="99"/>
        <v>Unique</v>
      </c>
      <c r="C598" s="2" t="str">
        <f t="shared" si="103"/>
        <v>Apr</v>
      </c>
      <c r="D598" s="2">
        <f t="shared" si="104"/>
        <v>2024</v>
      </c>
      <c r="E598" s="4">
        <v>45392</v>
      </c>
      <c r="F598" s="4">
        <v>45398</v>
      </c>
      <c r="G598" s="6">
        <f t="shared" si="100"/>
        <v>6</v>
      </c>
      <c r="H598" s="6" t="str">
        <f t="shared" si="101"/>
        <v>Valid</v>
      </c>
      <c r="I598" t="s">
        <v>1886</v>
      </c>
      <c r="J598" t="s">
        <v>90</v>
      </c>
      <c r="K598" t="s">
        <v>25</v>
      </c>
      <c r="L598" t="s">
        <v>55</v>
      </c>
      <c r="M598" t="s">
        <v>186</v>
      </c>
      <c r="O598" t="s">
        <v>42</v>
      </c>
      <c r="P598" t="s">
        <v>67</v>
      </c>
      <c r="Q598" t="s">
        <v>1887</v>
      </c>
      <c r="R598" t="s">
        <v>32</v>
      </c>
      <c r="S598">
        <v>9</v>
      </c>
      <c r="T598">
        <v>2723.26</v>
      </c>
      <c r="U598" s="2">
        <f t="shared" si="105"/>
        <v>18382.005000000005</v>
      </c>
      <c r="V598" s="13">
        <v>0.25</v>
      </c>
      <c r="W598" s="2">
        <f t="shared" si="106"/>
        <v>0.25</v>
      </c>
      <c r="X598" s="2" t="str">
        <f t="shared" si="107"/>
        <v>Valid</v>
      </c>
      <c r="Y598" s="2" t="str">
        <f t="shared" si="108"/>
        <v>Clean</v>
      </c>
      <c r="Z598">
        <v>18382.009999999998</v>
      </c>
      <c r="AA598">
        <v>13108.2</v>
      </c>
      <c r="AB598" s="2">
        <f t="shared" si="102"/>
        <v>5273.8050000000039</v>
      </c>
      <c r="AC598">
        <v>5273.81</v>
      </c>
      <c r="AD598" s="11">
        <f t="shared" si="109"/>
        <v>0.28690061641789993</v>
      </c>
      <c r="AE598" t="s">
        <v>33</v>
      </c>
      <c r="AF598" t="s">
        <v>34</v>
      </c>
    </row>
    <row r="599" spans="1:32">
      <c r="A599" t="s">
        <v>1888</v>
      </c>
      <c r="B599" s="2" t="str">
        <f t="shared" si="99"/>
        <v>Unique</v>
      </c>
      <c r="C599" s="2" t="str">
        <f t="shared" si="103"/>
        <v>Jul</v>
      </c>
      <c r="D599" s="2">
        <f t="shared" si="104"/>
        <v>2025</v>
      </c>
      <c r="E599" s="4">
        <v>45846</v>
      </c>
      <c r="F599" s="4">
        <v>45846</v>
      </c>
      <c r="G599" s="6">
        <f t="shared" si="100"/>
        <v>0</v>
      </c>
      <c r="H599" s="6" t="str">
        <f t="shared" si="101"/>
        <v>Valid</v>
      </c>
      <c r="I599" t="s">
        <v>1889</v>
      </c>
      <c r="J599" t="s">
        <v>90</v>
      </c>
      <c r="K599" t="s">
        <v>25</v>
      </c>
      <c r="L599" t="s">
        <v>55</v>
      </c>
      <c r="M599" t="s">
        <v>56</v>
      </c>
      <c r="O599" t="s">
        <v>75</v>
      </c>
      <c r="P599" t="s">
        <v>81</v>
      </c>
      <c r="Q599" t="s">
        <v>1890</v>
      </c>
      <c r="R599" t="s">
        <v>45</v>
      </c>
      <c r="S599">
        <v>9</v>
      </c>
      <c r="T599">
        <v>274.88</v>
      </c>
      <c r="U599" s="2">
        <f t="shared" si="105"/>
        <v>1855.44</v>
      </c>
      <c r="V599" s="13">
        <v>0.25</v>
      </c>
      <c r="W599" s="2">
        <f t="shared" si="106"/>
        <v>0.25</v>
      </c>
      <c r="X599" s="2" t="str">
        <f t="shared" si="107"/>
        <v>Valid</v>
      </c>
      <c r="Y599" s="2" t="str">
        <f t="shared" si="108"/>
        <v>Clean</v>
      </c>
      <c r="Z599">
        <v>1855.44</v>
      </c>
      <c r="AA599">
        <v>1262.74</v>
      </c>
      <c r="AB599" s="2">
        <f t="shared" si="102"/>
        <v>592.70000000000005</v>
      </c>
      <c r="AC599">
        <v>592.70000000000005</v>
      </c>
      <c r="AD599" s="11">
        <f t="shared" si="109"/>
        <v>0.3194390548872505</v>
      </c>
      <c r="AE599" t="s">
        <v>33</v>
      </c>
      <c r="AF599" t="s">
        <v>34</v>
      </c>
    </row>
    <row r="600" spans="1:32">
      <c r="A600" t="s">
        <v>1891</v>
      </c>
      <c r="B600" s="2" t="str">
        <f t="shared" si="99"/>
        <v>Unique</v>
      </c>
      <c r="C600" s="2" t="str">
        <f t="shared" si="103"/>
        <v>Aug</v>
      </c>
      <c r="D600" s="2">
        <f t="shared" si="104"/>
        <v>2024</v>
      </c>
      <c r="E600" s="4">
        <v>45521</v>
      </c>
      <c r="F600" s="4">
        <v>45528</v>
      </c>
      <c r="G600" s="6">
        <f t="shared" si="100"/>
        <v>7</v>
      </c>
      <c r="H600" s="6" t="str">
        <f t="shared" si="101"/>
        <v>Valid</v>
      </c>
      <c r="I600" t="s">
        <v>1892</v>
      </c>
      <c r="J600" t="s">
        <v>63</v>
      </c>
      <c r="K600" t="s">
        <v>91</v>
      </c>
      <c r="L600" t="s">
        <v>39</v>
      </c>
      <c r="M600" t="s">
        <v>100</v>
      </c>
      <c r="O600" t="s">
        <v>75</v>
      </c>
      <c r="P600" t="s">
        <v>81</v>
      </c>
      <c r="Q600" t="s">
        <v>1893</v>
      </c>
      <c r="R600" t="s">
        <v>45</v>
      </c>
      <c r="S600">
        <v>3</v>
      </c>
      <c r="T600">
        <v>1490.69</v>
      </c>
      <c r="U600" s="2">
        <f t="shared" si="105"/>
        <v>3354.0524999999998</v>
      </c>
      <c r="V600" s="13">
        <v>0.25</v>
      </c>
      <c r="W600" s="2">
        <f t="shared" si="106"/>
        <v>0.25</v>
      </c>
      <c r="X600" s="2" t="str">
        <f t="shared" si="107"/>
        <v>Valid</v>
      </c>
      <c r="Y600" s="2" t="str">
        <f t="shared" si="108"/>
        <v>Clean</v>
      </c>
      <c r="Z600">
        <v>3354.05</v>
      </c>
      <c r="AA600">
        <v>2672.67</v>
      </c>
      <c r="AB600" s="2">
        <f t="shared" si="102"/>
        <v>681.38249999999971</v>
      </c>
      <c r="AC600">
        <v>681.38</v>
      </c>
      <c r="AD600" s="11">
        <f t="shared" si="109"/>
        <v>0.20315141396222475</v>
      </c>
      <c r="AE600" t="s">
        <v>33</v>
      </c>
      <c r="AF600" t="s">
        <v>34</v>
      </c>
    </row>
    <row r="601" spans="1:32">
      <c r="A601" t="s">
        <v>1894</v>
      </c>
      <c r="B601" s="2" t="str">
        <f t="shared" si="99"/>
        <v>Unique</v>
      </c>
      <c r="C601" s="2" t="str">
        <f t="shared" si="103"/>
        <v>Aug</v>
      </c>
      <c r="D601" s="2">
        <f t="shared" si="104"/>
        <v>2024</v>
      </c>
      <c r="E601" s="4">
        <v>45523</v>
      </c>
      <c r="F601" s="4">
        <v>45525</v>
      </c>
      <c r="G601" s="6">
        <f t="shared" si="100"/>
        <v>2</v>
      </c>
      <c r="H601" s="6" t="str">
        <f t="shared" si="101"/>
        <v>Valid</v>
      </c>
      <c r="I601" t="s">
        <v>1895</v>
      </c>
      <c r="J601" t="s">
        <v>54</v>
      </c>
      <c r="K601" t="s">
        <v>25</v>
      </c>
      <c r="L601" t="s">
        <v>26</v>
      </c>
      <c r="M601" t="s">
        <v>123</v>
      </c>
      <c r="O601" t="s">
        <v>75</v>
      </c>
      <c r="P601" t="s">
        <v>172</v>
      </c>
      <c r="Q601" t="s">
        <v>1896</v>
      </c>
      <c r="R601" t="s">
        <v>51</v>
      </c>
      <c r="S601">
        <v>3</v>
      </c>
      <c r="T601">
        <v>1103.54</v>
      </c>
      <c r="U601" s="2">
        <f t="shared" si="105"/>
        <v>2482.9650000000001</v>
      </c>
      <c r="V601" s="13">
        <v>0.25</v>
      </c>
      <c r="W601" s="2">
        <f t="shared" si="106"/>
        <v>0.25</v>
      </c>
      <c r="X601" s="2" t="str">
        <f t="shared" si="107"/>
        <v>Valid</v>
      </c>
      <c r="Y601" s="2" t="str">
        <f t="shared" si="108"/>
        <v>Clean</v>
      </c>
      <c r="Z601">
        <v>2482.9699999999998</v>
      </c>
      <c r="AA601">
        <v>1621.72</v>
      </c>
      <c r="AB601" s="2">
        <f t="shared" si="102"/>
        <v>861.24500000000012</v>
      </c>
      <c r="AC601">
        <v>861.25</v>
      </c>
      <c r="AD601" s="11">
        <f t="shared" si="109"/>
        <v>0.34686282959520254</v>
      </c>
      <c r="AE601" t="s">
        <v>33</v>
      </c>
      <c r="AF601" t="s">
        <v>34</v>
      </c>
    </row>
    <row r="602" spans="1:32">
      <c r="A602" t="s">
        <v>1897</v>
      </c>
      <c r="B602" s="2" t="str">
        <f t="shared" si="99"/>
        <v>Unique</v>
      </c>
      <c r="C602" s="2" t="str">
        <f t="shared" si="103"/>
        <v>Mar</v>
      </c>
      <c r="D602" s="2">
        <f t="shared" si="104"/>
        <v>2025</v>
      </c>
      <c r="E602" s="4">
        <v>45721</v>
      </c>
      <c r="F602" s="4">
        <v>45728</v>
      </c>
      <c r="G602" s="6">
        <f t="shared" si="100"/>
        <v>7</v>
      </c>
      <c r="H602" s="6" t="str">
        <f t="shared" si="101"/>
        <v>Valid</v>
      </c>
      <c r="I602" t="s">
        <v>1898</v>
      </c>
      <c r="J602" t="s">
        <v>63</v>
      </c>
      <c r="K602" t="s">
        <v>91</v>
      </c>
      <c r="L602" t="s">
        <v>64</v>
      </c>
      <c r="M602" t="s">
        <v>73</v>
      </c>
      <c r="O602" t="s">
        <v>29</v>
      </c>
      <c r="P602" t="s">
        <v>125</v>
      </c>
      <c r="Q602" t="s">
        <v>1899</v>
      </c>
      <c r="R602" t="s">
        <v>45</v>
      </c>
      <c r="S602">
        <v>3</v>
      </c>
      <c r="T602">
        <v>3682.75</v>
      </c>
      <c r="U602" s="2">
        <f t="shared" si="105"/>
        <v>11048.25</v>
      </c>
      <c r="V602" s="13">
        <v>0</v>
      </c>
      <c r="W602" s="2">
        <f t="shared" si="106"/>
        <v>0</v>
      </c>
      <c r="X602" s="2" t="str">
        <f t="shared" si="107"/>
        <v>Valid</v>
      </c>
      <c r="Y602" s="2" t="str">
        <f t="shared" si="108"/>
        <v>Clean</v>
      </c>
      <c r="Z602">
        <v>11048.25</v>
      </c>
      <c r="AA602">
        <v>9062.7199999999993</v>
      </c>
      <c r="AB602" s="2">
        <f t="shared" si="102"/>
        <v>1985.5300000000007</v>
      </c>
      <c r="AC602">
        <v>1985.53</v>
      </c>
      <c r="AD602" s="11">
        <f t="shared" si="109"/>
        <v>0.17971443441268978</v>
      </c>
      <c r="AE602" t="s">
        <v>33</v>
      </c>
      <c r="AF602" t="s">
        <v>34</v>
      </c>
    </row>
    <row r="603" spans="1:32">
      <c r="A603" t="s">
        <v>1900</v>
      </c>
      <c r="B603" s="2" t="str">
        <f t="shared" si="99"/>
        <v>Unique</v>
      </c>
      <c r="C603" s="2" t="str">
        <f t="shared" si="103"/>
        <v>Jan</v>
      </c>
      <c r="D603" s="2">
        <f t="shared" si="104"/>
        <v>2024</v>
      </c>
      <c r="E603" s="4">
        <v>45317</v>
      </c>
      <c r="F603" s="4">
        <v>45322</v>
      </c>
      <c r="G603" s="6">
        <f t="shared" si="100"/>
        <v>5</v>
      </c>
      <c r="H603" s="6" t="str">
        <f t="shared" si="101"/>
        <v>Valid</v>
      </c>
      <c r="I603" t="s">
        <v>1901</v>
      </c>
      <c r="J603" t="s">
        <v>63</v>
      </c>
      <c r="K603" t="s">
        <v>96</v>
      </c>
      <c r="L603" t="s">
        <v>39</v>
      </c>
      <c r="M603" t="s">
        <v>100</v>
      </c>
      <c r="O603" t="s">
        <v>29</v>
      </c>
      <c r="P603" t="s">
        <v>30</v>
      </c>
      <c r="Q603" t="s">
        <v>1902</v>
      </c>
      <c r="R603" t="s">
        <v>32</v>
      </c>
      <c r="S603">
        <v>5</v>
      </c>
      <c r="T603">
        <v>1615.03</v>
      </c>
      <c r="U603" s="2">
        <f t="shared" si="105"/>
        <v>6460.12</v>
      </c>
      <c r="V603" s="13">
        <v>0.2</v>
      </c>
      <c r="W603" s="2">
        <f t="shared" si="106"/>
        <v>0.2</v>
      </c>
      <c r="X603" s="2" t="str">
        <f t="shared" si="107"/>
        <v>Valid</v>
      </c>
      <c r="Y603" s="2" t="str">
        <f t="shared" si="108"/>
        <v>Clean</v>
      </c>
      <c r="Z603">
        <v>6460.12</v>
      </c>
      <c r="AA603">
        <v>3604.03</v>
      </c>
      <c r="AB603" s="2">
        <f t="shared" si="102"/>
        <v>2856.0899999999997</v>
      </c>
      <c r="AC603">
        <v>2856.09</v>
      </c>
      <c r="AD603" s="11">
        <f t="shared" si="109"/>
        <v>0.4421109824585302</v>
      </c>
      <c r="AE603" t="s">
        <v>33</v>
      </c>
      <c r="AF603" t="s">
        <v>34</v>
      </c>
    </row>
    <row r="604" spans="1:32">
      <c r="A604" t="s">
        <v>1903</v>
      </c>
      <c r="B604" s="2" t="str">
        <f t="shared" si="99"/>
        <v>Unique</v>
      </c>
      <c r="C604" s="2" t="str">
        <f t="shared" si="103"/>
        <v>Oct</v>
      </c>
      <c r="D604" s="2">
        <f t="shared" si="104"/>
        <v>2024</v>
      </c>
      <c r="E604" s="4">
        <v>45588</v>
      </c>
      <c r="F604" s="4">
        <v>45595</v>
      </c>
      <c r="G604" s="6">
        <f t="shared" si="100"/>
        <v>7</v>
      </c>
      <c r="H604" s="6" t="str">
        <f t="shared" si="101"/>
        <v>Valid</v>
      </c>
      <c r="I604" t="s">
        <v>1904</v>
      </c>
      <c r="J604" t="s">
        <v>129</v>
      </c>
      <c r="K604" t="s">
        <v>25</v>
      </c>
      <c r="L604" t="s">
        <v>39</v>
      </c>
      <c r="M604" t="s">
        <v>229</v>
      </c>
      <c r="O604" t="s">
        <v>75</v>
      </c>
      <c r="P604" t="s">
        <v>81</v>
      </c>
      <c r="Q604" t="s">
        <v>1905</v>
      </c>
      <c r="R604" t="s">
        <v>32</v>
      </c>
      <c r="S604">
        <v>9</v>
      </c>
      <c r="T604">
        <v>3423.82</v>
      </c>
      <c r="U604" s="2">
        <f t="shared" si="105"/>
        <v>26192.223000000002</v>
      </c>
      <c r="V604" s="13">
        <v>0.15</v>
      </c>
      <c r="W604" s="2">
        <f t="shared" si="106"/>
        <v>0.15</v>
      </c>
      <c r="X604" s="2" t="str">
        <f t="shared" si="107"/>
        <v>Valid</v>
      </c>
      <c r="Y604" s="2" t="str">
        <f t="shared" si="108"/>
        <v>Clean</v>
      </c>
      <c r="Z604">
        <v>26192.22</v>
      </c>
      <c r="AA604">
        <v>20795.55</v>
      </c>
      <c r="AB604" s="2">
        <f t="shared" si="102"/>
        <v>5396.6730000000025</v>
      </c>
      <c r="AC604">
        <v>5396.67</v>
      </c>
      <c r="AD604" s="11">
        <f t="shared" si="109"/>
        <v>0.20604095414592577</v>
      </c>
      <c r="AE604" t="s">
        <v>33</v>
      </c>
      <c r="AF604" t="s">
        <v>34</v>
      </c>
    </row>
    <row r="605" spans="1:32">
      <c r="A605" t="s">
        <v>1906</v>
      </c>
      <c r="B605" s="2" t="str">
        <f t="shared" si="99"/>
        <v>Unique</v>
      </c>
      <c r="C605" s="2" t="str">
        <f t="shared" si="103"/>
        <v>Jan</v>
      </c>
      <c r="D605" s="2">
        <f t="shared" si="104"/>
        <v>2025</v>
      </c>
      <c r="E605" s="4">
        <v>45660</v>
      </c>
      <c r="F605" s="4">
        <v>45668</v>
      </c>
      <c r="G605" s="6">
        <f t="shared" si="100"/>
        <v>8</v>
      </c>
      <c r="H605" s="6" t="str">
        <f t="shared" si="101"/>
        <v>Valid</v>
      </c>
      <c r="I605" t="s">
        <v>335</v>
      </c>
      <c r="J605" t="s">
        <v>72</v>
      </c>
      <c r="K605" t="s">
        <v>91</v>
      </c>
      <c r="L605" t="s">
        <v>39</v>
      </c>
      <c r="M605" t="s">
        <v>146</v>
      </c>
      <c r="O605" t="s">
        <v>75</v>
      </c>
      <c r="P605" t="s">
        <v>76</v>
      </c>
      <c r="Q605" t="s">
        <v>1907</v>
      </c>
      <c r="R605" t="s">
        <v>51</v>
      </c>
      <c r="S605">
        <v>8</v>
      </c>
      <c r="T605">
        <v>2574.29</v>
      </c>
      <c r="U605" s="2">
        <f t="shared" si="105"/>
        <v>19564.603999999999</v>
      </c>
      <c r="V605" s="13">
        <v>0.05</v>
      </c>
      <c r="W605" s="2">
        <f t="shared" si="106"/>
        <v>0.05</v>
      </c>
      <c r="X605" s="2" t="str">
        <f t="shared" si="107"/>
        <v>Valid</v>
      </c>
      <c r="Y605" s="2" t="str">
        <f t="shared" si="108"/>
        <v>Clean</v>
      </c>
      <c r="Z605">
        <v>19564.599999999999</v>
      </c>
      <c r="AA605">
        <v>11154.59</v>
      </c>
      <c r="AB605" s="2">
        <f t="shared" si="102"/>
        <v>8410.0139999999992</v>
      </c>
      <c r="AC605">
        <v>8410.01</v>
      </c>
      <c r="AD605" s="11">
        <f t="shared" si="109"/>
        <v>0.42985851997996388</v>
      </c>
      <c r="AE605" t="s">
        <v>112</v>
      </c>
      <c r="AF605" t="s">
        <v>69</v>
      </c>
    </row>
    <row r="606" spans="1:32">
      <c r="A606" t="s">
        <v>1908</v>
      </c>
      <c r="B606" s="2" t="str">
        <f t="shared" si="99"/>
        <v>Unique</v>
      </c>
      <c r="C606" s="2" t="str">
        <f t="shared" si="103"/>
        <v>Feb</v>
      </c>
      <c r="D606" s="2">
        <f t="shared" si="104"/>
        <v>2025</v>
      </c>
      <c r="E606" s="4">
        <v>45693</v>
      </c>
      <c r="F606" s="4">
        <v>45694</v>
      </c>
      <c r="G606" s="6">
        <f t="shared" si="100"/>
        <v>1</v>
      </c>
      <c r="H606" s="6" t="str">
        <f t="shared" si="101"/>
        <v>Valid</v>
      </c>
      <c r="I606" t="s">
        <v>1909</v>
      </c>
      <c r="J606" t="s">
        <v>63</v>
      </c>
      <c r="K606" t="s">
        <v>25</v>
      </c>
      <c r="L606" t="s">
        <v>64</v>
      </c>
      <c r="M606" t="s">
        <v>73</v>
      </c>
      <c r="O606" t="s">
        <v>29</v>
      </c>
      <c r="P606" t="s">
        <v>154</v>
      </c>
      <c r="Q606" t="s">
        <v>1910</v>
      </c>
      <c r="R606" t="s">
        <v>45</v>
      </c>
      <c r="S606">
        <v>3</v>
      </c>
      <c r="T606">
        <v>1076.3</v>
      </c>
      <c r="U606" s="2">
        <f t="shared" si="105"/>
        <v>3228.8999999999996</v>
      </c>
      <c r="V606" s="13">
        <v>0</v>
      </c>
      <c r="W606" s="2">
        <f t="shared" si="106"/>
        <v>0</v>
      </c>
      <c r="X606" s="2" t="str">
        <f t="shared" si="107"/>
        <v>Valid</v>
      </c>
      <c r="Y606" s="2" t="str">
        <f t="shared" si="108"/>
        <v>Clean</v>
      </c>
      <c r="Z606">
        <v>3228.9</v>
      </c>
      <c r="AA606">
        <v>1853.23</v>
      </c>
      <c r="AB606" s="2">
        <f t="shared" si="102"/>
        <v>1375.6699999999996</v>
      </c>
      <c r="AC606">
        <v>1375.67</v>
      </c>
      <c r="AD606" s="11">
        <f t="shared" si="109"/>
        <v>0.42604911889497971</v>
      </c>
      <c r="AE606" t="s">
        <v>33</v>
      </c>
      <c r="AF606" t="s">
        <v>34</v>
      </c>
    </row>
    <row r="607" spans="1:32">
      <c r="A607" t="s">
        <v>1911</v>
      </c>
      <c r="B607" s="2" t="str">
        <f t="shared" si="99"/>
        <v>Unique</v>
      </c>
      <c r="C607" s="2" t="str">
        <f t="shared" si="103"/>
        <v>Jul</v>
      </c>
      <c r="D607" s="2">
        <f t="shared" si="104"/>
        <v>2025</v>
      </c>
      <c r="E607" s="4">
        <v>45847</v>
      </c>
      <c r="F607" s="4">
        <v>45851</v>
      </c>
      <c r="G607" s="6">
        <f t="shared" si="100"/>
        <v>4</v>
      </c>
      <c r="H607" s="6" t="str">
        <f t="shared" si="101"/>
        <v>Valid</v>
      </c>
      <c r="I607" t="s">
        <v>1912</v>
      </c>
      <c r="J607" t="s">
        <v>265</v>
      </c>
      <c r="K607" t="s">
        <v>91</v>
      </c>
      <c r="L607" t="s">
        <v>64</v>
      </c>
      <c r="M607" t="s">
        <v>191</v>
      </c>
      <c r="O607" t="s">
        <v>42</v>
      </c>
      <c r="P607" t="s">
        <v>58</v>
      </c>
      <c r="Q607" t="s">
        <v>1913</v>
      </c>
      <c r="R607" t="s">
        <v>32</v>
      </c>
      <c r="S607">
        <v>5</v>
      </c>
      <c r="T607">
        <v>1680.01</v>
      </c>
      <c r="U607" s="2" t="str">
        <f t="shared" si="105"/>
        <v>Invalid</v>
      </c>
      <c r="V607" s="13" t="s">
        <v>768</v>
      </c>
      <c r="W607" s="2" t="str">
        <f t="shared" si="106"/>
        <v>Invalid</v>
      </c>
      <c r="X607" s="2" t="str">
        <f t="shared" si="107"/>
        <v>Invalid</v>
      </c>
      <c r="Y607" s="2" t="str">
        <f t="shared" si="108"/>
        <v>Invalid</v>
      </c>
      <c r="Z607">
        <v>7560.04</v>
      </c>
      <c r="AA607">
        <v>6448.05</v>
      </c>
      <c r="AB607" s="2" t="str">
        <f t="shared" si="102"/>
        <v>Invalid</v>
      </c>
      <c r="AC607">
        <v>1111.99</v>
      </c>
      <c r="AD607" s="11">
        <f t="shared" si="109"/>
        <v>0.14708784609605241</v>
      </c>
      <c r="AE607" t="s">
        <v>33</v>
      </c>
      <c r="AF607" t="s">
        <v>69</v>
      </c>
    </row>
    <row r="608" spans="1:32">
      <c r="A608" t="s">
        <v>1914</v>
      </c>
      <c r="B608" s="2" t="str">
        <f t="shared" si="99"/>
        <v>Unique</v>
      </c>
      <c r="C608" s="2" t="str">
        <f t="shared" si="103"/>
        <v>Feb</v>
      </c>
      <c r="D608" s="2">
        <f t="shared" si="104"/>
        <v>2025</v>
      </c>
      <c r="E608" s="4">
        <v>45710</v>
      </c>
      <c r="F608" s="4">
        <v>45716</v>
      </c>
      <c r="G608" s="6">
        <f t="shared" si="100"/>
        <v>6</v>
      </c>
      <c r="H608" s="6" t="str">
        <f t="shared" si="101"/>
        <v>Valid</v>
      </c>
      <c r="I608" t="s">
        <v>1915</v>
      </c>
      <c r="J608" t="s">
        <v>119</v>
      </c>
      <c r="K608" t="s">
        <v>96</v>
      </c>
      <c r="L608" t="s">
        <v>64</v>
      </c>
      <c r="M608" t="s">
        <v>73</v>
      </c>
      <c r="O608" t="s">
        <v>75</v>
      </c>
      <c r="P608" t="s">
        <v>81</v>
      </c>
      <c r="Q608" t="s">
        <v>1916</v>
      </c>
      <c r="R608" t="s">
        <v>45</v>
      </c>
      <c r="S608">
        <v>3</v>
      </c>
      <c r="T608">
        <v>3890.81</v>
      </c>
      <c r="U608" s="2">
        <f t="shared" si="105"/>
        <v>8754.3225000000002</v>
      </c>
      <c r="V608" s="13">
        <v>0.25</v>
      </c>
      <c r="W608" s="2">
        <f t="shared" si="106"/>
        <v>0.25</v>
      </c>
      <c r="X608" s="2" t="str">
        <f t="shared" si="107"/>
        <v>Valid</v>
      </c>
      <c r="Y608" s="2" t="str">
        <f t="shared" si="108"/>
        <v>Clean</v>
      </c>
      <c r="Z608">
        <v>8754.32</v>
      </c>
      <c r="AA608">
        <v>6238.9</v>
      </c>
      <c r="AB608" s="2">
        <f t="shared" si="102"/>
        <v>2515.4225000000006</v>
      </c>
      <c r="AC608">
        <v>2515.42</v>
      </c>
      <c r="AD608" s="11">
        <f t="shared" si="109"/>
        <v>0.28733471017737533</v>
      </c>
      <c r="AE608" t="s">
        <v>33</v>
      </c>
      <c r="AF608" t="s">
        <v>34</v>
      </c>
    </row>
    <row r="609" spans="1:32">
      <c r="A609" t="s">
        <v>1917</v>
      </c>
      <c r="B609" s="2" t="str">
        <f t="shared" si="99"/>
        <v>Unique</v>
      </c>
      <c r="C609" s="2" t="str">
        <f t="shared" si="103"/>
        <v>Feb</v>
      </c>
      <c r="D609" s="2">
        <f t="shared" si="104"/>
        <v>2025</v>
      </c>
      <c r="E609" s="4">
        <v>45704</v>
      </c>
      <c r="F609" s="4">
        <v>45710</v>
      </c>
      <c r="G609" s="6">
        <f t="shared" si="100"/>
        <v>6</v>
      </c>
      <c r="H609" s="6" t="str">
        <f t="shared" si="101"/>
        <v>Valid</v>
      </c>
      <c r="I609" t="s">
        <v>1918</v>
      </c>
      <c r="J609" t="s">
        <v>133</v>
      </c>
      <c r="K609" t="s">
        <v>96</v>
      </c>
      <c r="L609" t="s">
        <v>39</v>
      </c>
      <c r="M609" t="s">
        <v>146</v>
      </c>
      <c r="O609" t="s">
        <v>29</v>
      </c>
      <c r="P609" t="s">
        <v>125</v>
      </c>
      <c r="Q609" t="s">
        <v>1919</v>
      </c>
      <c r="R609" t="s">
        <v>45</v>
      </c>
      <c r="S609">
        <v>5</v>
      </c>
      <c r="T609">
        <v>954.67</v>
      </c>
      <c r="U609" s="2">
        <f t="shared" si="105"/>
        <v>4057.3474999999994</v>
      </c>
      <c r="V609" s="13">
        <v>0.15</v>
      </c>
      <c r="W609" s="2">
        <f t="shared" si="106"/>
        <v>0.15</v>
      </c>
      <c r="X609" s="2" t="str">
        <f t="shared" si="107"/>
        <v>Valid</v>
      </c>
      <c r="Y609" s="2" t="str">
        <f t="shared" si="108"/>
        <v>Clean</v>
      </c>
      <c r="Z609">
        <v>4057.35</v>
      </c>
      <c r="AA609">
        <v>2862.03</v>
      </c>
      <c r="AB609" s="2">
        <f t="shared" si="102"/>
        <v>1195.3174999999992</v>
      </c>
      <c r="AC609">
        <v>1195.32</v>
      </c>
      <c r="AD609" s="11">
        <f t="shared" si="109"/>
        <v>0.29460608525268955</v>
      </c>
      <c r="AE609" t="s">
        <v>33</v>
      </c>
      <c r="AF609" t="s">
        <v>34</v>
      </c>
    </row>
    <row r="610" spans="1:32">
      <c r="A610" t="s">
        <v>1920</v>
      </c>
      <c r="B610" s="2" t="str">
        <f t="shared" si="99"/>
        <v>Unique</v>
      </c>
      <c r="C610" s="2" t="str">
        <f t="shared" si="103"/>
        <v>Jun</v>
      </c>
      <c r="D610" s="2">
        <f t="shared" si="104"/>
        <v>2024</v>
      </c>
      <c r="E610" s="4">
        <v>45464</v>
      </c>
      <c r="F610" s="4">
        <v>45466</v>
      </c>
      <c r="G610" s="6">
        <f t="shared" si="100"/>
        <v>2</v>
      </c>
      <c r="H610" s="6" t="str">
        <f t="shared" si="101"/>
        <v>Valid</v>
      </c>
      <c r="I610" t="s">
        <v>1698</v>
      </c>
      <c r="J610" t="s">
        <v>24</v>
      </c>
      <c r="K610" t="s">
        <v>96</v>
      </c>
      <c r="L610" t="s">
        <v>64</v>
      </c>
      <c r="M610" t="s">
        <v>191</v>
      </c>
      <c r="O610" t="s">
        <v>42</v>
      </c>
      <c r="P610" t="s">
        <v>58</v>
      </c>
      <c r="Q610" t="s">
        <v>1921</v>
      </c>
      <c r="R610" t="s">
        <v>32</v>
      </c>
      <c r="S610">
        <v>9</v>
      </c>
      <c r="T610">
        <v>2153.75</v>
      </c>
      <c r="U610" s="2">
        <f t="shared" si="105"/>
        <v>19383.75</v>
      </c>
      <c r="V610" s="13">
        <v>0</v>
      </c>
      <c r="W610" s="2">
        <f t="shared" si="106"/>
        <v>0</v>
      </c>
      <c r="X610" s="2" t="str">
        <f t="shared" si="107"/>
        <v>Valid</v>
      </c>
      <c r="Y610" s="2" t="str">
        <f t="shared" si="108"/>
        <v>Clean</v>
      </c>
      <c r="Z610">
        <v>19383.75</v>
      </c>
      <c r="AA610">
        <v>11667.43</v>
      </c>
      <c r="AB610" s="2">
        <f t="shared" si="102"/>
        <v>7716.32</v>
      </c>
      <c r="AC610">
        <v>7716.32</v>
      </c>
      <c r="AD610" s="11">
        <f t="shared" si="109"/>
        <v>0.39808189849745274</v>
      </c>
      <c r="AE610" t="s">
        <v>33</v>
      </c>
      <c r="AF610" t="s">
        <v>34</v>
      </c>
    </row>
    <row r="611" spans="1:32">
      <c r="A611" t="s">
        <v>1922</v>
      </c>
      <c r="B611" s="2" t="str">
        <f t="shared" si="99"/>
        <v>Unique</v>
      </c>
      <c r="C611" s="2" t="str">
        <f t="shared" si="103"/>
        <v>Jan</v>
      </c>
      <c r="D611" s="2">
        <f t="shared" si="104"/>
        <v>2025</v>
      </c>
      <c r="E611" s="4">
        <v>45665</v>
      </c>
      <c r="F611" s="4">
        <v>45669</v>
      </c>
      <c r="G611" s="6">
        <f t="shared" si="100"/>
        <v>4</v>
      </c>
      <c r="H611" s="6" t="str">
        <f t="shared" si="101"/>
        <v>Valid</v>
      </c>
      <c r="I611" t="s">
        <v>1923</v>
      </c>
      <c r="J611" t="s">
        <v>133</v>
      </c>
      <c r="K611" t="s">
        <v>96</v>
      </c>
      <c r="L611" t="s">
        <v>55</v>
      </c>
      <c r="M611" t="s">
        <v>176</v>
      </c>
      <c r="O611" t="s">
        <v>42</v>
      </c>
      <c r="P611" t="s">
        <v>67</v>
      </c>
      <c r="Q611" t="s">
        <v>1924</v>
      </c>
      <c r="R611" t="s">
        <v>60</v>
      </c>
      <c r="S611">
        <v>7</v>
      </c>
      <c r="T611">
        <v>4337.4799999999996</v>
      </c>
      <c r="U611" s="2">
        <f t="shared" si="105"/>
        <v>30362.359999999997</v>
      </c>
      <c r="V611" s="13">
        <v>0</v>
      </c>
      <c r="W611" s="2">
        <f t="shared" si="106"/>
        <v>0</v>
      </c>
      <c r="X611" s="2" t="str">
        <f t="shared" si="107"/>
        <v>Valid</v>
      </c>
      <c r="Y611" s="2" t="str">
        <f t="shared" si="108"/>
        <v>Clean</v>
      </c>
      <c r="Z611">
        <v>30362.36</v>
      </c>
      <c r="AA611">
        <v>25065.4</v>
      </c>
      <c r="AB611" s="2">
        <f t="shared" si="102"/>
        <v>5296.9599999999955</v>
      </c>
      <c r="AC611">
        <v>5296.96</v>
      </c>
      <c r="AD611" s="11">
        <f t="shared" si="109"/>
        <v>0.17445811195177185</v>
      </c>
      <c r="AE611" t="s">
        <v>33</v>
      </c>
      <c r="AF611" t="s">
        <v>34</v>
      </c>
    </row>
    <row r="612" spans="1:32">
      <c r="A612" t="s">
        <v>1925</v>
      </c>
      <c r="B612" s="2" t="str">
        <f t="shared" si="99"/>
        <v>Unique</v>
      </c>
      <c r="C612" s="2" t="str">
        <f t="shared" si="103"/>
        <v>May</v>
      </c>
      <c r="D612" s="2">
        <f t="shared" si="104"/>
        <v>2024</v>
      </c>
      <c r="E612" s="4">
        <v>45432</v>
      </c>
      <c r="F612" s="4">
        <v>45432</v>
      </c>
      <c r="G612" s="6">
        <f t="shared" si="100"/>
        <v>0</v>
      </c>
      <c r="H612" s="6" t="str">
        <f t="shared" si="101"/>
        <v>Valid</v>
      </c>
      <c r="I612" t="s">
        <v>1370</v>
      </c>
      <c r="J612" t="s">
        <v>24</v>
      </c>
      <c r="K612" t="s">
        <v>96</v>
      </c>
      <c r="L612" t="s">
        <v>64</v>
      </c>
      <c r="M612" t="s">
        <v>73</v>
      </c>
      <c r="O612" t="s">
        <v>42</v>
      </c>
      <c r="P612" t="s">
        <v>67</v>
      </c>
      <c r="Q612" t="s">
        <v>1926</v>
      </c>
      <c r="R612" t="s">
        <v>60</v>
      </c>
      <c r="S612">
        <v>1</v>
      </c>
      <c r="T612">
        <v>3032.95</v>
      </c>
      <c r="U612" s="2">
        <f t="shared" si="105"/>
        <v>2729.6549999999997</v>
      </c>
      <c r="V612" s="13">
        <v>0.1</v>
      </c>
      <c r="W612" s="2">
        <f t="shared" si="106"/>
        <v>0.1</v>
      </c>
      <c r="X612" s="2" t="str">
        <f t="shared" si="107"/>
        <v>Valid</v>
      </c>
      <c r="Y612" s="2" t="str">
        <f t="shared" si="108"/>
        <v>Clean</v>
      </c>
      <c r="Z612">
        <v>2729.65</v>
      </c>
      <c r="AA612">
        <v>1715.36</v>
      </c>
      <c r="AB612" s="2">
        <f t="shared" si="102"/>
        <v>1014.2949999999998</v>
      </c>
      <c r="AC612">
        <v>1014.29</v>
      </c>
      <c r="AD612" s="11">
        <f t="shared" si="109"/>
        <v>0.37158243730881246</v>
      </c>
      <c r="AE612" t="s">
        <v>33</v>
      </c>
      <c r="AF612" t="s">
        <v>34</v>
      </c>
    </row>
    <row r="613" spans="1:32">
      <c r="A613" t="s">
        <v>1927</v>
      </c>
      <c r="B613" s="2" t="str">
        <f t="shared" si="99"/>
        <v>Unique</v>
      </c>
      <c r="C613" s="2" t="str">
        <f t="shared" si="103"/>
        <v>Jul</v>
      </c>
      <c r="D613" s="2">
        <f t="shared" si="104"/>
        <v>2025</v>
      </c>
      <c r="E613" s="4">
        <v>45846</v>
      </c>
      <c r="F613" s="4">
        <v>45853</v>
      </c>
      <c r="G613" s="6">
        <f t="shared" si="100"/>
        <v>7</v>
      </c>
      <c r="H613" s="6" t="str">
        <f t="shared" si="101"/>
        <v>Valid</v>
      </c>
      <c r="I613" t="s">
        <v>1928</v>
      </c>
      <c r="J613" t="s">
        <v>63</v>
      </c>
      <c r="K613" t="s">
        <v>38</v>
      </c>
      <c r="L613" t="s">
        <v>26</v>
      </c>
      <c r="M613" t="s">
        <v>27</v>
      </c>
      <c r="O613" t="s">
        <v>29</v>
      </c>
      <c r="P613" t="s">
        <v>154</v>
      </c>
      <c r="Q613" t="s">
        <v>1929</v>
      </c>
      <c r="R613" t="s">
        <v>45</v>
      </c>
      <c r="S613">
        <v>8</v>
      </c>
      <c r="T613">
        <v>655.28</v>
      </c>
      <c r="U613" s="2">
        <f t="shared" si="105"/>
        <v>4718.0159999999996</v>
      </c>
      <c r="V613" s="13">
        <v>0.1</v>
      </c>
      <c r="W613" s="2">
        <f t="shared" si="106"/>
        <v>0.1</v>
      </c>
      <c r="X613" s="2" t="str">
        <f t="shared" si="107"/>
        <v>Valid</v>
      </c>
      <c r="Y613" s="2" t="str">
        <f t="shared" si="108"/>
        <v>Clean</v>
      </c>
      <c r="Z613">
        <v>4718.0200000000004</v>
      </c>
      <c r="AA613">
        <v>3908.23</v>
      </c>
      <c r="AB613" s="2">
        <f t="shared" si="102"/>
        <v>809.7859999999996</v>
      </c>
      <c r="AC613">
        <v>809.79</v>
      </c>
      <c r="AD613" s="11">
        <f t="shared" si="109"/>
        <v>0.17163767851768325</v>
      </c>
      <c r="AE613" t="s">
        <v>33</v>
      </c>
      <c r="AF613" t="s">
        <v>34</v>
      </c>
    </row>
    <row r="614" spans="1:32">
      <c r="A614" t="s">
        <v>1930</v>
      </c>
      <c r="B614" s="2" t="str">
        <f t="shared" si="99"/>
        <v>Unique</v>
      </c>
      <c r="C614" s="2" t="str">
        <f t="shared" si="103"/>
        <v>Apr</v>
      </c>
      <c r="D614" s="2">
        <f t="shared" si="104"/>
        <v>2025</v>
      </c>
      <c r="E614" s="4">
        <v>45753</v>
      </c>
      <c r="F614" s="4">
        <v>45760</v>
      </c>
      <c r="G614" s="6">
        <f t="shared" si="100"/>
        <v>7</v>
      </c>
      <c r="H614" s="6" t="str">
        <f t="shared" si="101"/>
        <v>Valid</v>
      </c>
      <c r="I614" t="s">
        <v>1931</v>
      </c>
      <c r="J614" t="s">
        <v>90</v>
      </c>
      <c r="K614" t="s">
        <v>25</v>
      </c>
      <c r="L614" s="2" t="s">
        <v>2793</v>
      </c>
      <c r="M614" t="s">
        <v>40</v>
      </c>
      <c r="O614" t="s">
        <v>75</v>
      </c>
      <c r="P614" t="s">
        <v>172</v>
      </c>
      <c r="Q614" t="s">
        <v>1932</v>
      </c>
      <c r="R614" t="s">
        <v>60</v>
      </c>
      <c r="S614">
        <v>1</v>
      </c>
      <c r="T614">
        <v>3844.01</v>
      </c>
      <c r="U614" s="2">
        <f t="shared" si="105"/>
        <v>3844.01</v>
      </c>
      <c r="V614" s="13">
        <v>0</v>
      </c>
      <c r="W614" s="2">
        <f t="shared" si="106"/>
        <v>0</v>
      </c>
      <c r="X614" s="2" t="str">
        <f t="shared" si="107"/>
        <v>Valid</v>
      </c>
      <c r="Y614" s="2" t="str">
        <f t="shared" si="108"/>
        <v>Clean</v>
      </c>
      <c r="Z614">
        <v>3844.01</v>
      </c>
      <c r="AA614">
        <v>2195.79</v>
      </c>
      <c r="AB614" s="2">
        <f t="shared" si="102"/>
        <v>1648.2200000000003</v>
      </c>
      <c r="AC614">
        <v>1648.22</v>
      </c>
      <c r="AD614" s="11">
        <f t="shared" si="109"/>
        <v>0.4287761998537985</v>
      </c>
      <c r="AE614" t="s">
        <v>33</v>
      </c>
      <c r="AF614" t="s">
        <v>34</v>
      </c>
    </row>
    <row r="615" spans="1:32">
      <c r="A615" t="s">
        <v>1933</v>
      </c>
      <c r="B615" s="2" t="str">
        <f t="shared" si="99"/>
        <v>Unique</v>
      </c>
      <c r="C615" s="2" t="str">
        <f t="shared" si="103"/>
        <v>Oct</v>
      </c>
      <c r="D615" s="2">
        <f t="shared" si="104"/>
        <v>2024</v>
      </c>
      <c r="E615" s="4">
        <v>45570</v>
      </c>
      <c r="F615" s="4">
        <v>45575</v>
      </c>
      <c r="G615" s="6">
        <f t="shared" si="100"/>
        <v>5</v>
      </c>
      <c r="H615" s="6" t="str">
        <f t="shared" si="101"/>
        <v>Valid</v>
      </c>
      <c r="I615" t="s">
        <v>1934</v>
      </c>
      <c r="J615" t="s">
        <v>163</v>
      </c>
      <c r="K615" t="s">
        <v>96</v>
      </c>
      <c r="L615" t="s">
        <v>64</v>
      </c>
      <c r="M615" t="s">
        <v>181</v>
      </c>
      <c r="O615" t="s">
        <v>75</v>
      </c>
      <c r="P615" t="s">
        <v>275</v>
      </c>
      <c r="Q615" t="s">
        <v>1935</v>
      </c>
      <c r="R615" t="s">
        <v>45</v>
      </c>
      <c r="S615">
        <v>9</v>
      </c>
      <c r="T615">
        <v>3361.3</v>
      </c>
      <c r="U615" s="2">
        <f t="shared" si="105"/>
        <v>22688.775000000001</v>
      </c>
      <c r="V615" s="13">
        <v>0.25</v>
      </c>
      <c r="W615" s="2">
        <f t="shared" si="106"/>
        <v>0.25</v>
      </c>
      <c r="X615" s="2" t="str">
        <f t="shared" si="107"/>
        <v>Valid</v>
      </c>
      <c r="Y615" s="2" t="str">
        <f t="shared" si="108"/>
        <v>Clean</v>
      </c>
      <c r="Z615">
        <v>22688.78</v>
      </c>
      <c r="AA615">
        <v>14672.41</v>
      </c>
      <c r="AB615" s="2">
        <f t="shared" si="102"/>
        <v>8016.3650000000016</v>
      </c>
      <c r="AC615">
        <v>8016.37</v>
      </c>
      <c r="AD615" s="11">
        <f t="shared" si="109"/>
        <v>0.35331868879684147</v>
      </c>
      <c r="AE615" t="s">
        <v>33</v>
      </c>
      <c r="AF615" t="s">
        <v>34</v>
      </c>
    </row>
    <row r="616" spans="1:32">
      <c r="A616" t="s">
        <v>1936</v>
      </c>
      <c r="B616" s="2" t="str">
        <f t="shared" si="99"/>
        <v>Unique</v>
      </c>
      <c r="C616" s="2" t="str">
        <f t="shared" si="103"/>
        <v>Feb</v>
      </c>
      <c r="D616" s="2">
        <f t="shared" si="104"/>
        <v>2024</v>
      </c>
      <c r="E616" s="4">
        <v>45333</v>
      </c>
      <c r="F616" s="4">
        <v>45341</v>
      </c>
      <c r="G616" s="6">
        <f t="shared" si="100"/>
        <v>8</v>
      </c>
      <c r="H616" s="6" t="str">
        <f t="shared" si="101"/>
        <v>Valid</v>
      </c>
      <c r="I616" t="s">
        <v>1937</v>
      </c>
      <c r="J616" t="s">
        <v>63</v>
      </c>
      <c r="K616" t="s">
        <v>96</v>
      </c>
      <c r="L616" t="s">
        <v>55</v>
      </c>
      <c r="M616" t="s">
        <v>56</v>
      </c>
      <c r="O616" t="s">
        <v>42</v>
      </c>
      <c r="P616" t="s">
        <v>67</v>
      </c>
      <c r="Q616" t="s">
        <v>1938</v>
      </c>
      <c r="R616" t="s">
        <v>60</v>
      </c>
      <c r="S616">
        <v>8</v>
      </c>
      <c r="T616">
        <v>3398.32</v>
      </c>
      <c r="U616" s="2">
        <f t="shared" si="105"/>
        <v>20389.920000000002</v>
      </c>
      <c r="V616" s="13">
        <v>0.25</v>
      </c>
      <c r="W616" s="2">
        <f t="shared" si="106"/>
        <v>0.25</v>
      </c>
      <c r="X616" s="2" t="str">
        <f t="shared" si="107"/>
        <v>Valid</v>
      </c>
      <c r="Y616" s="2" t="str">
        <f t="shared" si="108"/>
        <v>Clean</v>
      </c>
      <c r="Z616">
        <v>20389.919999999998</v>
      </c>
      <c r="AA616">
        <v>16661.080000000002</v>
      </c>
      <c r="AB616" s="2">
        <f t="shared" si="102"/>
        <v>3728.84</v>
      </c>
      <c r="AC616">
        <v>3728.84</v>
      </c>
      <c r="AD616" s="11">
        <f t="shared" si="109"/>
        <v>0.18287663708342164</v>
      </c>
      <c r="AE616" t="s">
        <v>103</v>
      </c>
      <c r="AF616" t="s">
        <v>69</v>
      </c>
    </row>
    <row r="617" spans="1:32">
      <c r="A617" t="s">
        <v>1939</v>
      </c>
      <c r="B617" s="2" t="str">
        <f t="shared" si="99"/>
        <v>Unique</v>
      </c>
      <c r="C617" s="2" t="str">
        <f t="shared" si="103"/>
        <v>Oct</v>
      </c>
      <c r="D617" s="2">
        <f t="shared" si="104"/>
        <v>2024</v>
      </c>
      <c r="E617" s="4">
        <v>45569</v>
      </c>
      <c r="F617" s="4">
        <v>45572</v>
      </c>
      <c r="G617" s="6">
        <f t="shared" si="100"/>
        <v>3</v>
      </c>
      <c r="H617" s="6" t="str">
        <f t="shared" si="101"/>
        <v>Valid</v>
      </c>
      <c r="I617" t="s">
        <v>1940</v>
      </c>
      <c r="J617" t="s">
        <v>119</v>
      </c>
      <c r="K617" t="s">
        <v>91</v>
      </c>
      <c r="L617" t="s">
        <v>55</v>
      </c>
      <c r="M617" t="s">
        <v>186</v>
      </c>
      <c r="O617" t="s">
        <v>29</v>
      </c>
      <c r="P617" t="s">
        <v>49</v>
      </c>
      <c r="Q617" t="s">
        <v>1941</v>
      </c>
      <c r="R617" t="s">
        <v>32</v>
      </c>
      <c r="S617">
        <v>2</v>
      </c>
      <c r="T617">
        <v>3144.38</v>
      </c>
      <c r="U617" s="2">
        <f t="shared" si="105"/>
        <v>5659.884</v>
      </c>
      <c r="V617" s="13">
        <v>0.1</v>
      </c>
      <c r="W617" s="2">
        <f t="shared" si="106"/>
        <v>0.1</v>
      </c>
      <c r="X617" s="2" t="str">
        <f t="shared" si="107"/>
        <v>Valid</v>
      </c>
      <c r="Y617" s="2" t="str">
        <f t="shared" si="108"/>
        <v>Clean</v>
      </c>
      <c r="Z617">
        <v>5904.57</v>
      </c>
      <c r="AA617">
        <v>4337.79</v>
      </c>
      <c r="AB617" s="2">
        <f t="shared" si="102"/>
        <v>1322.0940000000001</v>
      </c>
      <c r="AC617">
        <v>1322.09</v>
      </c>
      <c r="AD617" s="11">
        <f t="shared" si="109"/>
        <v>0.22390961577219001</v>
      </c>
      <c r="AE617" t="s">
        <v>33</v>
      </c>
      <c r="AF617" t="s">
        <v>34</v>
      </c>
    </row>
    <row r="618" spans="1:32">
      <c r="A618" t="s">
        <v>1942</v>
      </c>
      <c r="B618" s="2" t="str">
        <f t="shared" si="99"/>
        <v>Unique</v>
      </c>
      <c r="C618" s="2" t="str">
        <f t="shared" si="103"/>
        <v>Aug</v>
      </c>
      <c r="D618" s="2">
        <f t="shared" si="104"/>
        <v>2024</v>
      </c>
      <c r="E618" s="4">
        <v>45520</v>
      </c>
      <c r="F618" s="4">
        <v>45523</v>
      </c>
      <c r="G618" s="6">
        <f t="shared" si="100"/>
        <v>3</v>
      </c>
      <c r="H618" s="6" t="str">
        <f t="shared" si="101"/>
        <v>Valid</v>
      </c>
      <c r="I618" t="s">
        <v>1943</v>
      </c>
      <c r="J618" t="s">
        <v>265</v>
      </c>
      <c r="K618" t="s">
        <v>25</v>
      </c>
      <c r="L618" t="s">
        <v>55</v>
      </c>
      <c r="M618" t="s">
        <v>56</v>
      </c>
      <c r="O618" t="s">
        <v>29</v>
      </c>
      <c r="P618" t="s">
        <v>30</v>
      </c>
      <c r="Q618" t="s">
        <v>1944</v>
      </c>
      <c r="R618" t="s">
        <v>60</v>
      </c>
      <c r="S618">
        <v>6</v>
      </c>
      <c r="T618">
        <v>3925.55</v>
      </c>
      <c r="U618" s="2">
        <f t="shared" si="105"/>
        <v>18842.640000000003</v>
      </c>
      <c r="V618" s="13">
        <v>0.2</v>
      </c>
      <c r="W618" s="2">
        <f t="shared" si="106"/>
        <v>0.2</v>
      </c>
      <c r="X618" s="2" t="str">
        <f t="shared" si="107"/>
        <v>Valid</v>
      </c>
      <c r="Y618" s="2" t="str">
        <f t="shared" si="108"/>
        <v>Clean</v>
      </c>
      <c r="Z618">
        <v>18842.64</v>
      </c>
      <c r="AA618">
        <v>11840.58</v>
      </c>
      <c r="AB618" s="2">
        <f t="shared" si="102"/>
        <v>7002.0600000000031</v>
      </c>
      <c r="AC618">
        <v>7002.06</v>
      </c>
      <c r="AD618" s="11">
        <f t="shared" si="109"/>
        <v>0.37160716332743188</v>
      </c>
      <c r="AE618" t="s">
        <v>33</v>
      </c>
      <c r="AF618" t="s">
        <v>34</v>
      </c>
    </row>
    <row r="619" spans="1:32">
      <c r="A619" t="s">
        <v>1945</v>
      </c>
      <c r="B619" s="2" t="str">
        <f t="shared" si="99"/>
        <v>Unique</v>
      </c>
      <c r="C619" s="2" t="str">
        <f t="shared" si="103"/>
        <v>Sep</v>
      </c>
      <c r="D619" s="2">
        <f t="shared" si="104"/>
        <v>2024</v>
      </c>
      <c r="E619" s="4">
        <v>45564</v>
      </c>
      <c r="F619" s="4">
        <v>45565</v>
      </c>
      <c r="G619" s="6">
        <f t="shared" si="100"/>
        <v>1</v>
      </c>
      <c r="H619" s="6" t="str">
        <f t="shared" si="101"/>
        <v>Valid</v>
      </c>
      <c r="I619" t="s">
        <v>1946</v>
      </c>
      <c r="J619" t="s">
        <v>37</v>
      </c>
      <c r="K619" t="s">
        <v>96</v>
      </c>
      <c r="L619" t="s">
        <v>55</v>
      </c>
      <c r="M619" t="s">
        <v>56</v>
      </c>
      <c r="O619" t="s">
        <v>75</v>
      </c>
      <c r="P619" t="s">
        <v>172</v>
      </c>
      <c r="Q619" t="s">
        <v>1947</v>
      </c>
      <c r="R619" t="s">
        <v>60</v>
      </c>
      <c r="S619">
        <v>9</v>
      </c>
      <c r="T619">
        <v>2741.91</v>
      </c>
      <c r="U619" s="2">
        <f t="shared" si="105"/>
        <v>24677.19</v>
      </c>
      <c r="V619" s="13">
        <v>0</v>
      </c>
      <c r="W619" s="2">
        <f t="shared" si="106"/>
        <v>0</v>
      </c>
      <c r="X619" s="2" t="str">
        <f t="shared" si="107"/>
        <v>Valid</v>
      </c>
      <c r="Y619" s="2" t="str">
        <f t="shared" si="108"/>
        <v>Clean</v>
      </c>
      <c r="Z619">
        <v>24677.19</v>
      </c>
      <c r="AA619">
        <v>20350.849999999999</v>
      </c>
      <c r="AB619" s="2">
        <f t="shared" si="102"/>
        <v>4326.34</v>
      </c>
      <c r="AC619">
        <v>4326.34</v>
      </c>
      <c r="AD619" s="11">
        <f t="shared" si="109"/>
        <v>0.17531736798233513</v>
      </c>
      <c r="AE619" t="s">
        <v>33</v>
      </c>
      <c r="AF619" t="s">
        <v>34</v>
      </c>
    </row>
    <row r="620" spans="1:32">
      <c r="A620" t="s">
        <v>1948</v>
      </c>
      <c r="B620" s="2" t="str">
        <f t="shared" si="99"/>
        <v>Unique</v>
      </c>
      <c r="C620" s="2" t="str">
        <f t="shared" si="103"/>
        <v>Jul</v>
      </c>
      <c r="D620" s="2">
        <f t="shared" si="104"/>
        <v>2024</v>
      </c>
      <c r="E620" s="4">
        <v>45496</v>
      </c>
      <c r="F620" s="4">
        <v>45503</v>
      </c>
      <c r="G620" s="6">
        <f t="shared" si="100"/>
        <v>7</v>
      </c>
      <c r="H620" s="6" t="str">
        <f t="shared" si="101"/>
        <v>Valid</v>
      </c>
      <c r="I620" t="s">
        <v>1949</v>
      </c>
      <c r="J620" t="s">
        <v>265</v>
      </c>
      <c r="K620" t="s">
        <v>91</v>
      </c>
      <c r="L620" t="s">
        <v>26</v>
      </c>
      <c r="M620" t="s">
        <v>27</v>
      </c>
      <c r="O620" t="s">
        <v>42</v>
      </c>
      <c r="P620" t="s">
        <v>43</v>
      </c>
      <c r="Q620" t="s">
        <v>1950</v>
      </c>
      <c r="R620" t="s">
        <v>45</v>
      </c>
      <c r="S620">
        <v>9</v>
      </c>
      <c r="T620">
        <v>1870.11</v>
      </c>
      <c r="U620" s="2">
        <f t="shared" si="105"/>
        <v>12623.242499999998</v>
      </c>
      <c r="V620" s="13">
        <v>0.25</v>
      </c>
      <c r="W620" s="2">
        <f t="shared" si="106"/>
        <v>0.25</v>
      </c>
      <c r="X620" s="2" t="str">
        <f t="shared" si="107"/>
        <v>Valid</v>
      </c>
      <c r="Y620" s="2" t="str">
        <f t="shared" si="108"/>
        <v>Clean</v>
      </c>
      <c r="Z620">
        <v>12623.24</v>
      </c>
      <c r="AA620">
        <v>10540.8</v>
      </c>
      <c r="AB620" s="2">
        <f t="shared" si="102"/>
        <v>2082.4424999999992</v>
      </c>
      <c r="AC620">
        <v>2082.44</v>
      </c>
      <c r="AD620" s="11">
        <f t="shared" si="109"/>
        <v>0.16496874019665317</v>
      </c>
      <c r="AE620" t="s">
        <v>156</v>
      </c>
      <c r="AF620" t="s">
        <v>69</v>
      </c>
    </row>
    <row r="621" spans="1:32">
      <c r="A621" t="s">
        <v>1951</v>
      </c>
      <c r="B621" s="2" t="str">
        <f t="shared" si="99"/>
        <v>Unique</v>
      </c>
      <c r="C621" s="2" t="str">
        <f t="shared" si="103"/>
        <v>Nov</v>
      </c>
      <c r="D621" s="2">
        <f t="shared" si="104"/>
        <v>2024</v>
      </c>
      <c r="E621" s="4">
        <v>45618</v>
      </c>
      <c r="F621" s="4">
        <v>45623</v>
      </c>
      <c r="G621" s="6">
        <f t="shared" si="100"/>
        <v>5</v>
      </c>
      <c r="H621" s="6" t="str">
        <f t="shared" si="101"/>
        <v>Valid</v>
      </c>
      <c r="I621" t="s">
        <v>1952</v>
      </c>
      <c r="J621" t="s">
        <v>115</v>
      </c>
      <c r="K621" t="s">
        <v>91</v>
      </c>
      <c r="L621" t="s">
        <v>55</v>
      </c>
      <c r="M621" t="s">
        <v>248</v>
      </c>
      <c r="O621" t="s">
        <v>29</v>
      </c>
      <c r="P621" t="s">
        <v>154</v>
      </c>
      <c r="Q621" t="s">
        <v>1953</v>
      </c>
      <c r="R621" t="s">
        <v>51</v>
      </c>
      <c r="S621">
        <v>1</v>
      </c>
      <c r="T621">
        <v>4251.26</v>
      </c>
      <c r="U621" s="2">
        <f t="shared" si="105"/>
        <v>3401.0080000000003</v>
      </c>
      <c r="V621" s="13">
        <v>0.2</v>
      </c>
      <c r="W621" s="2">
        <f t="shared" si="106"/>
        <v>0.2</v>
      </c>
      <c r="X621" s="2" t="str">
        <f t="shared" si="107"/>
        <v>Valid</v>
      </c>
      <c r="Y621" s="2" t="str">
        <f t="shared" si="108"/>
        <v>Clean</v>
      </c>
      <c r="Z621">
        <v>3401.01</v>
      </c>
      <c r="AA621">
        <v>2917.54</v>
      </c>
      <c r="AB621" s="2">
        <f t="shared" si="102"/>
        <v>483.4680000000003</v>
      </c>
      <c r="AC621">
        <v>483.47</v>
      </c>
      <c r="AD621" s="11">
        <f t="shared" si="109"/>
        <v>0.14215483047682895</v>
      </c>
      <c r="AE621" t="s">
        <v>103</v>
      </c>
      <c r="AF621" t="s">
        <v>104</v>
      </c>
    </row>
    <row r="622" spans="1:32">
      <c r="A622" t="s">
        <v>1954</v>
      </c>
      <c r="B622" s="2" t="str">
        <f t="shared" si="99"/>
        <v>Unique</v>
      </c>
      <c r="C622" s="2" t="str">
        <f t="shared" si="103"/>
        <v>Aug</v>
      </c>
      <c r="D622" s="2">
        <f t="shared" si="104"/>
        <v>2024</v>
      </c>
      <c r="E622" s="4">
        <v>45522</v>
      </c>
      <c r="F622" s="4">
        <v>45525</v>
      </c>
      <c r="G622" s="6">
        <f t="shared" si="100"/>
        <v>3</v>
      </c>
      <c r="H622" s="6" t="str">
        <f t="shared" si="101"/>
        <v>Valid</v>
      </c>
      <c r="I622" t="s">
        <v>1955</v>
      </c>
      <c r="J622" t="s">
        <v>72</v>
      </c>
      <c r="K622" t="s">
        <v>25</v>
      </c>
      <c r="L622" t="s">
        <v>26</v>
      </c>
      <c r="M622" t="s">
        <v>137</v>
      </c>
      <c r="O622" t="s">
        <v>75</v>
      </c>
      <c r="P622" t="s">
        <v>275</v>
      </c>
      <c r="Q622" t="s">
        <v>1956</v>
      </c>
      <c r="R622" t="s">
        <v>60</v>
      </c>
      <c r="S622">
        <v>9</v>
      </c>
      <c r="T622">
        <v>734.34</v>
      </c>
      <c r="U622" s="2">
        <f t="shared" si="105"/>
        <v>6609.06</v>
      </c>
      <c r="V622" s="13">
        <v>0</v>
      </c>
      <c r="W622" s="2">
        <f t="shared" si="106"/>
        <v>0</v>
      </c>
      <c r="X622" s="2" t="str">
        <f t="shared" si="107"/>
        <v>Valid</v>
      </c>
      <c r="Y622" s="2" t="str">
        <f t="shared" si="108"/>
        <v>Clean</v>
      </c>
      <c r="Z622">
        <v>6609.06</v>
      </c>
      <c r="AA622">
        <v>4946.78</v>
      </c>
      <c r="AB622" s="2">
        <f t="shared" si="102"/>
        <v>1662.2800000000007</v>
      </c>
      <c r="AC622">
        <v>1662.28</v>
      </c>
      <c r="AD622" s="11">
        <f t="shared" si="109"/>
        <v>0.2515153440882667</v>
      </c>
      <c r="AE622" t="s">
        <v>33</v>
      </c>
      <c r="AF622" t="s">
        <v>34</v>
      </c>
    </row>
    <row r="623" spans="1:32">
      <c r="A623" t="s">
        <v>1957</v>
      </c>
      <c r="B623" s="2" t="str">
        <f t="shared" si="99"/>
        <v>Unique</v>
      </c>
      <c r="C623" s="2" t="str">
        <f t="shared" si="103"/>
        <v>Nov</v>
      </c>
      <c r="D623" s="2">
        <f t="shared" si="104"/>
        <v>2024</v>
      </c>
      <c r="E623" s="4">
        <v>45624</v>
      </c>
      <c r="F623" s="4">
        <v>45632</v>
      </c>
      <c r="G623" s="6">
        <f t="shared" si="100"/>
        <v>8</v>
      </c>
      <c r="H623" s="6" t="str">
        <f t="shared" si="101"/>
        <v>Valid</v>
      </c>
      <c r="I623" t="s">
        <v>1958</v>
      </c>
      <c r="J623" t="s">
        <v>90</v>
      </c>
      <c r="K623" t="s">
        <v>25</v>
      </c>
      <c r="L623" t="s">
        <v>64</v>
      </c>
      <c r="M623" t="s">
        <v>65</v>
      </c>
      <c r="O623" t="s">
        <v>42</v>
      </c>
      <c r="P623" t="s">
        <v>67</v>
      </c>
      <c r="Q623" t="s">
        <v>1959</v>
      </c>
      <c r="R623" t="s">
        <v>45</v>
      </c>
      <c r="S623">
        <v>5</v>
      </c>
      <c r="T623">
        <v>1092.8399999999999</v>
      </c>
      <c r="U623" s="2">
        <f t="shared" si="105"/>
        <v>5464.2</v>
      </c>
      <c r="V623" s="13">
        <v>0</v>
      </c>
      <c r="W623" s="2">
        <f t="shared" si="106"/>
        <v>0</v>
      </c>
      <c r="X623" s="2" t="str">
        <f t="shared" si="107"/>
        <v>Valid</v>
      </c>
      <c r="Y623" s="2" t="str">
        <f t="shared" si="108"/>
        <v>Clean</v>
      </c>
      <c r="Z623">
        <v>5464.2</v>
      </c>
      <c r="AA623">
        <v>3318.09</v>
      </c>
      <c r="AB623" s="2">
        <f t="shared" si="102"/>
        <v>2146.1099999999997</v>
      </c>
      <c r="AC623">
        <v>2146.11</v>
      </c>
      <c r="AD623" s="11">
        <f t="shared" si="109"/>
        <v>0.39275831777753378</v>
      </c>
      <c r="AE623" t="s">
        <v>33</v>
      </c>
      <c r="AF623" t="s">
        <v>34</v>
      </c>
    </row>
    <row r="624" spans="1:32">
      <c r="A624" t="s">
        <v>1960</v>
      </c>
      <c r="B624" s="2" t="str">
        <f t="shared" si="99"/>
        <v>Unique</v>
      </c>
      <c r="C624" s="2" t="str">
        <f t="shared" si="103"/>
        <v>Jan</v>
      </c>
      <c r="D624" s="2">
        <f t="shared" si="104"/>
        <v>2025</v>
      </c>
      <c r="E624" s="4">
        <v>45686</v>
      </c>
      <c r="F624" s="4">
        <v>45694</v>
      </c>
      <c r="G624" s="6">
        <f t="shared" si="100"/>
        <v>8</v>
      </c>
      <c r="H624" s="6" t="str">
        <f t="shared" si="101"/>
        <v>Valid</v>
      </c>
      <c r="I624" t="s">
        <v>1961</v>
      </c>
      <c r="J624" t="s">
        <v>72</v>
      </c>
      <c r="K624" t="s">
        <v>25</v>
      </c>
      <c r="L624" t="s">
        <v>39</v>
      </c>
      <c r="M624" t="s">
        <v>146</v>
      </c>
      <c r="O624" t="s">
        <v>29</v>
      </c>
      <c r="P624" t="s">
        <v>125</v>
      </c>
      <c r="Q624" t="s">
        <v>1962</v>
      </c>
      <c r="R624" t="s">
        <v>60</v>
      </c>
      <c r="S624">
        <v>4</v>
      </c>
      <c r="T624">
        <v>2759.01</v>
      </c>
      <c r="U624" s="2">
        <f t="shared" si="105"/>
        <v>10484.238000000001</v>
      </c>
      <c r="V624" s="13">
        <v>0.05</v>
      </c>
      <c r="W624" s="2">
        <f t="shared" si="106"/>
        <v>0.05</v>
      </c>
      <c r="X624" s="2" t="str">
        <f t="shared" si="107"/>
        <v>Valid</v>
      </c>
      <c r="Y624" s="2" t="str">
        <f t="shared" si="108"/>
        <v>Clean</v>
      </c>
      <c r="Z624">
        <v>10484.24</v>
      </c>
      <c r="AA624">
        <v>6680.15</v>
      </c>
      <c r="AB624" s="2">
        <f t="shared" si="102"/>
        <v>3804.0880000000016</v>
      </c>
      <c r="AC624">
        <v>3804.09</v>
      </c>
      <c r="AD624" s="11">
        <f t="shared" si="109"/>
        <v>0.3628388896095473</v>
      </c>
      <c r="AE624" t="s">
        <v>33</v>
      </c>
      <c r="AF624" t="s">
        <v>34</v>
      </c>
    </row>
    <row r="625" spans="1:32">
      <c r="A625" t="s">
        <v>1963</v>
      </c>
      <c r="B625" s="2" t="str">
        <f t="shared" si="99"/>
        <v>Unique</v>
      </c>
      <c r="C625" s="2" t="str">
        <f t="shared" si="103"/>
        <v>Aug</v>
      </c>
      <c r="D625" s="2">
        <f t="shared" si="104"/>
        <v>2024</v>
      </c>
      <c r="E625" s="4">
        <v>45512</v>
      </c>
      <c r="F625" s="4">
        <v>45518</v>
      </c>
      <c r="G625" s="6">
        <f t="shared" si="100"/>
        <v>6</v>
      </c>
      <c r="H625" s="6" t="str">
        <f t="shared" si="101"/>
        <v>Valid</v>
      </c>
      <c r="I625" t="s">
        <v>1964</v>
      </c>
      <c r="J625" t="s">
        <v>72</v>
      </c>
      <c r="K625" t="s">
        <v>96</v>
      </c>
      <c r="L625" t="s">
        <v>26</v>
      </c>
      <c r="M625" t="s">
        <v>123</v>
      </c>
      <c r="O625" t="s">
        <v>29</v>
      </c>
      <c r="P625" t="s">
        <v>125</v>
      </c>
      <c r="Q625" t="s">
        <v>1965</v>
      </c>
      <c r="R625" t="s">
        <v>32</v>
      </c>
      <c r="S625">
        <v>8</v>
      </c>
      <c r="T625">
        <v>1359.19</v>
      </c>
      <c r="U625" s="2">
        <f t="shared" si="105"/>
        <v>10329.843999999999</v>
      </c>
      <c r="V625" s="13">
        <v>0.05</v>
      </c>
      <c r="W625" s="2">
        <f t="shared" si="106"/>
        <v>0.05</v>
      </c>
      <c r="X625" s="2" t="str">
        <f t="shared" si="107"/>
        <v>Valid</v>
      </c>
      <c r="Y625" s="2" t="str">
        <f t="shared" si="108"/>
        <v>Clean</v>
      </c>
      <c r="Z625">
        <v>10329.84</v>
      </c>
      <c r="AA625">
        <v>7512.22</v>
      </c>
      <c r="AB625" s="2">
        <f t="shared" si="102"/>
        <v>2817.6239999999989</v>
      </c>
      <c r="AC625">
        <v>2817.62</v>
      </c>
      <c r="AD625" s="11">
        <f t="shared" si="109"/>
        <v>0.27276511543257204</v>
      </c>
      <c r="AE625" t="s">
        <v>33</v>
      </c>
      <c r="AF625" t="s">
        <v>34</v>
      </c>
    </row>
    <row r="626" spans="1:32">
      <c r="A626" t="s">
        <v>1966</v>
      </c>
      <c r="B626" s="2" t="str">
        <f t="shared" si="99"/>
        <v>Unique</v>
      </c>
      <c r="C626" s="2" t="str">
        <f t="shared" si="103"/>
        <v>Jan</v>
      </c>
      <c r="D626" s="2">
        <f t="shared" si="104"/>
        <v>2024</v>
      </c>
      <c r="E626" s="4">
        <v>45321</v>
      </c>
      <c r="F626" s="4">
        <v>45323</v>
      </c>
      <c r="G626" s="6">
        <f t="shared" si="100"/>
        <v>2</v>
      </c>
      <c r="H626" s="6" t="str">
        <f t="shared" si="101"/>
        <v>Valid</v>
      </c>
      <c r="I626" t="s">
        <v>1967</v>
      </c>
      <c r="J626" t="s">
        <v>80</v>
      </c>
      <c r="K626" t="s">
        <v>96</v>
      </c>
      <c r="L626" t="s">
        <v>39</v>
      </c>
      <c r="M626" t="s">
        <v>167</v>
      </c>
      <c r="O626" t="s">
        <v>42</v>
      </c>
      <c r="P626" t="s">
        <v>67</v>
      </c>
      <c r="Q626" t="s">
        <v>1968</v>
      </c>
      <c r="R626" t="s">
        <v>51</v>
      </c>
      <c r="S626">
        <v>2</v>
      </c>
      <c r="T626">
        <v>4451.03</v>
      </c>
      <c r="U626" s="2">
        <f t="shared" si="105"/>
        <v>8456.9569999999985</v>
      </c>
      <c r="V626" s="13">
        <v>0.05</v>
      </c>
      <c r="W626" s="2">
        <f t="shared" si="106"/>
        <v>0.05</v>
      </c>
      <c r="X626" s="2" t="str">
        <f t="shared" si="107"/>
        <v>Valid</v>
      </c>
      <c r="Y626" s="2" t="str">
        <f t="shared" si="108"/>
        <v>Clean</v>
      </c>
      <c r="Z626">
        <v>8456.9599999999991</v>
      </c>
      <c r="AA626">
        <v>5462.85</v>
      </c>
      <c r="AB626" s="2">
        <f t="shared" si="102"/>
        <v>2994.1069999999982</v>
      </c>
      <c r="AC626">
        <v>2994.11</v>
      </c>
      <c r="AD626" s="11">
        <f t="shared" si="109"/>
        <v>0.35404093196609659</v>
      </c>
      <c r="AE626" t="s">
        <v>33</v>
      </c>
      <c r="AF626" t="s">
        <v>34</v>
      </c>
    </row>
    <row r="627" spans="1:32">
      <c r="A627" t="s">
        <v>1969</v>
      </c>
      <c r="B627" s="2" t="str">
        <f t="shared" si="99"/>
        <v>Unique</v>
      </c>
      <c r="C627" s="2" t="str">
        <f t="shared" si="103"/>
        <v>Dec</v>
      </c>
      <c r="D627" s="2">
        <f t="shared" si="104"/>
        <v>2024</v>
      </c>
      <c r="E627" s="4">
        <v>45641</v>
      </c>
      <c r="F627" s="4">
        <v>45647</v>
      </c>
      <c r="G627" s="6">
        <f t="shared" si="100"/>
        <v>6</v>
      </c>
      <c r="H627" s="6" t="str">
        <f t="shared" si="101"/>
        <v>Valid</v>
      </c>
      <c r="I627" t="s">
        <v>1970</v>
      </c>
      <c r="J627" t="s">
        <v>163</v>
      </c>
      <c r="K627" t="s">
        <v>91</v>
      </c>
      <c r="L627" t="s">
        <v>64</v>
      </c>
      <c r="M627" t="s">
        <v>27</v>
      </c>
      <c r="O627" t="s">
        <v>42</v>
      </c>
      <c r="P627" t="s">
        <v>67</v>
      </c>
      <c r="Q627" t="s">
        <v>1971</v>
      </c>
      <c r="R627" t="s">
        <v>45</v>
      </c>
      <c r="S627">
        <v>3</v>
      </c>
      <c r="T627">
        <v>527.66999999999996</v>
      </c>
      <c r="U627" s="2">
        <f t="shared" si="105"/>
        <v>1266.4079999999999</v>
      </c>
      <c r="V627" s="13">
        <v>0.2</v>
      </c>
      <c r="W627" s="2">
        <f t="shared" si="106"/>
        <v>0.2</v>
      </c>
      <c r="X627" s="2" t="str">
        <f t="shared" si="107"/>
        <v>Valid</v>
      </c>
      <c r="Y627" s="2" t="str">
        <f t="shared" si="108"/>
        <v>Clean</v>
      </c>
      <c r="Z627">
        <v>1266.4100000000001</v>
      </c>
      <c r="AA627">
        <v>983.92</v>
      </c>
      <c r="AB627" s="2">
        <f t="shared" si="102"/>
        <v>282.48799999999994</v>
      </c>
      <c r="AC627">
        <v>282.49</v>
      </c>
      <c r="AD627" s="11">
        <f t="shared" si="109"/>
        <v>0.22306362078631722</v>
      </c>
      <c r="AE627" t="s">
        <v>33</v>
      </c>
      <c r="AF627" t="s">
        <v>34</v>
      </c>
    </row>
    <row r="628" spans="1:32">
      <c r="A628" t="s">
        <v>1972</v>
      </c>
      <c r="B628" s="2" t="str">
        <f t="shared" si="99"/>
        <v>Unique</v>
      </c>
      <c r="C628" s="2" t="str">
        <f t="shared" si="103"/>
        <v>Jun</v>
      </c>
      <c r="D628" s="2">
        <f t="shared" si="104"/>
        <v>2025</v>
      </c>
      <c r="E628" s="4">
        <v>45812</v>
      </c>
      <c r="F628" s="4">
        <v>45815</v>
      </c>
      <c r="G628" s="6">
        <f t="shared" si="100"/>
        <v>3</v>
      </c>
      <c r="H628" s="6" t="str">
        <f t="shared" si="101"/>
        <v>Valid</v>
      </c>
      <c r="I628" t="s">
        <v>1973</v>
      </c>
      <c r="J628" t="s">
        <v>133</v>
      </c>
      <c r="K628" t="s">
        <v>96</v>
      </c>
      <c r="L628" t="s">
        <v>39</v>
      </c>
      <c r="M628" t="s">
        <v>167</v>
      </c>
      <c r="O628" t="s">
        <v>75</v>
      </c>
      <c r="P628" t="s">
        <v>275</v>
      </c>
      <c r="Q628" t="s">
        <v>1974</v>
      </c>
      <c r="R628" t="s">
        <v>60</v>
      </c>
      <c r="S628">
        <v>8</v>
      </c>
      <c r="T628">
        <v>1434.13</v>
      </c>
      <c r="U628" s="2">
        <f t="shared" si="105"/>
        <v>11473.04</v>
      </c>
      <c r="V628" s="13">
        <v>0</v>
      </c>
      <c r="W628" s="2">
        <f t="shared" si="106"/>
        <v>0</v>
      </c>
      <c r="X628" s="2" t="str">
        <f t="shared" si="107"/>
        <v>Valid</v>
      </c>
      <c r="Y628" s="2" t="str">
        <f t="shared" si="108"/>
        <v>Clean</v>
      </c>
      <c r="Z628">
        <v>11473.04</v>
      </c>
      <c r="AA628">
        <v>8931.33</v>
      </c>
      <c r="AB628" s="2">
        <f t="shared" si="102"/>
        <v>2541.7100000000009</v>
      </c>
      <c r="AC628">
        <v>2541.71</v>
      </c>
      <c r="AD628" s="11">
        <f t="shared" si="109"/>
        <v>0.22153762211236078</v>
      </c>
      <c r="AE628" t="s">
        <v>112</v>
      </c>
      <c r="AF628" t="s">
        <v>104</v>
      </c>
    </row>
    <row r="629" spans="1:32">
      <c r="A629" t="s">
        <v>1975</v>
      </c>
      <c r="B629" s="2" t="str">
        <f t="shared" si="99"/>
        <v>Unique</v>
      </c>
      <c r="C629" s="2" t="str">
        <f t="shared" si="103"/>
        <v>Feb</v>
      </c>
      <c r="D629" s="2">
        <f t="shared" si="104"/>
        <v>2025</v>
      </c>
      <c r="E629" s="4">
        <v>45701</v>
      </c>
      <c r="F629" s="4">
        <v>45709</v>
      </c>
      <c r="G629" s="6">
        <f t="shared" si="100"/>
        <v>8</v>
      </c>
      <c r="H629" s="6" t="str">
        <f t="shared" si="101"/>
        <v>Valid</v>
      </c>
      <c r="I629" t="s">
        <v>1976</v>
      </c>
      <c r="J629" t="s">
        <v>24</v>
      </c>
      <c r="K629" t="s">
        <v>38</v>
      </c>
      <c r="L629" t="s">
        <v>55</v>
      </c>
      <c r="M629" t="s">
        <v>186</v>
      </c>
      <c r="O629" t="s">
        <v>75</v>
      </c>
      <c r="P629" t="s">
        <v>172</v>
      </c>
      <c r="Q629" t="s">
        <v>1977</v>
      </c>
      <c r="R629" t="s">
        <v>32</v>
      </c>
      <c r="S629">
        <v>2</v>
      </c>
      <c r="T629">
        <v>2360.02</v>
      </c>
      <c r="U629" s="2">
        <f t="shared" si="105"/>
        <v>4012.0339999999997</v>
      </c>
      <c r="V629" s="13">
        <v>0.15</v>
      </c>
      <c r="W629" s="2">
        <f t="shared" si="106"/>
        <v>0.15</v>
      </c>
      <c r="X629" s="2" t="str">
        <f t="shared" si="107"/>
        <v>Valid</v>
      </c>
      <c r="Y629" s="2" t="str">
        <f t="shared" si="108"/>
        <v>Clean</v>
      </c>
      <c r="Z629">
        <v>4012.03</v>
      </c>
      <c r="AA629">
        <v>3142.92</v>
      </c>
      <c r="AB629" s="2">
        <f t="shared" si="102"/>
        <v>869.11399999999958</v>
      </c>
      <c r="AC629">
        <v>869.11</v>
      </c>
      <c r="AD629" s="11">
        <f t="shared" si="109"/>
        <v>0.21662599731308091</v>
      </c>
      <c r="AE629" t="s">
        <v>112</v>
      </c>
      <c r="AF629" t="s">
        <v>69</v>
      </c>
    </row>
    <row r="630" spans="1:32">
      <c r="A630" t="s">
        <v>1978</v>
      </c>
      <c r="B630" s="2" t="str">
        <f t="shared" si="99"/>
        <v>Unique</v>
      </c>
      <c r="C630" s="2" t="str">
        <f t="shared" si="103"/>
        <v>Oct</v>
      </c>
      <c r="D630" s="2">
        <f t="shared" si="104"/>
        <v>2025</v>
      </c>
      <c r="E630" s="4">
        <v>45935</v>
      </c>
      <c r="F630" s="4">
        <v>45942</v>
      </c>
      <c r="G630" s="6">
        <f t="shared" si="100"/>
        <v>7</v>
      </c>
      <c r="H630" s="6" t="str">
        <f t="shared" si="101"/>
        <v>Valid</v>
      </c>
      <c r="I630" t="s">
        <v>1979</v>
      </c>
      <c r="J630" t="s">
        <v>63</v>
      </c>
      <c r="K630" t="s">
        <v>96</v>
      </c>
      <c r="L630" t="s">
        <v>39</v>
      </c>
      <c r="M630" t="s">
        <v>229</v>
      </c>
      <c r="O630" t="s">
        <v>75</v>
      </c>
      <c r="P630" t="s">
        <v>76</v>
      </c>
      <c r="Q630" t="s">
        <v>1980</v>
      </c>
      <c r="R630" t="s">
        <v>45</v>
      </c>
      <c r="S630">
        <v>7</v>
      </c>
      <c r="T630">
        <v>806.67</v>
      </c>
      <c r="U630" s="2">
        <f t="shared" si="105"/>
        <v>5364.3554999999997</v>
      </c>
      <c r="V630" s="13">
        <v>0.05</v>
      </c>
      <c r="W630" s="2">
        <f t="shared" si="106"/>
        <v>0.05</v>
      </c>
      <c r="X630" s="2" t="str">
        <f t="shared" si="107"/>
        <v>Valid</v>
      </c>
      <c r="Y630" s="2" t="str">
        <f t="shared" si="108"/>
        <v>Clean</v>
      </c>
      <c r="Z630">
        <v>5364.36</v>
      </c>
      <c r="AA630">
        <v>4391.29</v>
      </c>
      <c r="AB630" s="2">
        <f t="shared" si="102"/>
        <v>973.0654999999997</v>
      </c>
      <c r="AC630">
        <v>973.07</v>
      </c>
      <c r="AD630" s="11">
        <f t="shared" si="109"/>
        <v>0.18139535750769897</v>
      </c>
      <c r="AE630" t="s">
        <v>33</v>
      </c>
      <c r="AF630" t="s">
        <v>34</v>
      </c>
    </row>
    <row r="631" spans="1:32">
      <c r="A631" t="s">
        <v>1981</v>
      </c>
      <c r="B631" s="2" t="str">
        <f t="shared" si="99"/>
        <v>Unique</v>
      </c>
      <c r="C631" s="2" t="str">
        <f t="shared" si="103"/>
        <v>Sep</v>
      </c>
      <c r="D631" s="2">
        <f t="shared" si="104"/>
        <v>2025</v>
      </c>
      <c r="E631" s="4">
        <v>45910</v>
      </c>
      <c r="F631" s="4">
        <v>45914</v>
      </c>
      <c r="G631" s="6">
        <f t="shared" si="100"/>
        <v>4</v>
      </c>
      <c r="H631" s="6" t="str">
        <f t="shared" si="101"/>
        <v>Valid</v>
      </c>
      <c r="I631" t="s">
        <v>1982</v>
      </c>
      <c r="J631" t="s">
        <v>54</v>
      </c>
      <c r="K631" t="s">
        <v>96</v>
      </c>
      <c r="L631" t="s">
        <v>64</v>
      </c>
      <c r="M631" t="s">
        <v>181</v>
      </c>
      <c r="O631" t="s">
        <v>42</v>
      </c>
      <c r="P631" t="s">
        <v>43</v>
      </c>
      <c r="Q631" t="s">
        <v>1983</v>
      </c>
      <c r="R631" t="s">
        <v>45</v>
      </c>
      <c r="S631">
        <v>3</v>
      </c>
      <c r="T631">
        <v>4198.46</v>
      </c>
      <c r="U631" s="2">
        <f t="shared" si="105"/>
        <v>10706.073</v>
      </c>
      <c r="V631" s="13">
        <v>0.15</v>
      </c>
      <c r="W631" s="2">
        <f t="shared" si="106"/>
        <v>0.15</v>
      </c>
      <c r="X631" s="2" t="str">
        <f t="shared" si="107"/>
        <v>Valid</v>
      </c>
      <c r="Y631" s="2" t="str">
        <f t="shared" si="108"/>
        <v>Clean</v>
      </c>
      <c r="Z631">
        <v>10706.07</v>
      </c>
      <c r="AA631">
        <v>5927.1</v>
      </c>
      <c r="AB631" s="2">
        <f t="shared" si="102"/>
        <v>4778.973</v>
      </c>
      <c r="AC631">
        <v>4778.97</v>
      </c>
      <c r="AD631" s="11">
        <f t="shared" si="109"/>
        <v>0.44637948378816883</v>
      </c>
      <c r="AE631" t="s">
        <v>33</v>
      </c>
      <c r="AF631" t="s">
        <v>34</v>
      </c>
    </row>
    <row r="632" spans="1:32">
      <c r="A632" t="s">
        <v>1984</v>
      </c>
      <c r="B632" s="2" t="str">
        <f t="shared" si="99"/>
        <v>Unique</v>
      </c>
      <c r="C632" s="2" t="str">
        <f t="shared" si="103"/>
        <v>Apr</v>
      </c>
      <c r="D632" s="2">
        <f t="shared" si="104"/>
        <v>2024</v>
      </c>
      <c r="E632" s="4">
        <v>45391</v>
      </c>
      <c r="F632" s="4">
        <v>45392</v>
      </c>
      <c r="G632" s="6">
        <f t="shared" si="100"/>
        <v>1</v>
      </c>
      <c r="H632" s="6" t="str">
        <f t="shared" si="101"/>
        <v>Valid</v>
      </c>
      <c r="I632" t="s">
        <v>1985</v>
      </c>
      <c r="J632" t="s">
        <v>115</v>
      </c>
      <c r="K632" t="s">
        <v>91</v>
      </c>
      <c r="L632" t="s">
        <v>39</v>
      </c>
      <c r="M632" t="s">
        <v>167</v>
      </c>
      <c r="O632" t="s">
        <v>29</v>
      </c>
      <c r="P632" t="s">
        <v>30</v>
      </c>
      <c r="Q632" t="s">
        <v>1986</v>
      </c>
      <c r="R632" t="s">
        <v>60</v>
      </c>
      <c r="S632">
        <v>4</v>
      </c>
      <c r="T632">
        <v>3047.05</v>
      </c>
      <c r="U632" s="2">
        <f t="shared" si="105"/>
        <v>10969.380000000001</v>
      </c>
      <c r="V632" s="13">
        <v>0.1</v>
      </c>
      <c r="W632" s="2">
        <f t="shared" si="106"/>
        <v>0.1</v>
      </c>
      <c r="X632" s="2" t="str">
        <f t="shared" si="107"/>
        <v>Valid</v>
      </c>
      <c r="Y632" s="2" t="str">
        <f t="shared" si="108"/>
        <v>Clean</v>
      </c>
      <c r="Z632">
        <v>10969.38</v>
      </c>
      <c r="AA632">
        <v>9254.4599999999991</v>
      </c>
      <c r="AB632" s="2">
        <f t="shared" si="102"/>
        <v>1714.9200000000019</v>
      </c>
      <c r="AC632">
        <v>1714.92</v>
      </c>
      <c r="AD632" s="11">
        <f t="shared" si="109"/>
        <v>0.15633700354988159</v>
      </c>
      <c r="AE632" t="s">
        <v>33</v>
      </c>
      <c r="AF632" t="s">
        <v>34</v>
      </c>
    </row>
    <row r="633" spans="1:32">
      <c r="A633" t="s">
        <v>1987</v>
      </c>
      <c r="B633" s="2" t="str">
        <f t="shared" si="99"/>
        <v>Unique</v>
      </c>
      <c r="C633" s="2" t="str">
        <f t="shared" si="103"/>
        <v>Apr</v>
      </c>
      <c r="D633" s="2">
        <f t="shared" si="104"/>
        <v>2024</v>
      </c>
      <c r="E633" s="4">
        <v>45392</v>
      </c>
      <c r="F633" s="4">
        <v>45397</v>
      </c>
      <c r="G633" s="6">
        <f t="shared" si="100"/>
        <v>5</v>
      </c>
      <c r="H633" s="6" t="str">
        <f t="shared" si="101"/>
        <v>Valid</v>
      </c>
      <c r="I633" t="s">
        <v>1988</v>
      </c>
      <c r="J633" t="s">
        <v>129</v>
      </c>
      <c r="K633" t="s">
        <v>96</v>
      </c>
      <c r="L633" t="s">
        <v>64</v>
      </c>
      <c r="M633" t="s">
        <v>27</v>
      </c>
      <c r="O633" t="s">
        <v>42</v>
      </c>
      <c r="P633" t="s">
        <v>67</v>
      </c>
      <c r="Q633" t="s">
        <v>1989</v>
      </c>
      <c r="R633" t="s">
        <v>60</v>
      </c>
      <c r="S633">
        <v>8</v>
      </c>
      <c r="T633">
        <v>4362.4799999999996</v>
      </c>
      <c r="U633" s="2">
        <f t="shared" si="105"/>
        <v>31409.855999999996</v>
      </c>
      <c r="V633" s="13">
        <v>0.1</v>
      </c>
      <c r="W633" s="2">
        <f t="shared" si="106"/>
        <v>0.1</v>
      </c>
      <c r="X633" s="2" t="str">
        <f t="shared" si="107"/>
        <v>Valid</v>
      </c>
      <c r="Y633" s="2" t="str">
        <f t="shared" si="108"/>
        <v>Clean</v>
      </c>
      <c r="Z633">
        <v>31409.86</v>
      </c>
      <c r="AA633">
        <v>22523.54</v>
      </c>
      <c r="AB633" s="2">
        <f t="shared" si="102"/>
        <v>8886.3159999999953</v>
      </c>
      <c r="AC633">
        <v>8886.32</v>
      </c>
      <c r="AD633" s="11">
        <f t="shared" si="109"/>
        <v>0.28291498274745575</v>
      </c>
      <c r="AE633" t="s">
        <v>33</v>
      </c>
      <c r="AF633" t="s">
        <v>34</v>
      </c>
    </row>
    <row r="634" spans="1:32">
      <c r="A634" t="s">
        <v>1990</v>
      </c>
      <c r="B634" s="2" t="str">
        <f t="shared" si="99"/>
        <v>Unique</v>
      </c>
      <c r="C634" s="2" t="str">
        <f t="shared" si="103"/>
        <v>Apr</v>
      </c>
      <c r="D634" s="2">
        <f t="shared" si="104"/>
        <v>2025</v>
      </c>
      <c r="E634" s="4">
        <v>45762</v>
      </c>
      <c r="F634" s="4">
        <v>45763</v>
      </c>
      <c r="G634" s="6">
        <f t="shared" si="100"/>
        <v>1</v>
      </c>
      <c r="H634" s="6" t="str">
        <f t="shared" si="101"/>
        <v>Valid</v>
      </c>
      <c r="I634" t="s">
        <v>1991</v>
      </c>
      <c r="J634" t="s">
        <v>133</v>
      </c>
      <c r="K634" t="s">
        <v>38</v>
      </c>
      <c r="L634" t="s">
        <v>55</v>
      </c>
      <c r="M634" t="s">
        <v>176</v>
      </c>
      <c r="O634" t="s">
        <v>42</v>
      </c>
      <c r="P634" t="s">
        <v>58</v>
      </c>
      <c r="Q634" t="s">
        <v>1992</v>
      </c>
      <c r="R634" t="s">
        <v>51</v>
      </c>
      <c r="S634">
        <v>5</v>
      </c>
      <c r="T634">
        <v>2850.53</v>
      </c>
      <c r="U634" s="2">
        <f t="shared" si="105"/>
        <v>14252.650000000001</v>
      </c>
      <c r="V634" s="13">
        <v>0</v>
      </c>
      <c r="W634" s="2">
        <f t="shared" si="106"/>
        <v>0</v>
      </c>
      <c r="X634" s="2" t="str">
        <f t="shared" si="107"/>
        <v>Valid</v>
      </c>
      <c r="Y634" s="2" t="str">
        <f t="shared" si="108"/>
        <v>Clean</v>
      </c>
      <c r="Z634">
        <v>14252.65</v>
      </c>
      <c r="AA634">
        <v>11558.31</v>
      </c>
      <c r="AB634" s="2">
        <f t="shared" si="102"/>
        <v>2694.340000000002</v>
      </c>
      <c r="AC634">
        <v>2694.34</v>
      </c>
      <c r="AD634" s="11">
        <f t="shared" si="109"/>
        <v>0.18904133617257143</v>
      </c>
      <c r="AE634" t="s">
        <v>33</v>
      </c>
      <c r="AF634" t="s">
        <v>34</v>
      </c>
    </row>
    <row r="635" spans="1:32">
      <c r="A635" t="s">
        <v>1993</v>
      </c>
      <c r="B635" s="2" t="str">
        <f t="shared" si="99"/>
        <v>Unique</v>
      </c>
      <c r="C635" s="2" t="str">
        <f t="shared" si="103"/>
        <v>Apr</v>
      </c>
      <c r="D635" s="2">
        <f t="shared" si="104"/>
        <v>2025</v>
      </c>
      <c r="E635" s="4">
        <v>45765</v>
      </c>
      <c r="F635" s="4">
        <v>45767</v>
      </c>
      <c r="G635" s="6">
        <f t="shared" si="100"/>
        <v>2</v>
      </c>
      <c r="H635" s="6" t="str">
        <f t="shared" si="101"/>
        <v>Valid</v>
      </c>
      <c r="I635" t="s">
        <v>1994</v>
      </c>
      <c r="J635" t="s">
        <v>129</v>
      </c>
      <c r="K635" t="s">
        <v>38</v>
      </c>
      <c r="L635" t="s">
        <v>55</v>
      </c>
      <c r="M635" t="s">
        <v>248</v>
      </c>
      <c r="O635" t="s">
        <v>75</v>
      </c>
      <c r="P635" t="s">
        <v>76</v>
      </c>
      <c r="Q635" t="s">
        <v>1995</v>
      </c>
      <c r="R635" t="s">
        <v>32</v>
      </c>
      <c r="S635">
        <v>1</v>
      </c>
      <c r="T635">
        <v>1626.08</v>
      </c>
      <c r="U635" s="2">
        <f t="shared" si="105"/>
        <v>1382.1679999999999</v>
      </c>
      <c r="V635" s="13">
        <v>0.15</v>
      </c>
      <c r="W635" s="2">
        <f t="shared" si="106"/>
        <v>0.15</v>
      </c>
      <c r="X635" s="2" t="str">
        <f t="shared" si="107"/>
        <v>Valid</v>
      </c>
      <c r="Y635" s="2" t="str">
        <f t="shared" si="108"/>
        <v>Clean</v>
      </c>
      <c r="Z635">
        <v>1382.17</v>
      </c>
      <c r="AA635">
        <v>810.03</v>
      </c>
      <c r="AB635" s="2">
        <f t="shared" si="102"/>
        <v>572.13799999999992</v>
      </c>
      <c r="AC635">
        <v>572.14</v>
      </c>
      <c r="AD635" s="11">
        <f t="shared" si="109"/>
        <v>0.41394329206971642</v>
      </c>
      <c r="AE635" t="s">
        <v>33</v>
      </c>
      <c r="AF635" t="s">
        <v>34</v>
      </c>
    </row>
    <row r="636" spans="1:32">
      <c r="A636" t="s">
        <v>1996</v>
      </c>
      <c r="B636" s="2" t="str">
        <f t="shared" si="99"/>
        <v>Unique</v>
      </c>
      <c r="C636" s="2" t="str">
        <f t="shared" si="103"/>
        <v>Jan</v>
      </c>
      <c r="D636" s="2">
        <f t="shared" si="104"/>
        <v>2025</v>
      </c>
      <c r="E636" s="4">
        <v>45668</v>
      </c>
      <c r="F636" s="4">
        <v>45669</v>
      </c>
      <c r="G636" s="6">
        <f t="shared" si="100"/>
        <v>1</v>
      </c>
      <c r="H636" s="6" t="str">
        <f t="shared" si="101"/>
        <v>Valid</v>
      </c>
      <c r="I636" t="s">
        <v>1997</v>
      </c>
      <c r="J636" t="s">
        <v>90</v>
      </c>
      <c r="K636" t="s">
        <v>25</v>
      </c>
      <c r="L636" t="s">
        <v>55</v>
      </c>
      <c r="M636" t="s">
        <v>56</v>
      </c>
      <c r="O636" t="s">
        <v>42</v>
      </c>
      <c r="P636" t="s">
        <v>67</v>
      </c>
      <c r="Q636" t="s">
        <v>1998</v>
      </c>
      <c r="R636" t="s">
        <v>32</v>
      </c>
      <c r="S636">
        <v>4</v>
      </c>
      <c r="T636">
        <v>2427.15</v>
      </c>
      <c r="U636" s="2">
        <f t="shared" si="105"/>
        <v>9223.17</v>
      </c>
      <c r="V636" s="13">
        <v>0.05</v>
      </c>
      <c r="W636" s="2">
        <f t="shared" si="106"/>
        <v>0.05</v>
      </c>
      <c r="X636" s="2" t="str">
        <f t="shared" si="107"/>
        <v>Valid</v>
      </c>
      <c r="Y636" s="2" t="str">
        <f t="shared" si="108"/>
        <v>Clean</v>
      </c>
      <c r="Z636">
        <v>9223.17</v>
      </c>
      <c r="AA636">
        <v>5103.7</v>
      </c>
      <c r="AB636" s="2">
        <f t="shared" si="102"/>
        <v>4119.47</v>
      </c>
      <c r="AC636">
        <v>4119.47</v>
      </c>
      <c r="AD636" s="11">
        <f t="shared" si="109"/>
        <v>0.44664361602355807</v>
      </c>
      <c r="AE636" t="s">
        <v>33</v>
      </c>
      <c r="AF636" t="s">
        <v>34</v>
      </c>
    </row>
    <row r="637" spans="1:32">
      <c r="A637" t="s">
        <v>1999</v>
      </c>
      <c r="B637" s="2" t="str">
        <f t="shared" si="99"/>
        <v>Unique</v>
      </c>
      <c r="C637" s="2" t="str">
        <f t="shared" si="103"/>
        <v>May</v>
      </c>
      <c r="D637" s="2">
        <f t="shared" si="104"/>
        <v>2024</v>
      </c>
      <c r="E637" s="4">
        <v>45432</v>
      </c>
      <c r="F637" s="4">
        <v>45437</v>
      </c>
      <c r="G637" s="6">
        <f t="shared" si="100"/>
        <v>5</v>
      </c>
      <c r="H637" s="6" t="str">
        <f t="shared" si="101"/>
        <v>Valid</v>
      </c>
      <c r="I637" t="s">
        <v>2000</v>
      </c>
      <c r="J637" t="s">
        <v>37</v>
      </c>
      <c r="K637" t="s">
        <v>91</v>
      </c>
      <c r="L637" t="s">
        <v>55</v>
      </c>
      <c r="M637" t="s">
        <v>85</v>
      </c>
      <c r="O637" t="s">
        <v>42</v>
      </c>
      <c r="P637" t="s">
        <v>67</v>
      </c>
      <c r="Q637" t="s">
        <v>2001</v>
      </c>
      <c r="R637" t="s">
        <v>45</v>
      </c>
      <c r="S637">
        <v>7</v>
      </c>
      <c r="T637">
        <v>3122.85</v>
      </c>
      <c r="U637" s="2">
        <f t="shared" si="105"/>
        <v>16394.962500000001</v>
      </c>
      <c r="V637" s="13">
        <v>0.25</v>
      </c>
      <c r="W637" s="2">
        <f t="shared" si="106"/>
        <v>0.25</v>
      </c>
      <c r="X637" s="2" t="str">
        <f t="shared" si="107"/>
        <v>Valid</v>
      </c>
      <c r="Y637" s="2" t="str">
        <f t="shared" si="108"/>
        <v>Clean</v>
      </c>
      <c r="Z637">
        <v>16394.96</v>
      </c>
      <c r="AA637">
        <v>10404.17</v>
      </c>
      <c r="AB637" s="2">
        <f t="shared" si="102"/>
        <v>5990.7925000000014</v>
      </c>
      <c r="AC637">
        <v>5990.79</v>
      </c>
      <c r="AD637" s="11">
        <f t="shared" si="109"/>
        <v>0.36540436817168204</v>
      </c>
      <c r="AE637" t="s">
        <v>33</v>
      </c>
      <c r="AF637" t="s">
        <v>34</v>
      </c>
    </row>
    <row r="638" spans="1:32">
      <c r="A638" t="s">
        <v>2002</v>
      </c>
      <c r="B638" s="2" t="str">
        <f t="shared" si="99"/>
        <v>Unique</v>
      </c>
      <c r="C638" s="2" t="str">
        <f t="shared" si="103"/>
        <v>Oct</v>
      </c>
      <c r="D638" s="2">
        <f t="shared" si="104"/>
        <v>2024</v>
      </c>
      <c r="E638" s="4">
        <v>45567</v>
      </c>
      <c r="F638" s="4">
        <v>45574</v>
      </c>
      <c r="G638" s="6">
        <f t="shared" si="100"/>
        <v>7</v>
      </c>
      <c r="H638" s="6" t="str">
        <f t="shared" si="101"/>
        <v>Valid</v>
      </c>
      <c r="I638" t="s">
        <v>2003</v>
      </c>
      <c r="J638" t="s">
        <v>63</v>
      </c>
      <c r="K638" t="s">
        <v>25</v>
      </c>
      <c r="L638" t="s">
        <v>55</v>
      </c>
      <c r="M638" t="s">
        <v>248</v>
      </c>
      <c r="O638" t="s">
        <v>29</v>
      </c>
      <c r="P638" t="s">
        <v>30</v>
      </c>
      <c r="Q638" t="s">
        <v>2004</v>
      </c>
      <c r="R638" t="s">
        <v>60</v>
      </c>
      <c r="S638">
        <v>8</v>
      </c>
      <c r="T638">
        <v>1910.31</v>
      </c>
      <c r="U638" s="2">
        <f t="shared" si="105"/>
        <v>12990.108</v>
      </c>
      <c r="V638" s="13">
        <v>0.15</v>
      </c>
      <c r="W638" s="2">
        <f t="shared" si="106"/>
        <v>0.15</v>
      </c>
      <c r="X638" s="2" t="str">
        <f t="shared" si="107"/>
        <v>Valid</v>
      </c>
      <c r="Y638" s="2" t="str">
        <f t="shared" si="108"/>
        <v>Clean</v>
      </c>
      <c r="Z638">
        <v>12990.11</v>
      </c>
      <c r="AA638">
        <v>10200.799999999999</v>
      </c>
      <c r="AB638" s="2">
        <f t="shared" si="102"/>
        <v>2789.3080000000009</v>
      </c>
      <c r="AC638">
        <v>2789.31</v>
      </c>
      <c r="AD638" s="11">
        <f t="shared" si="109"/>
        <v>0.21472566437081747</v>
      </c>
      <c r="AE638" t="s">
        <v>33</v>
      </c>
      <c r="AF638" t="s">
        <v>34</v>
      </c>
    </row>
    <row r="639" spans="1:32">
      <c r="A639" t="s">
        <v>2005</v>
      </c>
      <c r="B639" s="2" t="str">
        <f t="shared" si="99"/>
        <v>Unique</v>
      </c>
      <c r="C639" s="2" t="str">
        <f t="shared" si="103"/>
        <v>May</v>
      </c>
      <c r="D639" s="2">
        <f t="shared" si="104"/>
        <v>2024</v>
      </c>
      <c r="E639" s="4">
        <v>45438</v>
      </c>
      <c r="F639" s="4">
        <v>45438</v>
      </c>
      <c r="G639" s="6">
        <f t="shared" si="100"/>
        <v>0</v>
      </c>
      <c r="H639" s="6" t="str">
        <f t="shared" si="101"/>
        <v>Valid</v>
      </c>
      <c r="I639" t="s">
        <v>2006</v>
      </c>
      <c r="J639" t="s">
        <v>119</v>
      </c>
      <c r="K639" t="s">
        <v>38</v>
      </c>
      <c r="L639" t="s">
        <v>64</v>
      </c>
      <c r="M639" t="s">
        <v>191</v>
      </c>
      <c r="O639" t="s">
        <v>75</v>
      </c>
      <c r="P639" t="s">
        <v>81</v>
      </c>
      <c r="Q639" t="s">
        <v>2007</v>
      </c>
      <c r="R639" t="s">
        <v>51</v>
      </c>
      <c r="S639">
        <v>2</v>
      </c>
      <c r="T639">
        <v>3192.47</v>
      </c>
      <c r="U639" s="2">
        <f t="shared" si="105"/>
        <v>5107.9520000000002</v>
      </c>
      <c r="V639" s="13">
        <v>0.2</v>
      </c>
      <c r="W639" s="2">
        <f t="shared" si="106"/>
        <v>0.2</v>
      </c>
      <c r="X639" s="2" t="str">
        <f t="shared" si="107"/>
        <v>Valid</v>
      </c>
      <c r="Y639" s="2" t="str">
        <f t="shared" si="108"/>
        <v>Clean</v>
      </c>
      <c r="Z639">
        <v>5107.95</v>
      </c>
      <c r="AA639">
        <v>3133.08</v>
      </c>
      <c r="AB639" s="2">
        <f t="shared" si="102"/>
        <v>1974.8720000000003</v>
      </c>
      <c r="AC639">
        <v>1974.87</v>
      </c>
      <c r="AD639" s="11">
        <f t="shared" si="109"/>
        <v>0.38662672892256189</v>
      </c>
      <c r="AE639" t="s">
        <v>33</v>
      </c>
      <c r="AF639" t="s">
        <v>34</v>
      </c>
    </row>
    <row r="640" spans="1:32">
      <c r="A640" t="s">
        <v>2008</v>
      </c>
      <c r="B640" s="2" t="str">
        <f t="shared" si="99"/>
        <v>Unique</v>
      </c>
      <c r="C640" s="2" t="str">
        <f t="shared" si="103"/>
        <v>Jan</v>
      </c>
      <c r="D640" s="2">
        <f t="shared" si="104"/>
        <v>2024</v>
      </c>
      <c r="E640" s="4">
        <v>45317</v>
      </c>
      <c r="F640" s="4">
        <v>45322</v>
      </c>
      <c r="G640" s="6">
        <f t="shared" si="100"/>
        <v>5</v>
      </c>
      <c r="H640" s="6" t="str">
        <f t="shared" si="101"/>
        <v>Valid</v>
      </c>
      <c r="I640" t="s">
        <v>2009</v>
      </c>
      <c r="J640" t="s">
        <v>24</v>
      </c>
      <c r="K640" t="s">
        <v>91</v>
      </c>
      <c r="L640" t="s">
        <v>55</v>
      </c>
      <c r="M640" t="s">
        <v>186</v>
      </c>
      <c r="O640" t="s">
        <v>29</v>
      </c>
      <c r="P640" t="s">
        <v>125</v>
      </c>
      <c r="Q640" t="s">
        <v>2010</v>
      </c>
      <c r="R640" t="s">
        <v>32</v>
      </c>
      <c r="S640">
        <v>3</v>
      </c>
      <c r="T640">
        <v>3224.32</v>
      </c>
      <c r="U640" s="2">
        <f t="shared" si="105"/>
        <v>7738.3680000000013</v>
      </c>
      <c r="V640" s="13">
        <v>0.2</v>
      </c>
      <c r="W640" s="2">
        <f t="shared" si="106"/>
        <v>0.2</v>
      </c>
      <c r="X640" s="2" t="str">
        <f t="shared" si="107"/>
        <v>Valid</v>
      </c>
      <c r="Y640" s="2" t="str">
        <f t="shared" si="108"/>
        <v>Clean</v>
      </c>
      <c r="Z640">
        <v>7738.37</v>
      </c>
      <c r="AA640">
        <v>4626.8500000000004</v>
      </c>
      <c r="AB640" s="2">
        <f t="shared" si="102"/>
        <v>3111.5180000000009</v>
      </c>
      <c r="AC640">
        <v>3111.52</v>
      </c>
      <c r="AD640" s="11">
        <f t="shared" si="109"/>
        <v>0.40208984579439855</v>
      </c>
      <c r="AE640" t="s">
        <v>156</v>
      </c>
      <c r="AF640" t="s">
        <v>104</v>
      </c>
    </row>
    <row r="641" spans="1:32">
      <c r="A641" t="s">
        <v>2011</v>
      </c>
      <c r="B641" s="2" t="str">
        <f t="shared" si="99"/>
        <v>Unique</v>
      </c>
      <c r="C641" s="2" t="str">
        <f t="shared" si="103"/>
        <v>Dec</v>
      </c>
      <c r="D641" s="2">
        <f t="shared" si="104"/>
        <v>2024</v>
      </c>
      <c r="E641" s="4">
        <v>45653</v>
      </c>
      <c r="F641" s="4">
        <v>45657</v>
      </c>
      <c r="G641" s="6">
        <f t="shared" si="100"/>
        <v>4</v>
      </c>
      <c r="H641" s="6" t="str">
        <f t="shared" si="101"/>
        <v>Valid</v>
      </c>
      <c r="I641" t="s">
        <v>2012</v>
      </c>
      <c r="J641" t="s">
        <v>48</v>
      </c>
      <c r="K641" t="s">
        <v>38</v>
      </c>
      <c r="L641" t="s">
        <v>39</v>
      </c>
      <c r="M641" t="s">
        <v>40</v>
      </c>
      <c r="O641" t="s">
        <v>42</v>
      </c>
      <c r="P641" t="s">
        <v>67</v>
      </c>
      <c r="Q641" t="s">
        <v>2013</v>
      </c>
      <c r="R641" t="s">
        <v>32</v>
      </c>
      <c r="S641">
        <v>1</v>
      </c>
      <c r="T641">
        <v>1594.7</v>
      </c>
      <c r="U641" s="2">
        <f t="shared" si="105"/>
        <v>1514.9649999999999</v>
      </c>
      <c r="V641" s="13">
        <v>0.05</v>
      </c>
      <c r="W641" s="2">
        <f t="shared" si="106"/>
        <v>0.05</v>
      </c>
      <c r="X641" s="2" t="str">
        <f t="shared" si="107"/>
        <v>Valid</v>
      </c>
      <c r="Y641" s="2" t="str">
        <f t="shared" si="108"/>
        <v>Clean</v>
      </c>
      <c r="Z641">
        <v>1514.96</v>
      </c>
      <c r="AA641">
        <v>1046.17</v>
      </c>
      <c r="AB641" s="2">
        <f t="shared" si="102"/>
        <v>468.79499999999985</v>
      </c>
      <c r="AC641">
        <v>468.79</v>
      </c>
      <c r="AD641" s="11">
        <f t="shared" si="109"/>
        <v>0.30944051328087868</v>
      </c>
      <c r="AE641" t="s">
        <v>33</v>
      </c>
      <c r="AF641" t="s">
        <v>34</v>
      </c>
    </row>
    <row r="642" spans="1:32">
      <c r="A642" t="s">
        <v>2014</v>
      </c>
      <c r="B642" s="2" t="str">
        <f t="shared" ref="B642:B705" si="110">IF(COUNTIF($A:$A,A642)&gt;1,"Duplicate Order ID","Unique")</f>
        <v>Unique</v>
      </c>
      <c r="C642" s="2" t="str">
        <f t="shared" si="103"/>
        <v>Jan</v>
      </c>
      <c r="D642" s="2">
        <f t="shared" si="104"/>
        <v>2025</v>
      </c>
      <c r="E642" s="4">
        <v>45671</v>
      </c>
      <c r="F642" s="4">
        <v>45674</v>
      </c>
      <c r="G642" s="6">
        <f t="shared" ref="G642:G705" si="111">F642-E642</f>
        <v>3</v>
      </c>
      <c r="H642" s="6" t="str">
        <f t="shared" ref="H642:H705" si="112">IF(G642&lt;0,"Invalid: Ship Date Before Order Date","Valid")</f>
        <v>Valid</v>
      </c>
      <c r="I642" t="s">
        <v>2015</v>
      </c>
      <c r="J642" t="s">
        <v>72</v>
      </c>
      <c r="K642" t="s">
        <v>25</v>
      </c>
      <c r="L642" t="s">
        <v>64</v>
      </c>
      <c r="M642" t="s">
        <v>191</v>
      </c>
      <c r="O642" t="s">
        <v>29</v>
      </c>
      <c r="P642" t="s">
        <v>125</v>
      </c>
      <c r="Q642" t="s">
        <v>2016</v>
      </c>
      <c r="R642" t="s">
        <v>51</v>
      </c>
      <c r="S642">
        <v>1</v>
      </c>
      <c r="T642">
        <v>1584.12</v>
      </c>
      <c r="U642" s="2">
        <f t="shared" si="105"/>
        <v>1267.296</v>
      </c>
      <c r="V642" s="13">
        <v>0.2</v>
      </c>
      <c r="W642" s="2">
        <f t="shared" si="106"/>
        <v>0.2</v>
      </c>
      <c r="X642" s="2" t="str">
        <f t="shared" si="107"/>
        <v>Valid</v>
      </c>
      <c r="Y642" s="2" t="str">
        <f t="shared" si="108"/>
        <v>Clean</v>
      </c>
      <c r="Z642">
        <v>1267.3</v>
      </c>
      <c r="AA642">
        <v>923.53</v>
      </c>
      <c r="AB642" s="2">
        <f t="shared" ref="AB642:AB705" si="113">IF(ISNUMBER(U642),U642-AA642,"Invalid")</f>
        <v>343.76600000000008</v>
      </c>
      <c r="AC642">
        <v>343.77</v>
      </c>
      <c r="AD642" s="11">
        <f t="shared" si="109"/>
        <v>0.27126173755227651</v>
      </c>
      <c r="AE642" t="s">
        <v>33</v>
      </c>
      <c r="AF642" t="s">
        <v>34</v>
      </c>
    </row>
    <row r="643" spans="1:32">
      <c r="A643" t="s">
        <v>2017</v>
      </c>
      <c r="B643" s="2" t="str">
        <f t="shared" si="110"/>
        <v>Unique</v>
      </c>
      <c r="C643" s="2" t="str">
        <f t="shared" ref="C643:C706" si="114">TEXT(E643,"mmm")</f>
        <v>Apr</v>
      </c>
      <c r="D643" s="2">
        <f t="shared" ref="D643:D706" si="115">YEAR(E643)</f>
        <v>2025</v>
      </c>
      <c r="E643" s="4">
        <v>45756</v>
      </c>
      <c r="F643" s="4">
        <v>45761</v>
      </c>
      <c r="G643" s="6">
        <f t="shared" si="111"/>
        <v>5</v>
      </c>
      <c r="H643" s="6" t="str">
        <f t="shared" si="112"/>
        <v>Valid</v>
      </c>
      <c r="I643" t="s">
        <v>2018</v>
      </c>
      <c r="J643" t="s">
        <v>24</v>
      </c>
      <c r="K643" t="s">
        <v>25</v>
      </c>
      <c r="L643" t="s">
        <v>26</v>
      </c>
      <c r="M643" t="s">
        <v>351</v>
      </c>
      <c r="O643" t="s">
        <v>42</v>
      </c>
      <c r="P643" t="s">
        <v>58</v>
      </c>
      <c r="Q643" t="s">
        <v>2019</v>
      </c>
      <c r="R643" t="s">
        <v>45</v>
      </c>
      <c r="S643">
        <v>2</v>
      </c>
      <c r="T643">
        <v>3202.87</v>
      </c>
      <c r="U643" s="2">
        <f t="shared" ref="U643:U706" si="116">IF(ISNUMBER(W643),S643*T643*(1-W643),"Invalid")</f>
        <v>6405.74</v>
      </c>
      <c r="V643" s="13">
        <v>0</v>
      </c>
      <c r="W643" s="2">
        <f t="shared" ref="W643:W706" si="117">IF(OR(V643&lt;0,V643&gt;1),"Invalid",V643)</f>
        <v>0</v>
      </c>
      <c r="X643" s="2" t="str">
        <f t="shared" ref="X643:X706" si="118">IF(OR(V643&lt;0,V643&gt;1),"Invalid","Valid")</f>
        <v>Valid</v>
      </c>
      <c r="Y643" s="2" t="str">
        <f t="shared" ref="Y643:Y706" si="119">IF(AND(H643="Valid",X643="Valid"),"Clean","Invalid")</f>
        <v>Clean</v>
      </c>
      <c r="Z643">
        <v>6405.74</v>
      </c>
      <c r="AA643">
        <v>3561.87</v>
      </c>
      <c r="AB643" s="2">
        <f t="shared" si="113"/>
        <v>2843.87</v>
      </c>
      <c r="AC643">
        <v>2843.87</v>
      </c>
      <c r="AD643" s="11">
        <f t="shared" ref="AD643:AD706" si="120">AC643/Z643</f>
        <v>0.44395651400150488</v>
      </c>
      <c r="AE643" t="s">
        <v>33</v>
      </c>
      <c r="AF643" t="s">
        <v>34</v>
      </c>
    </row>
    <row r="644" spans="1:32">
      <c r="A644" t="s">
        <v>2020</v>
      </c>
      <c r="B644" s="2" t="str">
        <f t="shared" si="110"/>
        <v>Unique</v>
      </c>
      <c r="C644" s="2" t="str">
        <f t="shared" si="114"/>
        <v>Aug</v>
      </c>
      <c r="D644" s="2">
        <f t="shared" si="115"/>
        <v>2024</v>
      </c>
      <c r="E644" s="4">
        <v>45533</v>
      </c>
      <c r="F644" s="4">
        <v>45535</v>
      </c>
      <c r="G644" s="6">
        <f t="shared" si="111"/>
        <v>2</v>
      </c>
      <c r="H644" s="6" t="str">
        <f t="shared" si="112"/>
        <v>Valid</v>
      </c>
      <c r="I644" t="s">
        <v>2021</v>
      </c>
      <c r="J644" t="s">
        <v>48</v>
      </c>
      <c r="K644" t="s">
        <v>96</v>
      </c>
      <c r="L644" t="s">
        <v>39</v>
      </c>
      <c r="M644" t="s">
        <v>167</v>
      </c>
      <c r="O644" t="s">
        <v>29</v>
      </c>
      <c r="P644" t="s">
        <v>2022</v>
      </c>
      <c r="Q644" t="s">
        <v>2023</v>
      </c>
      <c r="R644" t="s">
        <v>32</v>
      </c>
      <c r="S644">
        <v>9</v>
      </c>
      <c r="T644">
        <v>1275.21</v>
      </c>
      <c r="U644" s="2">
        <f t="shared" si="116"/>
        <v>8607.6674999999996</v>
      </c>
      <c r="V644" s="13">
        <v>0.25</v>
      </c>
      <c r="W644" s="2">
        <f t="shared" si="117"/>
        <v>0.25</v>
      </c>
      <c r="X644" s="2" t="str">
        <f t="shared" si="118"/>
        <v>Valid</v>
      </c>
      <c r="Y644" s="2" t="str">
        <f t="shared" si="119"/>
        <v>Clean</v>
      </c>
      <c r="Z644">
        <v>8607.67</v>
      </c>
      <c r="AA644">
        <v>5337.64</v>
      </c>
      <c r="AB644" s="2">
        <f t="shared" si="113"/>
        <v>3270.0274999999992</v>
      </c>
      <c r="AC644">
        <v>3270.03</v>
      </c>
      <c r="AD644" s="11">
        <f t="shared" si="120"/>
        <v>0.37989723119032215</v>
      </c>
      <c r="AE644" t="s">
        <v>156</v>
      </c>
      <c r="AF644" t="s">
        <v>104</v>
      </c>
    </row>
    <row r="645" spans="1:32">
      <c r="A645" t="s">
        <v>2024</v>
      </c>
      <c r="B645" s="2" t="str">
        <f t="shared" si="110"/>
        <v>Unique</v>
      </c>
      <c r="C645" s="2" t="str">
        <f t="shared" si="114"/>
        <v>Feb</v>
      </c>
      <c r="D645" s="2">
        <f t="shared" si="115"/>
        <v>2024</v>
      </c>
      <c r="E645" s="4">
        <v>45327</v>
      </c>
      <c r="F645" s="4">
        <v>45335</v>
      </c>
      <c r="G645" s="6">
        <f t="shared" si="111"/>
        <v>8</v>
      </c>
      <c r="H645" s="6" t="str">
        <f t="shared" si="112"/>
        <v>Valid</v>
      </c>
      <c r="I645" t="s">
        <v>721</v>
      </c>
      <c r="J645" t="s">
        <v>129</v>
      </c>
      <c r="K645" t="s">
        <v>96</v>
      </c>
      <c r="L645" t="s">
        <v>26</v>
      </c>
      <c r="M645" t="s">
        <v>137</v>
      </c>
      <c r="O645" t="s">
        <v>29</v>
      </c>
      <c r="P645" t="s">
        <v>92</v>
      </c>
      <c r="Q645" t="s">
        <v>2025</v>
      </c>
      <c r="R645" t="s">
        <v>60</v>
      </c>
      <c r="S645">
        <v>8</v>
      </c>
      <c r="T645">
        <v>3871.18</v>
      </c>
      <c r="U645" s="2">
        <f t="shared" si="116"/>
        <v>26324.023999999998</v>
      </c>
      <c r="V645" s="13">
        <v>0.15</v>
      </c>
      <c r="W645" s="2">
        <f t="shared" si="117"/>
        <v>0.15</v>
      </c>
      <c r="X645" s="2" t="str">
        <f t="shared" si="118"/>
        <v>Valid</v>
      </c>
      <c r="Y645" s="2" t="str">
        <f t="shared" si="119"/>
        <v>Clean</v>
      </c>
      <c r="Z645">
        <v>26324.02</v>
      </c>
      <c r="AA645">
        <v>16277.96</v>
      </c>
      <c r="AB645" s="2">
        <f t="shared" si="113"/>
        <v>10046.063999999998</v>
      </c>
      <c r="AC645">
        <v>10046.06</v>
      </c>
      <c r="AD645" s="11">
        <f t="shared" si="120"/>
        <v>0.38163092111311264</v>
      </c>
      <c r="AE645" t="s">
        <v>156</v>
      </c>
      <c r="AF645" t="s">
        <v>104</v>
      </c>
    </row>
    <row r="646" spans="1:32">
      <c r="A646" t="s">
        <v>2026</v>
      </c>
      <c r="B646" s="2" t="str">
        <f t="shared" si="110"/>
        <v>Unique</v>
      </c>
      <c r="C646" s="2" t="str">
        <f t="shared" si="114"/>
        <v>Apr</v>
      </c>
      <c r="D646" s="2">
        <f t="shared" si="115"/>
        <v>2025</v>
      </c>
      <c r="E646" s="4">
        <v>45757</v>
      </c>
      <c r="F646" s="4">
        <v>45764</v>
      </c>
      <c r="G646" s="6">
        <f t="shared" si="111"/>
        <v>7</v>
      </c>
      <c r="H646" s="6" t="str">
        <f t="shared" si="112"/>
        <v>Valid</v>
      </c>
      <c r="I646" t="s">
        <v>2027</v>
      </c>
      <c r="J646" t="s">
        <v>72</v>
      </c>
      <c r="K646" t="s">
        <v>25</v>
      </c>
      <c r="L646" t="s">
        <v>39</v>
      </c>
      <c r="M646" t="s">
        <v>100</v>
      </c>
      <c r="O646" t="s">
        <v>42</v>
      </c>
      <c r="P646" t="s">
        <v>67</v>
      </c>
      <c r="Q646" t="s">
        <v>2028</v>
      </c>
      <c r="R646" t="s">
        <v>60</v>
      </c>
      <c r="S646">
        <v>4</v>
      </c>
      <c r="T646">
        <v>3750.02</v>
      </c>
      <c r="U646" s="2">
        <f t="shared" si="116"/>
        <v>14250.075999999999</v>
      </c>
      <c r="V646" s="13">
        <v>0.05</v>
      </c>
      <c r="W646" s="2">
        <f t="shared" si="117"/>
        <v>0.05</v>
      </c>
      <c r="X646" s="2" t="str">
        <f t="shared" si="118"/>
        <v>Valid</v>
      </c>
      <c r="Y646" s="2" t="str">
        <f t="shared" si="119"/>
        <v>Clean</v>
      </c>
      <c r="Z646">
        <v>14250.08</v>
      </c>
      <c r="AA646">
        <v>10914.92</v>
      </c>
      <c r="AB646" s="2">
        <f t="shared" si="113"/>
        <v>3335.155999999999</v>
      </c>
      <c r="AC646">
        <v>3335.16</v>
      </c>
      <c r="AD646" s="11">
        <f t="shared" si="120"/>
        <v>0.23404500185262117</v>
      </c>
      <c r="AE646" t="s">
        <v>33</v>
      </c>
      <c r="AF646" t="s">
        <v>34</v>
      </c>
    </row>
    <row r="647" spans="1:32">
      <c r="A647" t="s">
        <v>2029</v>
      </c>
      <c r="B647" s="2" t="str">
        <f t="shared" si="110"/>
        <v>Unique</v>
      </c>
      <c r="C647" s="2" t="str">
        <f t="shared" si="114"/>
        <v>Jan</v>
      </c>
      <c r="D647" s="2">
        <f t="shared" si="115"/>
        <v>2024</v>
      </c>
      <c r="E647" s="4">
        <v>45295</v>
      </c>
      <c r="F647" s="4">
        <v>45300</v>
      </c>
      <c r="G647" s="6">
        <f t="shared" si="111"/>
        <v>5</v>
      </c>
      <c r="H647" s="6" t="str">
        <f t="shared" si="112"/>
        <v>Valid</v>
      </c>
      <c r="I647" t="s">
        <v>2030</v>
      </c>
      <c r="J647" t="s">
        <v>265</v>
      </c>
      <c r="K647" t="s">
        <v>25</v>
      </c>
      <c r="L647" t="s">
        <v>39</v>
      </c>
      <c r="M647" t="s">
        <v>146</v>
      </c>
      <c r="O647" t="s">
        <v>42</v>
      </c>
      <c r="P647" t="s">
        <v>67</v>
      </c>
      <c r="Q647" t="s">
        <v>2031</v>
      </c>
      <c r="R647" t="s">
        <v>32</v>
      </c>
      <c r="S647">
        <v>6</v>
      </c>
      <c r="T647">
        <v>2423.61</v>
      </c>
      <c r="U647" s="2">
        <f t="shared" si="116"/>
        <v>13087.494000000001</v>
      </c>
      <c r="V647" s="13">
        <v>0.1</v>
      </c>
      <c r="W647" s="2">
        <f t="shared" si="117"/>
        <v>0.1</v>
      </c>
      <c r="X647" s="2" t="str">
        <f t="shared" si="118"/>
        <v>Valid</v>
      </c>
      <c r="Y647" s="2" t="str">
        <f t="shared" si="119"/>
        <v>Clean</v>
      </c>
      <c r="Z647">
        <v>13087.49</v>
      </c>
      <c r="AA647">
        <v>7608.89</v>
      </c>
      <c r="AB647" s="2">
        <f t="shared" si="113"/>
        <v>5478.6040000000003</v>
      </c>
      <c r="AC647">
        <v>5133.22</v>
      </c>
      <c r="AD647" s="11">
        <f t="shared" si="120"/>
        <v>0.39222341335122324</v>
      </c>
      <c r="AE647" t="s">
        <v>33</v>
      </c>
      <c r="AF647" t="s">
        <v>34</v>
      </c>
    </row>
    <row r="648" spans="1:32">
      <c r="A648" t="s">
        <v>2032</v>
      </c>
      <c r="B648" s="2" t="str">
        <f t="shared" si="110"/>
        <v>Unique</v>
      </c>
      <c r="C648" s="2" t="str">
        <f t="shared" si="114"/>
        <v>Sep</v>
      </c>
      <c r="D648" s="2">
        <f t="shared" si="115"/>
        <v>2024</v>
      </c>
      <c r="E648" s="4">
        <v>45553</v>
      </c>
      <c r="F648" s="4">
        <v>45559</v>
      </c>
      <c r="G648" s="6">
        <f t="shared" si="111"/>
        <v>6</v>
      </c>
      <c r="H648" s="6" t="str">
        <f t="shared" si="112"/>
        <v>Valid</v>
      </c>
      <c r="I648" t="s">
        <v>2033</v>
      </c>
      <c r="J648" t="s">
        <v>72</v>
      </c>
      <c r="K648" t="s">
        <v>38</v>
      </c>
      <c r="L648" t="s">
        <v>39</v>
      </c>
      <c r="M648" t="s">
        <v>229</v>
      </c>
      <c r="O648" t="s">
        <v>75</v>
      </c>
      <c r="P648" t="s">
        <v>275</v>
      </c>
      <c r="Q648" t="s">
        <v>2034</v>
      </c>
      <c r="R648" t="s">
        <v>51</v>
      </c>
      <c r="S648">
        <v>3</v>
      </c>
      <c r="T648">
        <v>729.14</v>
      </c>
      <c r="U648" s="2">
        <f t="shared" si="116"/>
        <v>1640.5650000000001</v>
      </c>
      <c r="V648" s="13">
        <v>0.25</v>
      </c>
      <c r="W648" s="2">
        <f t="shared" si="117"/>
        <v>0.25</v>
      </c>
      <c r="X648" s="2" t="str">
        <f t="shared" si="118"/>
        <v>Valid</v>
      </c>
      <c r="Y648" s="2" t="str">
        <f t="shared" si="119"/>
        <v>Clean</v>
      </c>
      <c r="Z648">
        <v>1640.57</v>
      </c>
      <c r="AA648">
        <v>1136.98</v>
      </c>
      <c r="AB648" s="2">
        <f t="shared" si="113"/>
        <v>503.58500000000004</v>
      </c>
      <c r="AC648">
        <v>503.59</v>
      </c>
      <c r="AD648" s="11">
        <f t="shared" si="120"/>
        <v>0.30696038571959744</v>
      </c>
      <c r="AE648" t="s">
        <v>33</v>
      </c>
      <c r="AF648" t="s">
        <v>34</v>
      </c>
    </row>
    <row r="649" spans="1:32">
      <c r="A649" t="s">
        <v>2035</v>
      </c>
      <c r="B649" s="2" t="str">
        <f t="shared" si="110"/>
        <v>Unique</v>
      </c>
      <c r="C649" s="2" t="str">
        <f t="shared" si="114"/>
        <v>Jan</v>
      </c>
      <c r="D649" s="2">
        <f t="shared" si="115"/>
        <v>2025</v>
      </c>
      <c r="E649" s="4">
        <v>45658</v>
      </c>
      <c r="F649" s="4">
        <v>45666</v>
      </c>
      <c r="G649" s="6">
        <f t="shared" si="111"/>
        <v>8</v>
      </c>
      <c r="H649" s="6" t="str">
        <f t="shared" si="112"/>
        <v>Valid</v>
      </c>
      <c r="I649" t="s">
        <v>2036</v>
      </c>
      <c r="J649" t="s">
        <v>142</v>
      </c>
      <c r="K649" t="s">
        <v>38</v>
      </c>
      <c r="L649" t="s">
        <v>26</v>
      </c>
      <c r="M649" t="s">
        <v>123</v>
      </c>
      <c r="O649" t="s">
        <v>29</v>
      </c>
      <c r="P649" t="s">
        <v>49</v>
      </c>
      <c r="Q649" t="s">
        <v>2037</v>
      </c>
      <c r="R649" t="s">
        <v>51</v>
      </c>
      <c r="S649">
        <v>8</v>
      </c>
      <c r="T649">
        <v>2123.81</v>
      </c>
      <c r="U649" s="2">
        <f t="shared" si="116"/>
        <v>14441.907999999999</v>
      </c>
      <c r="V649" s="13">
        <v>0.15</v>
      </c>
      <c r="W649" s="2">
        <f t="shared" si="117"/>
        <v>0.15</v>
      </c>
      <c r="X649" s="2" t="str">
        <f t="shared" si="118"/>
        <v>Valid</v>
      </c>
      <c r="Y649" s="2" t="str">
        <f t="shared" si="119"/>
        <v>Clean</v>
      </c>
      <c r="Z649">
        <v>14441.91</v>
      </c>
      <c r="AA649">
        <v>10872.89</v>
      </c>
      <c r="AB649" s="2">
        <f t="shared" si="113"/>
        <v>3569.018</v>
      </c>
      <c r="AC649">
        <v>3569.02</v>
      </c>
      <c r="AD649" s="11">
        <f t="shared" si="120"/>
        <v>0.24712936169800256</v>
      </c>
      <c r="AE649" t="s">
        <v>33</v>
      </c>
      <c r="AF649" t="s">
        <v>34</v>
      </c>
    </row>
    <row r="650" spans="1:32">
      <c r="A650" t="s">
        <v>2038</v>
      </c>
      <c r="B650" s="2" t="str">
        <f t="shared" si="110"/>
        <v>Unique</v>
      </c>
      <c r="C650" s="2" t="str">
        <f t="shared" si="114"/>
        <v>Apr</v>
      </c>
      <c r="D650" s="2">
        <f t="shared" si="115"/>
        <v>2024</v>
      </c>
      <c r="E650" s="4">
        <v>45403</v>
      </c>
      <c r="F650" s="4">
        <v>45406</v>
      </c>
      <c r="G650" s="6">
        <f t="shared" si="111"/>
        <v>3</v>
      </c>
      <c r="H650" s="6" t="str">
        <f t="shared" si="112"/>
        <v>Valid</v>
      </c>
      <c r="I650" t="s">
        <v>2039</v>
      </c>
      <c r="J650" t="s">
        <v>80</v>
      </c>
      <c r="K650" t="s">
        <v>38</v>
      </c>
      <c r="L650" t="s">
        <v>55</v>
      </c>
      <c r="M650" t="s">
        <v>85</v>
      </c>
      <c r="O650" t="s">
        <v>29</v>
      </c>
      <c r="P650" t="s">
        <v>49</v>
      </c>
      <c r="Q650" t="s">
        <v>2040</v>
      </c>
      <c r="R650" t="s">
        <v>45</v>
      </c>
      <c r="S650">
        <v>9</v>
      </c>
      <c r="T650">
        <v>703.59</v>
      </c>
      <c r="U650" s="2">
        <f t="shared" si="116"/>
        <v>5065.8480000000009</v>
      </c>
      <c r="V650" s="13">
        <v>0.2</v>
      </c>
      <c r="W650" s="2">
        <f t="shared" si="117"/>
        <v>0.2</v>
      </c>
      <c r="X650" s="2" t="str">
        <f t="shared" si="118"/>
        <v>Valid</v>
      </c>
      <c r="Y650" s="2" t="str">
        <f t="shared" si="119"/>
        <v>Clean</v>
      </c>
      <c r="Z650">
        <v>5065.8500000000004</v>
      </c>
      <c r="AA650">
        <v>3517.23</v>
      </c>
      <c r="AB650" s="2">
        <f t="shared" si="113"/>
        <v>1548.6180000000008</v>
      </c>
      <c r="AC650">
        <v>1548.62</v>
      </c>
      <c r="AD650" s="11">
        <f t="shared" si="120"/>
        <v>0.30569795789452903</v>
      </c>
      <c r="AE650" t="s">
        <v>156</v>
      </c>
      <c r="AF650" t="s">
        <v>104</v>
      </c>
    </row>
    <row r="651" spans="1:32">
      <c r="A651" t="s">
        <v>2041</v>
      </c>
      <c r="B651" s="2" t="str">
        <f t="shared" si="110"/>
        <v>Unique</v>
      </c>
      <c r="C651" s="2" t="str">
        <f t="shared" si="114"/>
        <v>Aug</v>
      </c>
      <c r="D651" s="2">
        <f t="shared" si="115"/>
        <v>2025</v>
      </c>
      <c r="E651" s="4">
        <v>45880</v>
      </c>
      <c r="F651" s="4">
        <v>45888</v>
      </c>
      <c r="G651" s="6">
        <f t="shared" si="111"/>
        <v>8</v>
      </c>
      <c r="H651" s="6" t="str">
        <f t="shared" si="112"/>
        <v>Valid</v>
      </c>
      <c r="I651" t="s">
        <v>2042</v>
      </c>
      <c r="J651" t="s">
        <v>265</v>
      </c>
      <c r="K651" t="s">
        <v>38</v>
      </c>
      <c r="L651" t="s">
        <v>55</v>
      </c>
      <c r="M651" t="s">
        <v>186</v>
      </c>
      <c r="O651" t="s">
        <v>75</v>
      </c>
      <c r="P651" t="s">
        <v>76</v>
      </c>
      <c r="Q651" t="s">
        <v>2043</v>
      </c>
      <c r="R651" t="s">
        <v>60</v>
      </c>
      <c r="S651">
        <v>4</v>
      </c>
      <c r="T651">
        <v>2258.96</v>
      </c>
      <c r="U651" s="2">
        <f t="shared" si="116"/>
        <v>6776.88</v>
      </c>
      <c r="V651" s="13">
        <v>0.25</v>
      </c>
      <c r="W651" s="2">
        <f t="shared" si="117"/>
        <v>0.25</v>
      </c>
      <c r="X651" s="2" t="str">
        <f t="shared" si="118"/>
        <v>Valid</v>
      </c>
      <c r="Y651" s="2" t="str">
        <f t="shared" si="119"/>
        <v>Clean</v>
      </c>
      <c r="Z651">
        <v>6776.88</v>
      </c>
      <c r="AA651">
        <v>3836.24</v>
      </c>
      <c r="AB651" s="2">
        <f t="shared" si="113"/>
        <v>2940.6400000000003</v>
      </c>
      <c r="AC651">
        <v>2940.64</v>
      </c>
      <c r="AD651" s="11">
        <f t="shared" si="120"/>
        <v>0.43392239496641521</v>
      </c>
      <c r="AE651" t="s">
        <v>33</v>
      </c>
      <c r="AF651" t="s">
        <v>34</v>
      </c>
    </row>
    <row r="652" spans="1:32">
      <c r="A652" t="s">
        <v>2044</v>
      </c>
      <c r="B652" s="2" t="str">
        <f t="shared" si="110"/>
        <v>Unique</v>
      </c>
      <c r="C652" s="2" t="str">
        <f t="shared" si="114"/>
        <v>Apr</v>
      </c>
      <c r="D652" s="2">
        <f t="shared" si="115"/>
        <v>2024</v>
      </c>
      <c r="E652" s="4">
        <v>45395</v>
      </c>
      <c r="F652" s="4">
        <v>45403</v>
      </c>
      <c r="G652" s="6">
        <f t="shared" si="111"/>
        <v>8</v>
      </c>
      <c r="H652" s="6" t="str">
        <f t="shared" si="112"/>
        <v>Valid</v>
      </c>
      <c r="I652" t="s">
        <v>379</v>
      </c>
      <c r="J652" t="s">
        <v>129</v>
      </c>
      <c r="K652" t="s">
        <v>96</v>
      </c>
      <c r="L652" t="s">
        <v>39</v>
      </c>
      <c r="M652" t="s">
        <v>146</v>
      </c>
      <c r="O652" t="s">
        <v>75</v>
      </c>
      <c r="P652" t="s">
        <v>76</v>
      </c>
      <c r="Q652" t="s">
        <v>2045</v>
      </c>
      <c r="R652" t="s">
        <v>45</v>
      </c>
      <c r="S652">
        <v>7</v>
      </c>
      <c r="T652">
        <v>2648.76</v>
      </c>
      <c r="U652" s="2">
        <f t="shared" si="116"/>
        <v>15760.121999999999</v>
      </c>
      <c r="V652" s="13">
        <v>0.15</v>
      </c>
      <c r="W652" s="2">
        <f t="shared" si="117"/>
        <v>0.15</v>
      </c>
      <c r="X652" s="2" t="str">
        <f t="shared" si="118"/>
        <v>Valid</v>
      </c>
      <c r="Y652" s="2" t="str">
        <f t="shared" si="119"/>
        <v>Clean</v>
      </c>
      <c r="Z652">
        <v>15760.12</v>
      </c>
      <c r="AA652">
        <v>9931.5300000000007</v>
      </c>
      <c r="AB652" s="2">
        <f t="shared" si="113"/>
        <v>5828.5919999999987</v>
      </c>
      <c r="AC652">
        <v>5828.59</v>
      </c>
      <c r="AD652" s="11">
        <f t="shared" si="120"/>
        <v>0.3698315748864856</v>
      </c>
      <c r="AE652" t="s">
        <v>156</v>
      </c>
      <c r="AF652" t="s">
        <v>104</v>
      </c>
    </row>
    <row r="653" spans="1:32">
      <c r="A653" t="s">
        <v>2046</v>
      </c>
      <c r="B653" s="2" t="str">
        <f t="shared" si="110"/>
        <v>Unique</v>
      </c>
      <c r="C653" s="2" t="str">
        <f t="shared" si="114"/>
        <v>Aug</v>
      </c>
      <c r="D653" s="2">
        <f t="shared" si="115"/>
        <v>2025</v>
      </c>
      <c r="E653" s="4">
        <v>45875</v>
      </c>
      <c r="F653" s="4">
        <v>45878</v>
      </c>
      <c r="G653" s="6">
        <f t="shared" si="111"/>
        <v>3</v>
      </c>
      <c r="H653" s="6" t="str">
        <f t="shared" si="112"/>
        <v>Valid</v>
      </c>
      <c r="I653" t="s">
        <v>2047</v>
      </c>
      <c r="J653" t="s">
        <v>37</v>
      </c>
      <c r="K653" t="s">
        <v>38</v>
      </c>
      <c r="L653" t="s">
        <v>55</v>
      </c>
      <c r="M653" t="s">
        <v>85</v>
      </c>
      <c r="O653" t="s">
        <v>29</v>
      </c>
      <c r="P653" t="s">
        <v>30</v>
      </c>
      <c r="Q653" t="s">
        <v>2048</v>
      </c>
      <c r="R653" t="s">
        <v>32</v>
      </c>
      <c r="S653">
        <v>3</v>
      </c>
      <c r="T653">
        <v>598.54999999999995</v>
      </c>
      <c r="U653" s="2">
        <f t="shared" si="116"/>
        <v>1795.6499999999999</v>
      </c>
      <c r="V653" s="13">
        <v>0</v>
      </c>
      <c r="W653" s="2">
        <f t="shared" si="117"/>
        <v>0</v>
      </c>
      <c r="X653" s="2" t="str">
        <f t="shared" si="118"/>
        <v>Valid</v>
      </c>
      <c r="Y653" s="2" t="str">
        <f t="shared" si="119"/>
        <v>Clean</v>
      </c>
      <c r="Z653">
        <v>1795.65</v>
      </c>
      <c r="AA653">
        <v>996.72</v>
      </c>
      <c r="AB653" s="2">
        <f t="shared" si="113"/>
        <v>798.92999999999984</v>
      </c>
      <c r="AC653">
        <v>798.93</v>
      </c>
      <c r="AD653" s="11">
        <f t="shared" si="120"/>
        <v>0.44492523598696848</v>
      </c>
      <c r="AE653" t="s">
        <v>33</v>
      </c>
      <c r="AF653" t="s">
        <v>34</v>
      </c>
    </row>
    <row r="654" spans="1:32">
      <c r="A654" t="s">
        <v>2049</v>
      </c>
      <c r="B654" s="2" t="str">
        <f t="shared" si="110"/>
        <v>Unique</v>
      </c>
      <c r="C654" s="2" t="str">
        <f t="shared" si="114"/>
        <v>Mar</v>
      </c>
      <c r="D654" s="2">
        <f t="shared" si="115"/>
        <v>2025</v>
      </c>
      <c r="E654" s="4">
        <v>45733</v>
      </c>
      <c r="F654" s="4">
        <v>45737</v>
      </c>
      <c r="G654" s="6">
        <f t="shared" si="111"/>
        <v>4</v>
      </c>
      <c r="H654" s="6" t="str">
        <f t="shared" si="112"/>
        <v>Valid</v>
      </c>
      <c r="I654" t="s">
        <v>1692</v>
      </c>
      <c r="J654" t="s">
        <v>133</v>
      </c>
      <c r="K654" t="s">
        <v>25</v>
      </c>
      <c r="L654" t="s">
        <v>26</v>
      </c>
      <c r="M654" t="s">
        <v>137</v>
      </c>
      <c r="O654" t="s">
        <v>29</v>
      </c>
      <c r="P654" t="s">
        <v>154</v>
      </c>
      <c r="Q654" t="s">
        <v>2050</v>
      </c>
      <c r="R654" t="s">
        <v>60</v>
      </c>
      <c r="S654">
        <v>5</v>
      </c>
      <c r="T654">
        <v>4320.59</v>
      </c>
      <c r="U654" s="2">
        <f t="shared" si="116"/>
        <v>18362.5075</v>
      </c>
      <c r="V654" s="13">
        <v>0.15</v>
      </c>
      <c r="W654" s="2">
        <f t="shared" si="117"/>
        <v>0.15</v>
      </c>
      <c r="X654" s="2" t="str">
        <f t="shared" si="118"/>
        <v>Valid</v>
      </c>
      <c r="Y654" s="2" t="str">
        <f t="shared" si="119"/>
        <v>Clean</v>
      </c>
      <c r="Z654">
        <v>18362.509999999998</v>
      </c>
      <c r="AA654">
        <v>11133.97</v>
      </c>
      <c r="AB654" s="2">
        <f t="shared" si="113"/>
        <v>7228.5375000000004</v>
      </c>
      <c r="AC654">
        <v>7228.54</v>
      </c>
      <c r="AD654" s="11">
        <f t="shared" si="120"/>
        <v>0.39365751196323384</v>
      </c>
      <c r="AE654" t="s">
        <v>33</v>
      </c>
      <c r="AF654" t="s">
        <v>34</v>
      </c>
    </row>
    <row r="655" spans="1:32">
      <c r="A655" t="s">
        <v>2051</v>
      </c>
      <c r="B655" s="2" t="str">
        <f t="shared" si="110"/>
        <v>Unique</v>
      </c>
      <c r="C655" s="2" t="str">
        <f t="shared" si="114"/>
        <v>Apr</v>
      </c>
      <c r="D655" s="2">
        <f t="shared" si="115"/>
        <v>2025</v>
      </c>
      <c r="E655" s="4">
        <v>45751</v>
      </c>
      <c r="F655" s="4">
        <v>45754</v>
      </c>
      <c r="G655" s="6">
        <f t="shared" si="111"/>
        <v>3</v>
      </c>
      <c r="H655" s="6" t="str">
        <f t="shared" si="112"/>
        <v>Valid</v>
      </c>
      <c r="I655" t="s">
        <v>2052</v>
      </c>
      <c r="J655" t="s">
        <v>115</v>
      </c>
      <c r="K655" t="s">
        <v>38</v>
      </c>
      <c r="L655" t="s">
        <v>55</v>
      </c>
      <c r="M655" t="s">
        <v>248</v>
      </c>
      <c r="O655" t="s">
        <v>75</v>
      </c>
      <c r="P655" t="s">
        <v>81</v>
      </c>
      <c r="Q655" t="s">
        <v>2053</v>
      </c>
      <c r="R655" t="s">
        <v>32</v>
      </c>
      <c r="S655">
        <v>7</v>
      </c>
      <c r="T655">
        <v>4457.93</v>
      </c>
      <c r="U655" s="2">
        <f t="shared" si="116"/>
        <v>26524.683500000003</v>
      </c>
      <c r="V655" s="13">
        <v>0.15</v>
      </c>
      <c r="W655" s="2">
        <f t="shared" si="117"/>
        <v>0.15</v>
      </c>
      <c r="X655" s="2" t="str">
        <f t="shared" si="118"/>
        <v>Valid</v>
      </c>
      <c r="Y655" s="2" t="str">
        <f t="shared" si="119"/>
        <v>Clean</v>
      </c>
      <c r="Z655">
        <v>26524.68</v>
      </c>
      <c r="AA655">
        <v>20574.3</v>
      </c>
      <c r="AB655" s="2">
        <f t="shared" si="113"/>
        <v>5950.3835000000036</v>
      </c>
      <c r="AC655">
        <v>5950.38</v>
      </c>
      <c r="AD655" s="11">
        <f t="shared" si="120"/>
        <v>0.22433371486479761</v>
      </c>
      <c r="AE655" t="s">
        <v>33</v>
      </c>
      <c r="AF655" t="s">
        <v>34</v>
      </c>
    </row>
    <row r="656" spans="1:32">
      <c r="A656" t="s">
        <v>2054</v>
      </c>
      <c r="B656" s="2" t="str">
        <f t="shared" si="110"/>
        <v>Unique</v>
      </c>
      <c r="C656" s="2" t="str">
        <f t="shared" si="114"/>
        <v>Oct</v>
      </c>
      <c r="D656" s="2">
        <f t="shared" si="115"/>
        <v>2025</v>
      </c>
      <c r="E656" s="4">
        <v>45942</v>
      </c>
      <c r="F656" s="4">
        <v>45946</v>
      </c>
      <c r="G656" s="6">
        <f t="shared" si="111"/>
        <v>4</v>
      </c>
      <c r="H656" s="6" t="str">
        <f t="shared" si="112"/>
        <v>Valid</v>
      </c>
      <c r="I656" t="s">
        <v>928</v>
      </c>
      <c r="J656" t="s">
        <v>163</v>
      </c>
      <c r="K656" t="s">
        <v>91</v>
      </c>
      <c r="L656" t="s">
        <v>39</v>
      </c>
      <c r="M656" t="s">
        <v>146</v>
      </c>
      <c r="O656" t="s">
        <v>75</v>
      </c>
      <c r="P656" t="s">
        <v>275</v>
      </c>
      <c r="Q656" t="s">
        <v>2055</v>
      </c>
      <c r="R656" t="s">
        <v>45</v>
      </c>
      <c r="S656">
        <v>1</v>
      </c>
      <c r="T656">
        <v>2570.06</v>
      </c>
      <c r="U656" s="2">
        <f t="shared" si="116"/>
        <v>2056.0480000000002</v>
      </c>
      <c r="V656" s="13">
        <v>0.2</v>
      </c>
      <c r="W656" s="2">
        <f t="shared" si="117"/>
        <v>0.2</v>
      </c>
      <c r="X656" s="2" t="str">
        <f t="shared" si="118"/>
        <v>Valid</v>
      </c>
      <c r="Y656" s="2" t="str">
        <f t="shared" si="119"/>
        <v>Clean</v>
      </c>
      <c r="Z656">
        <v>2056.0500000000002</v>
      </c>
      <c r="AA656">
        <v>1662.39</v>
      </c>
      <c r="AB656" s="2">
        <f t="shared" si="113"/>
        <v>393.65800000000013</v>
      </c>
      <c r="AC656">
        <v>393.66</v>
      </c>
      <c r="AD656" s="11">
        <f t="shared" si="120"/>
        <v>0.19146421536441233</v>
      </c>
      <c r="AE656" t="s">
        <v>33</v>
      </c>
      <c r="AF656" t="s">
        <v>34</v>
      </c>
    </row>
    <row r="657" spans="1:32">
      <c r="A657" t="s">
        <v>2056</v>
      </c>
      <c r="B657" s="2" t="str">
        <f t="shared" si="110"/>
        <v>Unique</v>
      </c>
      <c r="C657" s="2" t="str">
        <f t="shared" si="114"/>
        <v>Aug</v>
      </c>
      <c r="D657" s="2">
        <f t="shared" si="115"/>
        <v>2025</v>
      </c>
      <c r="E657" s="4">
        <v>45895</v>
      </c>
      <c r="F657" s="4">
        <v>45895</v>
      </c>
      <c r="G657" s="6">
        <f t="shared" si="111"/>
        <v>0</v>
      </c>
      <c r="H657" s="6" t="str">
        <f t="shared" si="112"/>
        <v>Valid</v>
      </c>
      <c r="I657" t="s">
        <v>2057</v>
      </c>
      <c r="J657" t="s">
        <v>80</v>
      </c>
      <c r="K657" t="s">
        <v>96</v>
      </c>
      <c r="L657" t="s">
        <v>39</v>
      </c>
      <c r="M657" t="s">
        <v>100</v>
      </c>
      <c r="O657" t="s">
        <v>42</v>
      </c>
      <c r="P657" t="s">
        <v>58</v>
      </c>
      <c r="Q657" t="s">
        <v>2058</v>
      </c>
      <c r="R657" t="s">
        <v>60</v>
      </c>
      <c r="S657">
        <v>4</v>
      </c>
      <c r="T657">
        <v>2151.8200000000002</v>
      </c>
      <c r="U657" s="2">
        <f t="shared" si="116"/>
        <v>8607.2800000000007</v>
      </c>
      <c r="V657" s="13">
        <v>0</v>
      </c>
      <c r="W657" s="2">
        <f t="shared" si="117"/>
        <v>0</v>
      </c>
      <c r="X657" s="2" t="str">
        <f t="shared" si="118"/>
        <v>Valid</v>
      </c>
      <c r="Y657" s="2" t="str">
        <f t="shared" si="119"/>
        <v>Clean</v>
      </c>
      <c r="Z657">
        <v>8607.2800000000007</v>
      </c>
      <c r="AA657">
        <v>5124.01</v>
      </c>
      <c r="AB657" s="2">
        <f t="shared" si="113"/>
        <v>3483.2700000000004</v>
      </c>
      <c r="AC657">
        <v>3483.27</v>
      </c>
      <c r="AD657" s="11">
        <f t="shared" si="120"/>
        <v>0.40468882155570629</v>
      </c>
      <c r="AE657" t="s">
        <v>33</v>
      </c>
      <c r="AF657" t="s">
        <v>34</v>
      </c>
    </row>
    <row r="658" spans="1:32">
      <c r="A658" t="s">
        <v>2059</v>
      </c>
      <c r="B658" s="2" t="str">
        <f t="shared" si="110"/>
        <v>Unique</v>
      </c>
      <c r="C658" s="2" t="str">
        <f t="shared" si="114"/>
        <v>May</v>
      </c>
      <c r="D658" s="2">
        <f t="shared" si="115"/>
        <v>2024</v>
      </c>
      <c r="E658" s="4">
        <v>45419</v>
      </c>
      <c r="F658" s="4">
        <v>45426</v>
      </c>
      <c r="G658" s="6">
        <f t="shared" si="111"/>
        <v>7</v>
      </c>
      <c r="H658" s="6" t="str">
        <f t="shared" si="112"/>
        <v>Valid</v>
      </c>
      <c r="I658" t="s">
        <v>2060</v>
      </c>
      <c r="J658" t="s">
        <v>80</v>
      </c>
      <c r="K658" t="s">
        <v>38</v>
      </c>
      <c r="L658" t="s">
        <v>26</v>
      </c>
      <c r="M658" t="s">
        <v>237</v>
      </c>
      <c r="O658" t="s">
        <v>75</v>
      </c>
      <c r="P658" t="s">
        <v>275</v>
      </c>
      <c r="Q658" t="s">
        <v>2061</v>
      </c>
      <c r="R658" t="s">
        <v>45</v>
      </c>
      <c r="S658">
        <v>4</v>
      </c>
      <c r="T658">
        <v>2751.1</v>
      </c>
      <c r="U658" s="2" t="str">
        <f t="shared" si="116"/>
        <v>Invalid</v>
      </c>
      <c r="V658" s="13">
        <v>-0.05</v>
      </c>
      <c r="W658" s="2" t="str">
        <f t="shared" si="117"/>
        <v>Invalid</v>
      </c>
      <c r="X658" s="2" t="str">
        <f t="shared" si="118"/>
        <v>Invalid</v>
      </c>
      <c r="Y658" s="2" t="str">
        <f t="shared" si="119"/>
        <v>Invalid</v>
      </c>
      <c r="Z658">
        <v>9903.9599999999991</v>
      </c>
      <c r="AA658">
        <v>7696.28</v>
      </c>
      <c r="AB658" s="2" t="str">
        <f t="shared" si="113"/>
        <v>Invalid</v>
      </c>
      <c r="AC658">
        <v>2207.6799999999998</v>
      </c>
      <c r="AD658" s="11">
        <f t="shared" si="120"/>
        <v>0.22290881627147122</v>
      </c>
      <c r="AE658" t="s">
        <v>33</v>
      </c>
      <c r="AF658" t="s">
        <v>34</v>
      </c>
    </row>
    <row r="659" spans="1:32">
      <c r="A659" t="s">
        <v>2062</v>
      </c>
      <c r="B659" s="2" t="str">
        <f t="shared" si="110"/>
        <v>Unique</v>
      </c>
      <c r="C659" s="2" t="str">
        <f t="shared" si="114"/>
        <v>Aug</v>
      </c>
      <c r="D659" s="2">
        <f t="shared" si="115"/>
        <v>2025</v>
      </c>
      <c r="E659" s="4">
        <v>45876</v>
      </c>
      <c r="F659" s="4">
        <v>45879</v>
      </c>
      <c r="G659" s="6">
        <f t="shared" si="111"/>
        <v>3</v>
      </c>
      <c r="H659" s="6" t="str">
        <f t="shared" si="112"/>
        <v>Valid</v>
      </c>
      <c r="I659" t="s">
        <v>2063</v>
      </c>
      <c r="J659" t="s">
        <v>90</v>
      </c>
      <c r="K659" t="s">
        <v>96</v>
      </c>
      <c r="L659" t="s">
        <v>39</v>
      </c>
      <c r="M659" t="s">
        <v>146</v>
      </c>
      <c r="O659" t="s">
        <v>29</v>
      </c>
      <c r="P659" t="s">
        <v>125</v>
      </c>
      <c r="Q659" t="s">
        <v>2064</v>
      </c>
      <c r="R659" t="s">
        <v>32</v>
      </c>
      <c r="S659">
        <v>1</v>
      </c>
      <c r="T659">
        <v>2541.25</v>
      </c>
      <c r="U659" s="2">
        <f t="shared" si="116"/>
        <v>2033</v>
      </c>
      <c r="V659" s="13">
        <v>0.2</v>
      </c>
      <c r="W659" s="2">
        <f t="shared" si="117"/>
        <v>0.2</v>
      </c>
      <c r="X659" s="2" t="str">
        <f t="shared" si="118"/>
        <v>Valid</v>
      </c>
      <c r="Y659" s="2" t="str">
        <f t="shared" si="119"/>
        <v>Clean</v>
      </c>
      <c r="Z659">
        <v>2033</v>
      </c>
      <c r="AA659">
        <v>1291.4100000000001</v>
      </c>
      <c r="AB659" s="2">
        <f t="shared" si="113"/>
        <v>741.58999999999992</v>
      </c>
      <c r="AC659">
        <v>741.59</v>
      </c>
      <c r="AD659" s="11">
        <f t="shared" si="120"/>
        <v>0.36477619281849483</v>
      </c>
      <c r="AE659" t="s">
        <v>33</v>
      </c>
      <c r="AF659" t="s">
        <v>34</v>
      </c>
    </row>
    <row r="660" spans="1:32">
      <c r="A660" t="s">
        <v>2065</v>
      </c>
      <c r="B660" s="2" t="str">
        <f t="shared" si="110"/>
        <v>Unique</v>
      </c>
      <c r="C660" s="2" t="str">
        <f t="shared" si="114"/>
        <v>Jun</v>
      </c>
      <c r="D660" s="2">
        <f t="shared" si="115"/>
        <v>2025</v>
      </c>
      <c r="E660" s="4">
        <v>45817</v>
      </c>
      <c r="F660" s="4">
        <v>45820</v>
      </c>
      <c r="G660" s="6">
        <f t="shared" si="111"/>
        <v>3</v>
      </c>
      <c r="H660" s="6" t="str">
        <f t="shared" si="112"/>
        <v>Valid</v>
      </c>
      <c r="I660" t="s">
        <v>2066</v>
      </c>
      <c r="J660" t="s">
        <v>133</v>
      </c>
      <c r="K660" t="s">
        <v>25</v>
      </c>
      <c r="L660" s="2" t="s">
        <v>2793</v>
      </c>
      <c r="M660" t="s">
        <v>146</v>
      </c>
      <c r="O660" t="s">
        <v>29</v>
      </c>
      <c r="P660" t="s">
        <v>49</v>
      </c>
      <c r="Q660" t="s">
        <v>2067</v>
      </c>
      <c r="R660" t="s">
        <v>51</v>
      </c>
      <c r="S660">
        <v>7</v>
      </c>
      <c r="T660">
        <v>2852.42</v>
      </c>
      <c r="U660" s="2">
        <f t="shared" si="116"/>
        <v>19966.940000000002</v>
      </c>
      <c r="V660" s="13">
        <v>0</v>
      </c>
      <c r="W660" s="2">
        <f t="shared" si="117"/>
        <v>0</v>
      </c>
      <c r="X660" s="2" t="str">
        <f t="shared" si="118"/>
        <v>Valid</v>
      </c>
      <c r="Y660" s="2" t="str">
        <f t="shared" si="119"/>
        <v>Clean</v>
      </c>
      <c r="Z660">
        <v>19966.939999999999</v>
      </c>
      <c r="AA660">
        <v>12690.83</v>
      </c>
      <c r="AB660" s="2">
        <f t="shared" si="113"/>
        <v>7276.1100000000024</v>
      </c>
      <c r="AC660">
        <v>7276.11</v>
      </c>
      <c r="AD660" s="11">
        <f t="shared" si="120"/>
        <v>0.36440786620283327</v>
      </c>
      <c r="AE660" t="s">
        <v>103</v>
      </c>
      <c r="AF660" t="s">
        <v>69</v>
      </c>
    </row>
    <row r="661" spans="1:32">
      <c r="A661" t="s">
        <v>2068</v>
      </c>
      <c r="B661" s="2" t="str">
        <f t="shared" si="110"/>
        <v>Unique</v>
      </c>
      <c r="C661" s="2" t="str">
        <f t="shared" si="114"/>
        <v>Jan</v>
      </c>
      <c r="D661" s="2">
        <f t="shared" si="115"/>
        <v>2025</v>
      </c>
      <c r="E661" s="4">
        <v>45678</v>
      </c>
      <c r="F661" s="4">
        <v>45679</v>
      </c>
      <c r="G661" s="6">
        <f t="shared" si="111"/>
        <v>1</v>
      </c>
      <c r="H661" s="6" t="str">
        <f t="shared" si="112"/>
        <v>Valid</v>
      </c>
      <c r="I661" t="s">
        <v>2069</v>
      </c>
      <c r="J661" t="s">
        <v>163</v>
      </c>
      <c r="K661" t="s">
        <v>91</v>
      </c>
      <c r="L661" t="s">
        <v>55</v>
      </c>
      <c r="M661" t="s">
        <v>176</v>
      </c>
      <c r="O661" t="s">
        <v>75</v>
      </c>
      <c r="P661" t="s">
        <v>172</v>
      </c>
      <c r="Q661" t="s">
        <v>2070</v>
      </c>
      <c r="R661" t="s">
        <v>32</v>
      </c>
      <c r="S661">
        <v>2</v>
      </c>
      <c r="T661">
        <v>444.31</v>
      </c>
      <c r="U661" s="2">
        <f t="shared" si="116"/>
        <v>710.89600000000007</v>
      </c>
      <c r="V661" s="13">
        <v>0.2</v>
      </c>
      <c r="W661" s="2">
        <f t="shared" si="117"/>
        <v>0.2</v>
      </c>
      <c r="X661" s="2" t="str">
        <f t="shared" si="118"/>
        <v>Valid</v>
      </c>
      <c r="Y661" s="2" t="str">
        <f t="shared" si="119"/>
        <v>Clean</v>
      </c>
      <c r="Z661">
        <v>710.9</v>
      </c>
      <c r="AA661">
        <v>513.88</v>
      </c>
      <c r="AB661" s="2">
        <f t="shared" si="113"/>
        <v>197.01600000000008</v>
      </c>
      <c r="AC661">
        <v>197.02</v>
      </c>
      <c r="AD661" s="11">
        <f t="shared" si="120"/>
        <v>0.27714165142776764</v>
      </c>
      <c r="AE661" t="s">
        <v>103</v>
      </c>
      <c r="AF661" t="s">
        <v>69</v>
      </c>
    </row>
    <row r="662" spans="1:32">
      <c r="A662" t="s">
        <v>2071</v>
      </c>
      <c r="B662" s="2" t="str">
        <f t="shared" si="110"/>
        <v>Unique</v>
      </c>
      <c r="C662" s="2" t="str">
        <f t="shared" si="114"/>
        <v>Jul</v>
      </c>
      <c r="D662" s="2">
        <f t="shared" si="115"/>
        <v>2025</v>
      </c>
      <c r="E662" s="4">
        <v>45853</v>
      </c>
      <c r="F662" s="4">
        <v>45853</v>
      </c>
      <c r="G662" s="6">
        <f t="shared" si="111"/>
        <v>0</v>
      </c>
      <c r="H662" s="6" t="str">
        <f t="shared" si="112"/>
        <v>Valid</v>
      </c>
      <c r="I662" t="s">
        <v>2072</v>
      </c>
      <c r="J662" t="s">
        <v>54</v>
      </c>
      <c r="K662" t="s">
        <v>38</v>
      </c>
      <c r="L662" t="s">
        <v>39</v>
      </c>
      <c r="M662" t="s">
        <v>229</v>
      </c>
      <c r="O662" t="s">
        <v>75</v>
      </c>
      <c r="P662" t="s">
        <v>172</v>
      </c>
      <c r="Q662" t="s">
        <v>2073</v>
      </c>
      <c r="R662" t="s">
        <v>45</v>
      </c>
      <c r="S662">
        <v>4</v>
      </c>
      <c r="T662">
        <v>4442.91</v>
      </c>
      <c r="U662" s="2">
        <f t="shared" si="116"/>
        <v>15994.476000000001</v>
      </c>
      <c r="V662" s="13">
        <v>0.1</v>
      </c>
      <c r="W662" s="2">
        <f t="shared" si="117"/>
        <v>0.1</v>
      </c>
      <c r="X662" s="2" t="str">
        <f t="shared" si="118"/>
        <v>Valid</v>
      </c>
      <c r="Y662" s="2" t="str">
        <f t="shared" si="119"/>
        <v>Clean</v>
      </c>
      <c r="Z662">
        <v>15994.48</v>
      </c>
      <c r="AA662">
        <v>9224.2800000000007</v>
      </c>
      <c r="AB662" s="2">
        <f t="shared" si="113"/>
        <v>6770.1959999999999</v>
      </c>
      <c r="AC662">
        <v>6770.2</v>
      </c>
      <c r="AD662" s="11">
        <f t="shared" si="120"/>
        <v>0.42328353281882247</v>
      </c>
      <c r="AE662" t="s">
        <v>33</v>
      </c>
      <c r="AF662" t="s">
        <v>34</v>
      </c>
    </row>
    <row r="663" spans="1:32">
      <c r="A663" t="s">
        <v>2074</v>
      </c>
      <c r="B663" s="2" t="str">
        <f t="shared" si="110"/>
        <v>Unique</v>
      </c>
      <c r="C663" s="2" t="str">
        <f t="shared" si="114"/>
        <v>May</v>
      </c>
      <c r="D663" s="2">
        <f t="shared" si="115"/>
        <v>2024</v>
      </c>
      <c r="E663" s="4">
        <v>45429</v>
      </c>
      <c r="F663" s="4">
        <v>45434</v>
      </c>
      <c r="G663" s="6">
        <f t="shared" si="111"/>
        <v>5</v>
      </c>
      <c r="H663" s="6" t="str">
        <f t="shared" si="112"/>
        <v>Valid</v>
      </c>
      <c r="I663" t="s">
        <v>2075</v>
      </c>
      <c r="J663" t="s">
        <v>133</v>
      </c>
      <c r="K663" t="s">
        <v>25</v>
      </c>
      <c r="L663" t="s">
        <v>55</v>
      </c>
      <c r="M663" t="s">
        <v>85</v>
      </c>
      <c r="O663" t="s">
        <v>75</v>
      </c>
      <c r="P663" t="s">
        <v>275</v>
      </c>
      <c r="Q663" t="s">
        <v>2076</v>
      </c>
      <c r="R663" t="s">
        <v>32</v>
      </c>
      <c r="S663">
        <v>7</v>
      </c>
      <c r="T663">
        <v>232.5</v>
      </c>
      <c r="U663" s="2">
        <f t="shared" si="116"/>
        <v>1627.5</v>
      </c>
      <c r="V663" s="13">
        <v>0</v>
      </c>
      <c r="W663" s="2">
        <f t="shared" si="117"/>
        <v>0</v>
      </c>
      <c r="X663" s="2" t="str">
        <f t="shared" si="118"/>
        <v>Valid</v>
      </c>
      <c r="Y663" s="2" t="str">
        <f t="shared" si="119"/>
        <v>Clean</v>
      </c>
      <c r="Z663">
        <v>1627.5</v>
      </c>
      <c r="AA663">
        <v>939.9</v>
      </c>
      <c r="AB663" s="2">
        <f t="shared" si="113"/>
        <v>687.6</v>
      </c>
      <c r="AC663">
        <v>687.6</v>
      </c>
      <c r="AD663" s="11">
        <f t="shared" si="120"/>
        <v>0.4224884792626728</v>
      </c>
      <c r="AE663" t="s">
        <v>33</v>
      </c>
      <c r="AF663" t="s">
        <v>34</v>
      </c>
    </row>
    <row r="664" spans="1:32">
      <c r="A664" t="s">
        <v>2077</v>
      </c>
      <c r="B664" s="2" t="str">
        <f t="shared" si="110"/>
        <v>Unique</v>
      </c>
      <c r="C664" s="2" t="str">
        <f t="shared" si="114"/>
        <v>Jan</v>
      </c>
      <c r="D664" s="2">
        <f t="shared" si="115"/>
        <v>2024</v>
      </c>
      <c r="E664" s="4">
        <v>45305</v>
      </c>
      <c r="F664" s="4">
        <v>45309</v>
      </c>
      <c r="G664" s="6">
        <f t="shared" si="111"/>
        <v>4</v>
      </c>
      <c r="H664" s="6" t="str">
        <f t="shared" si="112"/>
        <v>Valid</v>
      </c>
      <c r="I664" t="s">
        <v>2078</v>
      </c>
      <c r="J664" t="s">
        <v>37</v>
      </c>
      <c r="K664" t="s">
        <v>96</v>
      </c>
      <c r="L664" t="s">
        <v>64</v>
      </c>
      <c r="M664" t="s">
        <v>27</v>
      </c>
      <c r="O664" t="s">
        <v>75</v>
      </c>
      <c r="P664" t="s">
        <v>275</v>
      </c>
      <c r="Q664" t="s">
        <v>2079</v>
      </c>
      <c r="R664" t="s">
        <v>45</v>
      </c>
      <c r="S664">
        <v>6</v>
      </c>
      <c r="T664">
        <v>1784.8</v>
      </c>
      <c r="U664" s="2">
        <f t="shared" si="116"/>
        <v>9637.92</v>
      </c>
      <c r="V664" s="13">
        <v>0.1</v>
      </c>
      <c r="W664" s="2">
        <f t="shared" si="117"/>
        <v>0.1</v>
      </c>
      <c r="X664" s="2" t="str">
        <f t="shared" si="118"/>
        <v>Valid</v>
      </c>
      <c r="Y664" s="2" t="str">
        <f t="shared" si="119"/>
        <v>Clean</v>
      </c>
      <c r="Z664">
        <v>9637.92</v>
      </c>
      <c r="AA664">
        <v>7329.29</v>
      </c>
      <c r="AB664" s="2">
        <f t="shared" si="113"/>
        <v>2308.63</v>
      </c>
      <c r="AC664">
        <v>2308.63</v>
      </c>
      <c r="AD664" s="11">
        <f t="shared" si="120"/>
        <v>0.2395361239769577</v>
      </c>
      <c r="AE664" t="s">
        <v>33</v>
      </c>
      <c r="AF664" t="s">
        <v>34</v>
      </c>
    </row>
    <row r="665" spans="1:32">
      <c r="A665" t="s">
        <v>2080</v>
      </c>
      <c r="B665" s="2" t="str">
        <f t="shared" si="110"/>
        <v>Unique</v>
      </c>
      <c r="C665" s="2" t="str">
        <f t="shared" si="114"/>
        <v>May</v>
      </c>
      <c r="D665" s="2">
        <f t="shared" si="115"/>
        <v>2024</v>
      </c>
      <c r="E665" s="4">
        <v>45414</v>
      </c>
      <c r="F665" s="4">
        <v>45420</v>
      </c>
      <c r="G665" s="6">
        <f t="shared" si="111"/>
        <v>6</v>
      </c>
      <c r="H665" s="6" t="str">
        <f t="shared" si="112"/>
        <v>Valid</v>
      </c>
      <c r="I665" t="s">
        <v>2081</v>
      </c>
      <c r="J665" t="s">
        <v>119</v>
      </c>
      <c r="K665" t="s">
        <v>96</v>
      </c>
      <c r="L665" t="s">
        <v>39</v>
      </c>
      <c r="M665" t="s">
        <v>229</v>
      </c>
      <c r="O665" t="s">
        <v>75</v>
      </c>
      <c r="P665" t="s">
        <v>81</v>
      </c>
      <c r="Q665" t="s">
        <v>2082</v>
      </c>
      <c r="R665" t="s">
        <v>32</v>
      </c>
      <c r="S665">
        <v>2</v>
      </c>
      <c r="T665">
        <v>3185.01</v>
      </c>
      <c r="U665" s="2" t="str">
        <f t="shared" si="116"/>
        <v>Invalid</v>
      </c>
      <c r="V665" s="13">
        <v>-0.24</v>
      </c>
      <c r="W665" s="2" t="str">
        <f t="shared" si="117"/>
        <v>Invalid</v>
      </c>
      <c r="X665" s="2" t="str">
        <f t="shared" si="118"/>
        <v>Invalid</v>
      </c>
      <c r="Y665" s="2" t="str">
        <f t="shared" si="119"/>
        <v>Invalid</v>
      </c>
      <c r="Z665">
        <v>4777.5200000000004</v>
      </c>
      <c r="AA665">
        <v>3152.98</v>
      </c>
      <c r="AB665" s="2" t="str">
        <f t="shared" si="113"/>
        <v>Invalid</v>
      </c>
      <c r="AC665">
        <v>1624.54</v>
      </c>
      <c r="AD665" s="11">
        <f t="shared" si="120"/>
        <v>0.34003834625496071</v>
      </c>
      <c r="AE665" t="s">
        <v>33</v>
      </c>
      <c r="AF665" t="s">
        <v>34</v>
      </c>
    </row>
    <row r="666" spans="1:32">
      <c r="A666" t="s">
        <v>2083</v>
      </c>
      <c r="B666" s="2" t="str">
        <f t="shared" si="110"/>
        <v>Unique</v>
      </c>
      <c r="C666" s="2" t="str">
        <f t="shared" si="114"/>
        <v>Dec</v>
      </c>
      <c r="D666" s="2">
        <f t="shared" si="115"/>
        <v>2024</v>
      </c>
      <c r="E666" s="4">
        <v>45633</v>
      </c>
      <c r="F666" s="4">
        <v>45636</v>
      </c>
      <c r="G666" s="6">
        <f t="shared" si="111"/>
        <v>3</v>
      </c>
      <c r="H666" s="6" t="str">
        <f t="shared" si="112"/>
        <v>Valid</v>
      </c>
      <c r="I666" t="s">
        <v>2084</v>
      </c>
      <c r="J666" t="s">
        <v>37</v>
      </c>
      <c r="K666" t="s">
        <v>96</v>
      </c>
      <c r="L666" t="s">
        <v>55</v>
      </c>
      <c r="M666" t="s">
        <v>56</v>
      </c>
      <c r="O666" t="s">
        <v>75</v>
      </c>
      <c r="P666" t="s">
        <v>76</v>
      </c>
      <c r="Q666" t="s">
        <v>2085</v>
      </c>
      <c r="R666" t="s">
        <v>60</v>
      </c>
      <c r="S666">
        <v>1</v>
      </c>
      <c r="T666">
        <v>1908.83</v>
      </c>
      <c r="U666" s="2">
        <f t="shared" si="116"/>
        <v>1527.0640000000001</v>
      </c>
      <c r="V666" s="13">
        <v>0.2</v>
      </c>
      <c r="W666" s="2">
        <f t="shared" si="117"/>
        <v>0.2</v>
      </c>
      <c r="X666" s="2" t="str">
        <f t="shared" si="118"/>
        <v>Valid</v>
      </c>
      <c r="Y666" s="2" t="str">
        <f t="shared" si="119"/>
        <v>Clean</v>
      </c>
      <c r="Z666">
        <v>1527.06</v>
      </c>
      <c r="AA666">
        <v>1055.8900000000001</v>
      </c>
      <c r="AB666" s="2">
        <f t="shared" si="113"/>
        <v>471.17399999999998</v>
      </c>
      <c r="AC666">
        <v>471.17</v>
      </c>
      <c r="AD666" s="11">
        <f t="shared" si="120"/>
        <v>0.30854714287585294</v>
      </c>
      <c r="AE666" t="s">
        <v>33</v>
      </c>
      <c r="AF666" t="s">
        <v>34</v>
      </c>
    </row>
    <row r="667" spans="1:32">
      <c r="A667" t="s">
        <v>2086</v>
      </c>
      <c r="B667" s="2" t="str">
        <f t="shared" si="110"/>
        <v>Unique</v>
      </c>
      <c r="C667" s="2" t="str">
        <f t="shared" si="114"/>
        <v>Jan</v>
      </c>
      <c r="D667" s="2">
        <f t="shared" si="115"/>
        <v>2025</v>
      </c>
      <c r="E667" s="4">
        <v>45670</v>
      </c>
      <c r="F667" s="4">
        <v>45670</v>
      </c>
      <c r="G667" s="6">
        <f t="shared" si="111"/>
        <v>0</v>
      </c>
      <c r="H667" s="6" t="str">
        <f t="shared" si="112"/>
        <v>Valid</v>
      </c>
      <c r="I667" t="s">
        <v>2087</v>
      </c>
      <c r="J667" t="s">
        <v>119</v>
      </c>
      <c r="K667" t="s">
        <v>96</v>
      </c>
      <c r="L667" t="s">
        <v>64</v>
      </c>
      <c r="M667" t="s">
        <v>181</v>
      </c>
      <c r="O667" t="s">
        <v>29</v>
      </c>
      <c r="P667" t="s">
        <v>49</v>
      </c>
      <c r="Q667" t="s">
        <v>2088</v>
      </c>
      <c r="R667" t="s">
        <v>60</v>
      </c>
      <c r="S667">
        <v>3</v>
      </c>
      <c r="T667">
        <v>2110.52</v>
      </c>
      <c r="U667" s="2">
        <f t="shared" si="116"/>
        <v>5698.4039999999995</v>
      </c>
      <c r="V667" s="13">
        <v>0.1</v>
      </c>
      <c r="W667" s="2">
        <f t="shared" si="117"/>
        <v>0.1</v>
      </c>
      <c r="X667" s="2" t="str">
        <f t="shared" si="118"/>
        <v>Valid</v>
      </c>
      <c r="Y667" s="2" t="str">
        <f t="shared" si="119"/>
        <v>Clean</v>
      </c>
      <c r="Z667">
        <v>5698.4</v>
      </c>
      <c r="AA667">
        <v>3640.89</v>
      </c>
      <c r="AB667" s="2">
        <f t="shared" si="113"/>
        <v>2057.5139999999997</v>
      </c>
      <c r="AC667">
        <v>2057.5100000000002</v>
      </c>
      <c r="AD667" s="11">
        <f t="shared" si="120"/>
        <v>0.36106801909307884</v>
      </c>
      <c r="AE667" t="s">
        <v>156</v>
      </c>
      <c r="AF667" t="s">
        <v>69</v>
      </c>
    </row>
    <row r="668" spans="1:32">
      <c r="A668" t="s">
        <v>2089</v>
      </c>
      <c r="B668" s="2" t="str">
        <f t="shared" si="110"/>
        <v>Unique</v>
      </c>
      <c r="C668" s="2" t="str">
        <f t="shared" si="114"/>
        <v>Jun</v>
      </c>
      <c r="D668" s="2">
        <f t="shared" si="115"/>
        <v>2024</v>
      </c>
      <c r="E668" s="4">
        <v>45464</v>
      </c>
      <c r="F668" s="4">
        <v>45469</v>
      </c>
      <c r="G668" s="6">
        <f t="shared" si="111"/>
        <v>5</v>
      </c>
      <c r="H668" s="6" t="str">
        <f t="shared" si="112"/>
        <v>Valid</v>
      </c>
      <c r="I668" t="s">
        <v>2090</v>
      </c>
      <c r="J668" t="s">
        <v>142</v>
      </c>
      <c r="K668" t="s">
        <v>38</v>
      </c>
      <c r="L668" t="s">
        <v>26</v>
      </c>
      <c r="M668" t="s">
        <v>123</v>
      </c>
      <c r="O668" t="s">
        <v>75</v>
      </c>
      <c r="P668" t="s">
        <v>81</v>
      </c>
      <c r="Q668" t="s">
        <v>2091</v>
      </c>
      <c r="R668" t="s">
        <v>45</v>
      </c>
      <c r="S668">
        <v>1</v>
      </c>
      <c r="T668">
        <v>279.83</v>
      </c>
      <c r="U668" s="2">
        <f t="shared" si="116"/>
        <v>265.83849999999995</v>
      </c>
      <c r="V668" s="13">
        <v>0.05</v>
      </c>
      <c r="W668" s="2">
        <f t="shared" si="117"/>
        <v>0.05</v>
      </c>
      <c r="X668" s="2" t="str">
        <f t="shared" si="118"/>
        <v>Valid</v>
      </c>
      <c r="Y668" s="2" t="str">
        <f t="shared" si="119"/>
        <v>Clean</v>
      </c>
      <c r="Z668">
        <v>265.83999999999997</v>
      </c>
      <c r="AA668">
        <v>223.49</v>
      </c>
      <c r="AB668" s="2">
        <f t="shared" si="113"/>
        <v>42.348499999999945</v>
      </c>
      <c r="AC668">
        <v>42.35</v>
      </c>
      <c r="AD668" s="11">
        <f t="shared" si="120"/>
        <v>0.15930634968402049</v>
      </c>
      <c r="AE668" t="s">
        <v>33</v>
      </c>
      <c r="AF668" t="s">
        <v>34</v>
      </c>
    </row>
    <row r="669" spans="1:32">
      <c r="A669" t="s">
        <v>2092</v>
      </c>
      <c r="B669" s="2" t="str">
        <f t="shared" si="110"/>
        <v>Unique</v>
      </c>
      <c r="C669" s="2" t="str">
        <f t="shared" si="114"/>
        <v>May</v>
      </c>
      <c r="D669" s="2">
        <f t="shared" si="115"/>
        <v>2025</v>
      </c>
      <c r="E669" s="4">
        <v>45797</v>
      </c>
      <c r="F669" s="4">
        <v>45804</v>
      </c>
      <c r="G669" s="6">
        <f t="shared" si="111"/>
        <v>7</v>
      </c>
      <c r="H669" s="6" t="str">
        <f t="shared" si="112"/>
        <v>Valid</v>
      </c>
      <c r="I669" t="s">
        <v>2093</v>
      </c>
      <c r="J669" t="s">
        <v>163</v>
      </c>
      <c r="K669" t="s">
        <v>38</v>
      </c>
      <c r="L669" t="s">
        <v>39</v>
      </c>
      <c r="M669" t="s">
        <v>146</v>
      </c>
      <c r="O669" t="s">
        <v>75</v>
      </c>
      <c r="P669" t="s">
        <v>275</v>
      </c>
      <c r="Q669" t="s">
        <v>2094</v>
      </c>
      <c r="R669" t="s">
        <v>60</v>
      </c>
      <c r="S669">
        <v>1</v>
      </c>
      <c r="T669">
        <v>3959.14</v>
      </c>
      <c r="U669" s="2">
        <f t="shared" si="116"/>
        <v>3959.14</v>
      </c>
      <c r="V669" s="13">
        <v>0</v>
      </c>
      <c r="W669" s="2">
        <f t="shared" si="117"/>
        <v>0</v>
      </c>
      <c r="X669" s="2" t="str">
        <f t="shared" si="118"/>
        <v>Valid</v>
      </c>
      <c r="Y669" s="2" t="str">
        <f t="shared" si="119"/>
        <v>Clean</v>
      </c>
      <c r="Z669">
        <v>3959.14</v>
      </c>
      <c r="AA669">
        <v>3239.53</v>
      </c>
      <c r="AB669" s="2">
        <f t="shared" si="113"/>
        <v>719.60999999999967</v>
      </c>
      <c r="AC669">
        <v>719.61</v>
      </c>
      <c r="AD669" s="11">
        <f t="shared" si="120"/>
        <v>0.18175916992074037</v>
      </c>
      <c r="AE669" t="s">
        <v>112</v>
      </c>
      <c r="AF669" t="s">
        <v>104</v>
      </c>
    </row>
    <row r="670" spans="1:32">
      <c r="A670" t="s">
        <v>2095</v>
      </c>
      <c r="B670" s="2" t="str">
        <f t="shared" si="110"/>
        <v>Unique</v>
      </c>
      <c r="C670" s="2" t="str">
        <f t="shared" si="114"/>
        <v>Nov</v>
      </c>
      <c r="D670" s="2">
        <f t="shared" si="115"/>
        <v>2024</v>
      </c>
      <c r="E670" s="4">
        <v>45617</v>
      </c>
      <c r="F670" s="4">
        <v>45619</v>
      </c>
      <c r="G670" s="6">
        <f t="shared" si="111"/>
        <v>2</v>
      </c>
      <c r="H670" s="6" t="str">
        <f t="shared" si="112"/>
        <v>Valid</v>
      </c>
      <c r="I670" t="s">
        <v>2096</v>
      </c>
      <c r="J670" t="s">
        <v>37</v>
      </c>
      <c r="K670" t="s">
        <v>91</v>
      </c>
      <c r="L670" t="s">
        <v>64</v>
      </c>
      <c r="M670" t="s">
        <v>181</v>
      </c>
      <c r="O670" t="s">
        <v>29</v>
      </c>
      <c r="P670" t="s">
        <v>30</v>
      </c>
      <c r="Q670" t="s">
        <v>2097</v>
      </c>
      <c r="R670" t="s">
        <v>32</v>
      </c>
      <c r="S670">
        <v>5</v>
      </c>
      <c r="T670">
        <v>600.46</v>
      </c>
      <c r="U670" s="2">
        <f t="shared" si="116"/>
        <v>2401.84</v>
      </c>
      <c r="V670" s="13">
        <v>0.2</v>
      </c>
      <c r="W670" s="2">
        <f t="shared" si="117"/>
        <v>0.2</v>
      </c>
      <c r="X670" s="2" t="str">
        <f t="shared" si="118"/>
        <v>Valid</v>
      </c>
      <c r="Y670" s="2" t="str">
        <f t="shared" si="119"/>
        <v>Clean</v>
      </c>
      <c r="Z670">
        <v>2401.84</v>
      </c>
      <c r="AA670">
        <v>1873.11</v>
      </c>
      <c r="AB670" s="2">
        <f t="shared" si="113"/>
        <v>528.73000000000025</v>
      </c>
      <c r="AC670">
        <v>528.73</v>
      </c>
      <c r="AD670" s="11">
        <f t="shared" si="120"/>
        <v>0.22013539619624953</v>
      </c>
      <c r="AE670" t="s">
        <v>33</v>
      </c>
      <c r="AF670" t="s">
        <v>34</v>
      </c>
    </row>
    <row r="671" spans="1:32">
      <c r="A671" t="s">
        <v>2098</v>
      </c>
      <c r="B671" s="2" t="str">
        <f t="shared" si="110"/>
        <v>Unique</v>
      </c>
      <c r="C671" s="2" t="str">
        <f t="shared" si="114"/>
        <v>Mar</v>
      </c>
      <c r="D671" s="2">
        <f t="shared" si="115"/>
        <v>2024</v>
      </c>
      <c r="E671" s="4">
        <v>45375</v>
      </c>
      <c r="F671" s="4">
        <v>45383</v>
      </c>
      <c r="G671" s="6">
        <f t="shared" si="111"/>
        <v>8</v>
      </c>
      <c r="H671" s="6" t="str">
        <f t="shared" si="112"/>
        <v>Valid</v>
      </c>
      <c r="I671" t="s">
        <v>2099</v>
      </c>
      <c r="J671" t="s">
        <v>63</v>
      </c>
      <c r="K671" t="s">
        <v>96</v>
      </c>
      <c r="L671" t="s">
        <v>64</v>
      </c>
      <c r="M671" t="s">
        <v>65</v>
      </c>
      <c r="O671" t="s">
        <v>42</v>
      </c>
      <c r="P671" t="s">
        <v>43</v>
      </c>
      <c r="Q671" t="s">
        <v>2100</v>
      </c>
      <c r="R671" t="s">
        <v>32</v>
      </c>
      <c r="S671">
        <v>4</v>
      </c>
      <c r="T671">
        <v>1700.72</v>
      </c>
      <c r="U671" s="2">
        <f t="shared" si="116"/>
        <v>5102.16</v>
      </c>
      <c r="V671" s="13">
        <v>0.25</v>
      </c>
      <c r="W671" s="2">
        <f t="shared" si="117"/>
        <v>0.25</v>
      </c>
      <c r="X671" s="2" t="str">
        <f t="shared" si="118"/>
        <v>Valid</v>
      </c>
      <c r="Y671" s="2" t="str">
        <f t="shared" si="119"/>
        <v>Clean</v>
      </c>
      <c r="Z671">
        <v>5102.16</v>
      </c>
      <c r="AA671">
        <v>3226.45</v>
      </c>
      <c r="AB671" s="2">
        <f t="shared" si="113"/>
        <v>1875.71</v>
      </c>
      <c r="AC671">
        <v>1875.71</v>
      </c>
      <c r="AD671" s="11">
        <f t="shared" si="120"/>
        <v>0.36763057214983458</v>
      </c>
      <c r="AE671" t="s">
        <v>33</v>
      </c>
      <c r="AF671" t="s">
        <v>34</v>
      </c>
    </row>
    <row r="672" spans="1:32">
      <c r="A672" t="s">
        <v>2101</v>
      </c>
      <c r="B672" s="2" t="str">
        <f t="shared" si="110"/>
        <v>Unique</v>
      </c>
      <c r="C672" s="2" t="str">
        <f t="shared" si="114"/>
        <v>Feb</v>
      </c>
      <c r="D672" s="2">
        <f t="shared" si="115"/>
        <v>2025</v>
      </c>
      <c r="E672" s="4">
        <v>45690</v>
      </c>
      <c r="F672" s="4">
        <v>45694</v>
      </c>
      <c r="G672" s="6">
        <f t="shared" si="111"/>
        <v>4</v>
      </c>
      <c r="H672" s="6" t="str">
        <f t="shared" si="112"/>
        <v>Valid</v>
      </c>
      <c r="I672" t="s">
        <v>1602</v>
      </c>
      <c r="J672" t="s">
        <v>133</v>
      </c>
      <c r="K672" t="s">
        <v>91</v>
      </c>
      <c r="L672" t="s">
        <v>26</v>
      </c>
      <c r="M672" t="s">
        <v>137</v>
      </c>
      <c r="O672" t="s">
        <v>42</v>
      </c>
      <c r="P672" t="s">
        <v>43</v>
      </c>
      <c r="Q672" t="s">
        <v>2102</v>
      </c>
      <c r="R672" t="s">
        <v>60</v>
      </c>
      <c r="S672">
        <v>8</v>
      </c>
      <c r="T672">
        <v>857.86</v>
      </c>
      <c r="U672" s="2">
        <f t="shared" si="116"/>
        <v>6176.5920000000006</v>
      </c>
      <c r="V672" s="13">
        <v>0.1</v>
      </c>
      <c r="W672" s="2">
        <f t="shared" si="117"/>
        <v>0.1</v>
      </c>
      <c r="X672" s="2" t="str">
        <f t="shared" si="118"/>
        <v>Valid</v>
      </c>
      <c r="Y672" s="2" t="str">
        <f t="shared" si="119"/>
        <v>Clean</v>
      </c>
      <c r="Z672">
        <v>6176.59</v>
      </c>
      <c r="AA672">
        <v>3560.96</v>
      </c>
      <c r="AB672" s="2">
        <f t="shared" si="113"/>
        <v>2615.6320000000005</v>
      </c>
      <c r="AC672">
        <v>2615.63</v>
      </c>
      <c r="AD672" s="11">
        <f t="shared" si="120"/>
        <v>0.42347476520215849</v>
      </c>
      <c r="AE672" t="s">
        <v>33</v>
      </c>
      <c r="AF672" t="s">
        <v>34</v>
      </c>
    </row>
    <row r="673" spans="1:32">
      <c r="A673" t="s">
        <v>2103</v>
      </c>
      <c r="B673" s="2" t="str">
        <f t="shared" si="110"/>
        <v>Unique</v>
      </c>
      <c r="C673" s="2" t="str">
        <f t="shared" si="114"/>
        <v>Mar</v>
      </c>
      <c r="D673" s="2">
        <f t="shared" si="115"/>
        <v>2024</v>
      </c>
      <c r="E673" s="4">
        <v>45373</v>
      </c>
      <c r="F673" s="4">
        <v>45378</v>
      </c>
      <c r="G673" s="6">
        <f t="shared" si="111"/>
        <v>5</v>
      </c>
      <c r="H673" s="6" t="str">
        <f t="shared" si="112"/>
        <v>Valid</v>
      </c>
      <c r="I673" t="s">
        <v>2104</v>
      </c>
      <c r="J673" t="s">
        <v>90</v>
      </c>
      <c r="K673" t="s">
        <v>96</v>
      </c>
      <c r="L673" t="s">
        <v>64</v>
      </c>
      <c r="M673" t="s">
        <v>191</v>
      </c>
      <c r="O673" t="s">
        <v>75</v>
      </c>
      <c r="P673" t="s">
        <v>2105</v>
      </c>
      <c r="Q673" t="s">
        <v>2106</v>
      </c>
      <c r="R673" t="s">
        <v>32</v>
      </c>
      <c r="S673">
        <v>9</v>
      </c>
      <c r="T673">
        <v>3649.51</v>
      </c>
      <c r="U673" s="2">
        <f t="shared" si="116"/>
        <v>31203.310500000003</v>
      </c>
      <c r="V673" s="13">
        <v>0.05</v>
      </c>
      <c r="W673" s="2">
        <f t="shared" si="117"/>
        <v>0.05</v>
      </c>
      <c r="X673" s="2" t="str">
        <f t="shared" si="118"/>
        <v>Valid</v>
      </c>
      <c r="Y673" s="2" t="str">
        <f t="shared" si="119"/>
        <v>Clean</v>
      </c>
      <c r="Z673">
        <v>31203.31</v>
      </c>
      <c r="AA673">
        <v>17738.13</v>
      </c>
      <c r="AB673" s="2">
        <f t="shared" si="113"/>
        <v>13465.180500000002</v>
      </c>
      <c r="AC673">
        <v>13465.18</v>
      </c>
      <c r="AD673" s="11">
        <f t="shared" si="120"/>
        <v>0.43153050109107016</v>
      </c>
      <c r="AE673" t="s">
        <v>33</v>
      </c>
      <c r="AF673" t="s">
        <v>34</v>
      </c>
    </row>
    <row r="674" spans="1:32">
      <c r="A674" t="s">
        <v>2107</v>
      </c>
      <c r="B674" s="2" t="str">
        <f t="shared" si="110"/>
        <v>Unique</v>
      </c>
      <c r="C674" s="2" t="str">
        <f t="shared" si="114"/>
        <v>Sep</v>
      </c>
      <c r="D674" s="2">
        <f t="shared" si="115"/>
        <v>2024</v>
      </c>
      <c r="E674" s="4">
        <v>45539</v>
      </c>
      <c r="F674" s="4">
        <v>45540</v>
      </c>
      <c r="G674" s="6">
        <f t="shared" si="111"/>
        <v>1</v>
      </c>
      <c r="H674" s="6" t="str">
        <f t="shared" si="112"/>
        <v>Valid</v>
      </c>
      <c r="I674" t="s">
        <v>2108</v>
      </c>
      <c r="J674" t="s">
        <v>90</v>
      </c>
      <c r="K674" t="s">
        <v>91</v>
      </c>
      <c r="L674" t="s">
        <v>64</v>
      </c>
      <c r="M674" t="s">
        <v>73</v>
      </c>
      <c r="O674" t="s">
        <v>42</v>
      </c>
      <c r="P674" t="s">
        <v>67</v>
      </c>
      <c r="Q674" t="s">
        <v>2109</v>
      </c>
      <c r="R674" t="s">
        <v>60</v>
      </c>
      <c r="S674">
        <v>5</v>
      </c>
      <c r="T674">
        <v>2528.5300000000002</v>
      </c>
      <c r="U674" s="2">
        <f t="shared" si="116"/>
        <v>12010.5175</v>
      </c>
      <c r="V674" s="13">
        <v>0.05</v>
      </c>
      <c r="W674" s="2">
        <f t="shared" si="117"/>
        <v>0.05</v>
      </c>
      <c r="X674" s="2" t="str">
        <f t="shared" si="118"/>
        <v>Valid</v>
      </c>
      <c r="Y674" s="2" t="str">
        <f t="shared" si="119"/>
        <v>Clean</v>
      </c>
      <c r="Z674">
        <v>12010.52</v>
      </c>
      <c r="AA674">
        <v>7864.61</v>
      </c>
      <c r="AB674" s="2">
        <f t="shared" si="113"/>
        <v>4145.9075000000003</v>
      </c>
      <c r="AC674">
        <v>4145.91</v>
      </c>
      <c r="AD674" s="11">
        <f t="shared" si="120"/>
        <v>0.34518988353543389</v>
      </c>
      <c r="AE674" t="s">
        <v>33</v>
      </c>
      <c r="AF674" t="s">
        <v>104</v>
      </c>
    </row>
    <row r="675" spans="1:32">
      <c r="A675" t="s">
        <v>2110</v>
      </c>
      <c r="B675" s="2" t="str">
        <f t="shared" si="110"/>
        <v>Unique</v>
      </c>
      <c r="C675" s="2" t="str">
        <f t="shared" si="114"/>
        <v>Feb</v>
      </c>
      <c r="D675" s="2">
        <f t="shared" si="115"/>
        <v>2025</v>
      </c>
      <c r="E675" s="4">
        <v>45701</v>
      </c>
      <c r="F675" s="4">
        <v>45704</v>
      </c>
      <c r="G675" s="6">
        <f t="shared" si="111"/>
        <v>3</v>
      </c>
      <c r="H675" s="6" t="str">
        <f t="shared" si="112"/>
        <v>Valid</v>
      </c>
      <c r="I675" t="s">
        <v>2111</v>
      </c>
      <c r="J675" t="s">
        <v>54</v>
      </c>
      <c r="K675" t="s">
        <v>38</v>
      </c>
      <c r="L675" t="s">
        <v>64</v>
      </c>
      <c r="M675" t="s">
        <v>27</v>
      </c>
      <c r="O675" t="s">
        <v>42</v>
      </c>
      <c r="P675" t="s">
        <v>159</v>
      </c>
      <c r="Q675" t="s">
        <v>2112</v>
      </c>
      <c r="R675" t="s">
        <v>32</v>
      </c>
      <c r="S675">
        <v>4</v>
      </c>
      <c r="T675">
        <v>4072.9</v>
      </c>
      <c r="U675" s="2">
        <f t="shared" si="116"/>
        <v>13847.86</v>
      </c>
      <c r="V675" s="13">
        <v>0.15</v>
      </c>
      <c r="W675" s="2">
        <f t="shared" si="117"/>
        <v>0.15</v>
      </c>
      <c r="X675" s="2" t="str">
        <f t="shared" si="118"/>
        <v>Valid</v>
      </c>
      <c r="Y675" s="2" t="str">
        <f t="shared" si="119"/>
        <v>Clean</v>
      </c>
      <c r="Z675">
        <v>13847.86</v>
      </c>
      <c r="AA675">
        <v>8471.7800000000007</v>
      </c>
      <c r="AB675" s="2">
        <f t="shared" si="113"/>
        <v>5376.08</v>
      </c>
      <c r="AC675">
        <v>5376.08</v>
      </c>
      <c r="AD675" s="11">
        <f t="shared" si="120"/>
        <v>0.38822460654570451</v>
      </c>
      <c r="AE675" t="s">
        <v>33</v>
      </c>
      <c r="AF675" t="s">
        <v>34</v>
      </c>
    </row>
    <row r="676" spans="1:32">
      <c r="A676" t="s">
        <v>2113</v>
      </c>
      <c r="B676" s="2" t="str">
        <f t="shared" si="110"/>
        <v>Unique</v>
      </c>
      <c r="C676" s="2" t="str">
        <f t="shared" si="114"/>
        <v>May</v>
      </c>
      <c r="D676" s="2">
        <f t="shared" si="115"/>
        <v>2024</v>
      </c>
      <c r="E676" s="4">
        <v>45430</v>
      </c>
      <c r="F676" s="4">
        <v>45433</v>
      </c>
      <c r="G676" s="6">
        <f t="shared" si="111"/>
        <v>3</v>
      </c>
      <c r="H676" s="6" t="str">
        <f t="shared" si="112"/>
        <v>Valid</v>
      </c>
      <c r="I676" t="s">
        <v>2114</v>
      </c>
      <c r="J676" t="s">
        <v>72</v>
      </c>
      <c r="K676" t="s">
        <v>91</v>
      </c>
      <c r="L676" t="s">
        <v>39</v>
      </c>
      <c r="M676" t="s">
        <v>229</v>
      </c>
      <c r="O676" t="s">
        <v>75</v>
      </c>
      <c r="P676" t="s">
        <v>76</v>
      </c>
      <c r="Q676" t="s">
        <v>2115</v>
      </c>
      <c r="R676" t="s">
        <v>32</v>
      </c>
      <c r="S676">
        <v>1</v>
      </c>
      <c r="T676">
        <v>1033.71</v>
      </c>
      <c r="U676" s="2">
        <f t="shared" si="116"/>
        <v>1033.71</v>
      </c>
      <c r="V676" s="13">
        <v>0</v>
      </c>
      <c r="W676" s="2">
        <f t="shared" si="117"/>
        <v>0</v>
      </c>
      <c r="X676" s="2" t="str">
        <f t="shared" si="118"/>
        <v>Valid</v>
      </c>
      <c r="Y676" s="2" t="str">
        <f t="shared" si="119"/>
        <v>Clean</v>
      </c>
      <c r="Z676">
        <v>1033.71</v>
      </c>
      <c r="AA676">
        <v>630.82000000000005</v>
      </c>
      <c r="AB676" s="2">
        <f t="shared" si="113"/>
        <v>402.89</v>
      </c>
      <c r="AC676">
        <v>402.89</v>
      </c>
      <c r="AD676" s="11">
        <f t="shared" si="120"/>
        <v>0.38975147768716562</v>
      </c>
      <c r="AE676" t="s">
        <v>112</v>
      </c>
      <c r="AF676" t="s">
        <v>104</v>
      </c>
    </row>
    <row r="677" spans="1:32">
      <c r="A677" t="s">
        <v>2116</v>
      </c>
      <c r="B677" s="2" t="str">
        <f t="shared" si="110"/>
        <v>Unique</v>
      </c>
      <c r="C677" s="2" t="str">
        <f t="shared" si="114"/>
        <v>Jun</v>
      </c>
      <c r="D677" s="2">
        <f t="shared" si="115"/>
        <v>2025</v>
      </c>
      <c r="E677" s="4">
        <v>45815</v>
      </c>
      <c r="F677" s="4">
        <v>45818</v>
      </c>
      <c r="G677" s="6">
        <f t="shared" si="111"/>
        <v>3</v>
      </c>
      <c r="H677" s="6" t="str">
        <f t="shared" si="112"/>
        <v>Valid</v>
      </c>
      <c r="I677" t="s">
        <v>2015</v>
      </c>
      <c r="J677" t="s">
        <v>129</v>
      </c>
      <c r="K677" t="s">
        <v>25</v>
      </c>
      <c r="L677" t="s">
        <v>26</v>
      </c>
      <c r="M677" t="s">
        <v>27</v>
      </c>
      <c r="O677" t="s">
        <v>42</v>
      </c>
      <c r="P677" t="s">
        <v>58</v>
      </c>
      <c r="Q677" t="s">
        <v>2117</v>
      </c>
      <c r="R677" t="s">
        <v>45</v>
      </c>
      <c r="S677">
        <v>3</v>
      </c>
      <c r="T677">
        <v>963.26</v>
      </c>
      <c r="U677" s="2">
        <f t="shared" si="116"/>
        <v>2889.7799999999997</v>
      </c>
      <c r="V677" s="13">
        <v>0</v>
      </c>
      <c r="W677" s="2">
        <f t="shared" si="117"/>
        <v>0</v>
      </c>
      <c r="X677" s="2" t="str">
        <f t="shared" si="118"/>
        <v>Valid</v>
      </c>
      <c r="Y677" s="2" t="str">
        <f t="shared" si="119"/>
        <v>Clean</v>
      </c>
      <c r="Z677">
        <v>2889.78</v>
      </c>
      <c r="AA677">
        <v>1811.23</v>
      </c>
      <c r="AB677" s="2">
        <f t="shared" si="113"/>
        <v>1078.5499999999997</v>
      </c>
      <c r="AC677">
        <v>1078.55</v>
      </c>
      <c r="AD677" s="11">
        <f t="shared" si="120"/>
        <v>0.37322910394562903</v>
      </c>
      <c r="AE677" t="s">
        <v>33</v>
      </c>
      <c r="AF677" t="s">
        <v>34</v>
      </c>
    </row>
    <row r="678" spans="1:32">
      <c r="A678" t="s">
        <v>2118</v>
      </c>
      <c r="B678" s="2" t="str">
        <f t="shared" si="110"/>
        <v>Unique</v>
      </c>
      <c r="C678" s="2" t="str">
        <f t="shared" si="114"/>
        <v>Sep</v>
      </c>
      <c r="D678" s="2">
        <f t="shared" si="115"/>
        <v>2025</v>
      </c>
      <c r="E678" s="4">
        <v>45911</v>
      </c>
      <c r="F678" s="4">
        <v>45918</v>
      </c>
      <c r="G678" s="6">
        <f t="shared" si="111"/>
        <v>7</v>
      </c>
      <c r="H678" s="6" t="str">
        <f t="shared" si="112"/>
        <v>Valid</v>
      </c>
      <c r="I678" t="s">
        <v>2119</v>
      </c>
      <c r="J678" t="s">
        <v>119</v>
      </c>
      <c r="K678" t="s">
        <v>38</v>
      </c>
      <c r="L678" t="s">
        <v>26</v>
      </c>
      <c r="M678" t="s">
        <v>351</v>
      </c>
      <c r="O678" t="s">
        <v>75</v>
      </c>
      <c r="P678" t="s">
        <v>172</v>
      </c>
      <c r="Q678" t="s">
        <v>2120</v>
      </c>
      <c r="R678" t="s">
        <v>45</v>
      </c>
      <c r="S678">
        <v>7</v>
      </c>
      <c r="T678">
        <v>3411.21</v>
      </c>
      <c r="U678" s="2">
        <f t="shared" si="116"/>
        <v>20296.699499999999</v>
      </c>
      <c r="V678" s="13">
        <v>0.15</v>
      </c>
      <c r="W678" s="2">
        <f t="shared" si="117"/>
        <v>0.15</v>
      </c>
      <c r="X678" s="2" t="str">
        <f t="shared" si="118"/>
        <v>Valid</v>
      </c>
      <c r="Y678" s="2" t="str">
        <f t="shared" si="119"/>
        <v>Clean</v>
      </c>
      <c r="Z678">
        <v>20296.7</v>
      </c>
      <c r="AA678">
        <v>14920.87</v>
      </c>
      <c r="AB678" s="2">
        <f t="shared" si="113"/>
        <v>5375.829499999998</v>
      </c>
      <c r="AC678">
        <v>5375.83</v>
      </c>
      <c r="AD678" s="11">
        <f t="shared" si="120"/>
        <v>0.26486226825050374</v>
      </c>
      <c r="AE678" t="s">
        <v>33</v>
      </c>
      <c r="AF678" t="s">
        <v>34</v>
      </c>
    </row>
    <row r="679" spans="1:32">
      <c r="A679" t="s">
        <v>2121</v>
      </c>
      <c r="B679" s="2" t="str">
        <f t="shared" si="110"/>
        <v>Unique</v>
      </c>
      <c r="C679" s="2" t="str">
        <f t="shared" si="114"/>
        <v>Jun</v>
      </c>
      <c r="D679" s="2">
        <f t="shared" si="115"/>
        <v>2024</v>
      </c>
      <c r="E679" s="4">
        <v>45465</v>
      </c>
      <c r="F679" s="4">
        <v>45470</v>
      </c>
      <c r="G679" s="6">
        <f t="shared" si="111"/>
        <v>5</v>
      </c>
      <c r="H679" s="6" t="str">
        <f t="shared" si="112"/>
        <v>Valid</v>
      </c>
      <c r="I679" t="s">
        <v>23</v>
      </c>
      <c r="J679" t="s">
        <v>48</v>
      </c>
      <c r="K679" t="s">
        <v>96</v>
      </c>
      <c r="L679" t="s">
        <v>55</v>
      </c>
      <c r="M679" t="s">
        <v>176</v>
      </c>
      <c r="O679" t="s">
        <v>42</v>
      </c>
      <c r="P679" t="s">
        <v>67</v>
      </c>
      <c r="Q679" t="s">
        <v>2122</v>
      </c>
      <c r="R679" t="s">
        <v>45</v>
      </c>
      <c r="S679">
        <v>7</v>
      </c>
      <c r="T679">
        <v>2623.48</v>
      </c>
      <c r="U679" s="2">
        <f t="shared" si="116"/>
        <v>18364.36</v>
      </c>
      <c r="V679" s="13">
        <v>0</v>
      </c>
      <c r="W679" s="2">
        <f t="shared" si="117"/>
        <v>0</v>
      </c>
      <c r="X679" s="2" t="str">
        <f t="shared" si="118"/>
        <v>Valid</v>
      </c>
      <c r="Y679" s="2" t="str">
        <f t="shared" si="119"/>
        <v>Clean</v>
      </c>
      <c r="Z679">
        <v>18364.36</v>
      </c>
      <c r="AA679">
        <v>15445.81</v>
      </c>
      <c r="AB679" s="2">
        <f t="shared" si="113"/>
        <v>2918.5500000000011</v>
      </c>
      <c r="AC679">
        <v>2918.55</v>
      </c>
      <c r="AD679" s="11">
        <f t="shared" si="120"/>
        <v>0.15892467801763852</v>
      </c>
      <c r="AE679" t="s">
        <v>33</v>
      </c>
      <c r="AF679" t="s">
        <v>34</v>
      </c>
    </row>
    <row r="680" spans="1:32">
      <c r="A680" t="s">
        <v>2123</v>
      </c>
      <c r="B680" s="2" t="str">
        <f t="shared" si="110"/>
        <v>Unique</v>
      </c>
      <c r="C680" s="2" t="str">
        <f t="shared" si="114"/>
        <v>Nov</v>
      </c>
      <c r="D680" s="2">
        <f t="shared" si="115"/>
        <v>2024</v>
      </c>
      <c r="E680" s="4">
        <v>45620</v>
      </c>
      <c r="F680" s="4">
        <v>45627</v>
      </c>
      <c r="G680" s="6">
        <f t="shared" si="111"/>
        <v>7</v>
      </c>
      <c r="H680" s="6" t="str">
        <f t="shared" si="112"/>
        <v>Valid</v>
      </c>
      <c r="I680" t="s">
        <v>2124</v>
      </c>
      <c r="J680" t="s">
        <v>265</v>
      </c>
      <c r="K680" t="s">
        <v>91</v>
      </c>
      <c r="L680" t="s">
        <v>55</v>
      </c>
      <c r="M680" t="s">
        <v>176</v>
      </c>
      <c r="O680" t="s">
        <v>42</v>
      </c>
      <c r="P680" t="s">
        <v>43</v>
      </c>
      <c r="Q680" t="s">
        <v>2125</v>
      </c>
      <c r="R680" t="s">
        <v>32</v>
      </c>
      <c r="S680">
        <v>9</v>
      </c>
      <c r="T680">
        <v>2763.61</v>
      </c>
      <c r="U680" s="2">
        <f t="shared" si="116"/>
        <v>21141.6165</v>
      </c>
      <c r="V680" s="13">
        <v>0.15</v>
      </c>
      <c r="W680" s="2">
        <f t="shared" si="117"/>
        <v>0.15</v>
      </c>
      <c r="X680" s="2" t="str">
        <f t="shared" si="118"/>
        <v>Valid</v>
      </c>
      <c r="Y680" s="2" t="str">
        <f t="shared" si="119"/>
        <v>Clean</v>
      </c>
      <c r="Z680">
        <v>21141.62</v>
      </c>
      <c r="AA680">
        <v>11676.33</v>
      </c>
      <c r="AB680" s="2">
        <f t="shared" si="113"/>
        <v>9465.2865000000002</v>
      </c>
      <c r="AC680">
        <v>9465.2900000000009</v>
      </c>
      <c r="AD680" s="11">
        <f t="shared" si="120"/>
        <v>0.44770883215193547</v>
      </c>
      <c r="AE680" t="s">
        <v>33</v>
      </c>
      <c r="AF680" t="s">
        <v>34</v>
      </c>
    </row>
    <row r="681" spans="1:32">
      <c r="A681" t="s">
        <v>2126</v>
      </c>
      <c r="B681" s="2" t="str">
        <f t="shared" si="110"/>
        <v>Unique</v>
      </c>
      <c r="C681" s="2" t="str">
        <f t="shared" si="114"/>
        <v>Aug</v>
      </c>
      <c r="D681" s="2">
        <f t="shared" si="115"/>
        <v>2025</v>
      </c>
      <c r="E681" s="4">
        <v>45885</v>
      </c>
      <c r="F681" s="4">
        <v>45892</v>
      </c>
      <c r="G681" s="6">
        <f t="shared" si="111"/>
        <v>7</v>
      </c>
      <c r="H681" s="6" t="str">
        <f t="shared" si="112"/>
        <v>Valid</v>
      </c>
      <c r="I681" t="s">
        <v>2127</v>
      </c>
      <c r="J681" t="s">
        <v>142</v>
      </c>
      <c r="K681" t="s">
        <v>91</v>
      </c>
      <c r="L681" t="s">
        <v>26</v>
      </c>
      <c r="M681" t="s">
        <v>123</v>
      </c>
      <c r="O681" t="s">
        <v>75</v>
      </c>
      <c r="P681" t="s">
        <v>81</v>
      </c>
      <c r="Q681" t="s">
        <v>2128</v>
      </c>
      <c r="R681" t="s">
        <v>45</v>
      </c>
      <c r="S681">
        <v>4</v>
      </c>
      <c r="T681">
        <v>1410.57</v>
      </c>
      <c r="U681" s="2" t="str">
        <f t="shared" si="116"/>
        <v>Invalid</v>
      </c>
      <c r="V681" s="13" t="s">
        <v>464</v>
      </c>
      <c r="W681" s="2" t="str">
        <f t="shared" si="117"/>
        <v>Invalid</v>
      </c>
      <c r="X681" s="2" t="str">
        <f t="shared" si="118"/>
        <v>Invalid</v>
      </c>
      <c r="Y681" s="2" t="str">
        <f t="shared" si="119"/>
        <v>Invalid</v>
      </c>
      <c r="Z681">
        <v>5360.17</v>
      </c>
      <c r="AA681">
        <v>3881.51</v>
      </c>
      <c r="AB681" s="2" t="str">
        <f t="shared" si="113"/>
        <v>Invalid</v>
      </c>
      <c r="AC681">
        <v>1478.66</v>
      </c>
      <c r="AD681" s="11">
        <f t="shared" si="120"/>
        <v>0.27586065367329771</v>
      </c>
      <c r="AE681" t="s">
        <v>103</v>
      </c>
      <c r="AF681" t="s">
        <v>69</v>
      </c>
    </row>
    <row r="682" spans="1:32">
      <c r="A682" t="s">
        <v>2129</v>
      </c>
      <c r="B682" s="2" t="str">
        <f t="shared" si="110"/>
        <v>Unique</v>
      </c>
      <c r="C682" s="2" t="str">
        <f t="shared" si="114"/>
        <v>May</v>
      </c>
      <c r="D682" s="2">
        <f t="shared" si="115"/>
        <v>2024</v>
      </c>
      <c r="E682" s="4">
        <v>45441</v>
      </c>
      <c r="F682" s="4">
        <v>45448</v>
      </c>
      <c r="G682" s="6">
        <f t="shared" si="111"/>
        <v>7</v>
      </c>
      <c r="H682" s="6" t="str">
        <f t="shared" si="112"/>
        <v>Valid</v>
      </c>
      <c r="I682" t="s">
        <v>2130</v>
      </c>
      <c r="J682" t="s">
        <v>265</v>
      </c>
      <c r="K682" t="s">
        <v>91</v>
      </c>
      <c r="L682" t="s">
        <v>55</v>
      </c>
      <c r="M682" t="s">
        <v>248</v>
      </c>
      <c r="O682" t="s">
        <v>75</v>
      </c>
      <c r="P682" t="s">
        <v>76</v>
      </c>
      <c r="Q682" t="s">
        <v>2131</v>
      </c>
      <c r="R682" t="s">
        <v>51</v>
      </c>
      <c r="S682">
        <v>4</v>
      </c>
      <c r="T682">
        <v>3700.24</v>
      </c>
      <c r="U682" s="2">
        <f t="shared" si="116"/>
        <v>14800.96</v>
      </c>
      <c r="V682" s="13">
        <v>0</v>
      </c>
      <c r="W682" s="2">
        <f t="shared" si="117"/>
        <v>0</v>
      </c>
      <c r="X682" s="2" t="str">
        <f t="shared" si="118"/>
        <v>Valid</v>
      </c>
      <c r="Y682" s="2" t="str">
        <f t="shared" si="119"/>
        <v>Clean</v>
      </c>
      <c r="Z682">
        <v>14800.96</v>
      </c>
      <c r="AA682">
        <v>12048.39</v>
      </c>
      <c r="AB682" s="2">
        <f t="shared" si="113"/>
        <v>2752.5699999999997</v>
      </c>
      <c r="AC682">
        <v>2752.57</v>
      </c>
      <c r="AD682" s="11">
        <f t="shared" si="120"/>
        <v>0.18597239638509935</v>
      </c>
      <c r="AE682" t="s">
        <v>33</v>
      </c>
      <c r="AF682" t="s">
        <v>34</v>
      </c>
    </row>
    <row r="683" spans="1:32">
      <c r="A683" t="s">
        <v>2132</v>
      </c>
      <c r="B683" s="2" t="str">
        <f t="shared" si="110"/>
        <v>Unique</v>
      </c>
      <c r="C683" s="2" t="str">
        <f t="shared" si="114"/>
        <v>Jul</v>
      </c>
      <c r="D683" s="2">
        <f t="shared" si="115"/>
        <v>2024</v>
      </c>
      <c r="E683" s="4">
        <v>45477</v>
      </c>
      <c r="F683" s="4">
        <v>45483</v>
      </c>
      <c r="G683" s="6">
        <f t="shared" si="111"/>
        <v>6</v>
      </c>
      <c r="H683" s="6" t="str">
        <f t="shared" si="112"/>
        <v>Valid</v>
      </c>
      <c r="I683" t="s">
        <v>2133</v>
      </c>
      <c r="J683" t="s">
        <v>72</v>
      </c>
      <c r="K683" t="s">
        <v>91</v>
      </c>
      <c r="L683" t="s">
        <v>26</v>
      </c>
      <c r="M683" t="s">
        <v>351</v>
      </c>
      <c r="O683" t="s">
        <v>42</v>
      </c>
      <c r="P683" t="s">
        <v>43</v>
      </c>
      <c r="Q683" t="s">
        <v>2134</v>
      </c>
      <c r="R683" t="s">
        <v>32</v>
      </c>
      <c r="S683">
        <v>5</v>
      </c>
      <c r="T683">
        <v>1200.27</v>
      </c>
      <c r="U683" s="2">
        <f t="shared" si="116"/>
        <v>6001.35</v>
      </c>
      <c r="V683" s="13">
        <v>0</v>
      </c>
      <c r="W683" s="2">
        <f t="shared" si="117"/>
        <v>0</v>
      </c>
      <c r="X683" s="2" t="str">
        <f t="shared" si="118"/>
        <v>Valid</v>
      </c>
      <c r="Y683" s="2" t="str">
        <f t="shared" si="119"/>
        <v>Clean</v>
      </c>
      <c r="Z683">
        <v>6001.35</v>
      </c>
      <c r="AA683">
        <v>4182.99</v>
      </c>
      <c r="AB683" s="2">
        <f t="shared" si="113"/>
        <v>1818.3600000000006</v>
      </c>
      <c r="AC683">
        <v>1818.36</v>
      </c>
      <c r="AD683" s="11">
        <f t="shared" si="120"/>
        <v>0.3029918268389612</v>
      </c>
      <c r="AE683" t="s">
        <v>33</v>
      </c>
      <c r="AF683" t="s">
        <v>69</v>
      </c>
    </row>
    <row r="684" spans="1:32">
      <c r="A684" t="s">
        <v>2135</v>
      </c>
      <c r="B684" s="2" t="str">
        <f t="shared" si="110"/>
        <v>Unique</v>
      </c>
      <c r="C684" s="2" t="str">
        <f t="shared" si="114"/>
        <v>Feb</v>
      </c>
      <c r="D684" s="2">
        <f t="shared" si="115"/>
        <v>2025</v>
      </c>
      <c r="E684" s="4">
        <v>45693</v>
      </c>
      <c r="F684" s="4">
        <v>45693</v>
      </c>
      <c r="G684" s="6">
        <f t="shared" si="111"/>
        <v>0</v>
      </c>
      <c r="H684" s="6" t="str">
        <f t="shared" si="112"/>
        <v>Valid</v>
      </c>
      <c r="I684" t="s">
        <v>2136</v>
      </c>
      <c r="J684" t="s">
        <v>63</v>
      </c>
      <c r="K684" t="s">
        <v>91</v>
      </c>
      <c r="L684" t="s">
        <v>26</v>
      </c>
      <c r="M684" t="s">
        <v>237</v>
      </c>
      <c r="O684" t="s">
        <v>29</v>
      </c>
      <c r="P684" t="s">
        <v>125</v>
      </c>
      <c r="Q684" t="s">
        <v>2137</v>
      </c>
      <c r="R684" t="s">
        <v>45</v>
      </c>
      <c r="S684">
        <v>3</v>
      </c>
      <c r="T684">
        <v>2590.7800000000002</v>
      </c>
      <c r="U684" s="2">
        <f t="shared" si="116"/>
        <v>7772.34</v>
      </c>
      <c r="V684" s="13">
        <v>0</v>
      </c>
      <c r="W684" s="2">
        <f t="shared" si="117"/>
        <v>0</v>
      </c>
      <c r="X684" s="2" t="str">
        <f t="shared" si="118"/>
        <v>Valid</v>
      </c>
      <c r="Y684" s="2" t="str">
        <f t="shared" si="119"/>
        <v>Clean</v>
      </c>
      <c r="Z684">
        <v>7383.72</v>
      </c>
      <c r="AA684">
        <v>4113.66</v>
      </c>
      <c r="AB684" s="2">
        <f t="shared" si="113"/>
        <v>3658.6800000000003</v>
      </c>
      <c r="AC684">
        <v>3270.06</v>
      </c>
      <c r="AD684" s="11">
        <f t="shared" si="120"/>
        <v>0.44287432351172579</v>
      </c>
      <c r="AE684" t="s">
        <v>33</v>
      </c>
      <c r="AF684" t="s">
        <v>34</v>
      </c>
    </row>
    <row r="685" spans="1:32">
      <c r="A685" t="s">
        <v>2138</v>
      </c>
      <c r="B685" s="2" t="str">
        <f t="shared" si="110"/>
        <v>Unique</v>
      </c>
      <c r="C685" s="2" t="str">
        <f t="shared" si="114"/>
        <v>Jul</v>
      </c>
      <c r="D685" s="2">
        <f t="shared" si="115"/>
        <v>2025</v>
      </c>
      <c r="E685" s="4">
        <v>45858</v>
      </c>
      <c r="F685" s="4">
        <v>45862</v>
      </c>
      <c r="G685" s="6">
        <f t="shared" si="111"/>
        <v>4</v>
      </c>
      <c r="H685" s="6" t="str">
        <f t="shared" si="112"/>
        <v>Valid</v>
      </c>
      <c r="I685" t="s">
        <v>2139</v>
      </c>
      <c r="J685" t="s">
        <v>54</v>
      </c>
      <c r="K685" t="s">
        <v>38</v>
      </c>
      <c r="L685" t="s">
        <v>55</v>
      </c>
      <c r="M685" t="s">
        <v>56</v>
      </c>
      <c r="O685" t="s">
        <v>42</v>
      </c>
      <c r="P685" t="s">
        <v>58</v>
      </c>
      <c r="Q685" t="s">
        <v>2140</v>
      </c>
      <c r="R685" t="s">
        <v>32</v>
      </c>
      <c r="S685">
        <v>6</v>
      </c>
      <c r="T685">
        <v>1646.45</v>
      </c>
      <c r="U685" s="2">
        <f t="shared" si="116"/>
        <v>7902.9600000000009</v>
      </c>
      <c r="V685" s="13">
        <v>0.2</v>
      </c>
      <c r="W685" s="2">
        <f t="shared" si="117"/>
        <v>0.2</v>
      </c>
      <c r="X685" s="2" t="str">
        <f t="shared" si="118"/>
        <v>Valid</v>
      </c>
      <c r="Y685" s="2" t="str">
        <f t="shared" si="119"/>
        <v>Clean</v>
      </c>
      <c r="Z685">
        <v>7902.96</v>
      </c>
      <c r="AA685">
        <v>5512.03</v>
      </c>
      <c r="AB685" s="2">
        <f t="shared" si="113"/>
        <v>2390.9300000000012</v>
      </c>
      <c r="AC685">
        <v>2390.9299999999998</v>
      </c>
      <c r="AD685" s="11">
        <f t="shared" si="120"/>
        <v>0.30253601182341805</v>
      </c>
      <c r="AE685" t="s">
        <v>103</v>
      </c>
      <c r="AF685" t="s">
        <v>69</v>
      </c>
    </row>
    <row r="686" spans="1:32">
      <c r="A686" t="s">
        <v>2141</v>
      </c>
      <c r="B686" s="2" t="str">
        <f t="shared" si="110"/>
        <v>Unique</v>
      </c>
      <c r="C686" s="2" t="str">
        <f t="shared" si="114"/>
        <v>Jul</v>
      </c>
      <c r="D686" s="2">
        <f t="shared" si="115"/>
        <v>2025</v>
      </c>
      <c r="E686" s="4">
        <v>45859</v>
      </c>
      <c r="F686" s="4">
        <v>45859</v>
      </c>
      <c r="G686" s="6">
        <f t="shared" si="111"/>
        <v>0</v>
      </c>
      <c r="H686" s="6" t="str">
        <f t="shared" si="112"/>
        <v>Valid</v>
      </c>
      <c r="I686" t="s">
        <v>2142</v>
      </c>
      <c r="J686" t="s">
        <v>48</v>
      </c>
      <c r="K686" t="s">
        <v>96</v>
      </c>
      <c r="L686" t="s">
        <v>55</v>
      </c>
      <c r="M686" t="s">
        <v>248</v>
      </c>
      <c r="O686" t="s">
        <v>42</v>
      </c>
      <c r="P686" t="s">
        <v>159</v>
      </c>
      <c r="Q686" t="s">
        <v>2143</v>
      </c>
      <c r="R686" t="s">
        <v>51</v>
      </c>
      <c r="S686">
        <v>7</v>
      </c>
      <c r="T686">
        <v>4396.6499999999996</v>
      </c>
      <c r="U686" s="2">
        <f t="shared" si="116"/>
        <v>24621.239999999998</v>
      </c>
      <c r="V686" s="13">
        <v>0.2</v>
      </c>
      <c r="W686" s="2">
        <f t="shared" si="117"/>
        <v>0.2</v>
      </c>
      <c r="X686" s="2" t="str">
        <f t="shared" si="118"/>
        <v>Valid</v>
      </c>
      <c r="Y686" s="2" t="str">
        <f t="shared" si="119"/>
        <v>Clean</v>
      </c>
      <c r="Z686">
        <v>24621.24</v>
      </c>
      <c r="AA686">
        <v>17155.48</v>
      </c>
      <c r="AB686" s="2">
        <f t="shared" si="113"/>
        <v>7465.7599999999984</v>
      </c>
      <c r="AC686">
        <v>7465.76</v>
      </c>
      <c r="AD686" s="11">
        <f t="shared" si="120"/>
        <v>0.3032243705028666</v>
      </c>
      <c r="AE686" t="s">
        <v>103</v>
      </c>
      <c r="AF686" t="s">
        <v>69</v>
      </c>
    </row>
    <row r="687" spans="1:32">
      <c r="A687" t="s">
        <v>2144</v>
      </c>
      <c r="B687" s="2" t="str">
        <f t="shared" si="110"/>
        <v>Unique</v>
      </c>
      <c r="C687" s="2" t="str">
        <f t="shared" si="114"/>
        <v>Oct</v>
      </c>
      <c r="D687" s="2">
        <f t="shared" si="115"/>
        <v>2025</v>
      </c>
      <c r="E687" s="4">
        <v>45931</v>
      </c>
      <c r="F687" s="4">
        <v>45933</v>
      </c>
      <c r="G687" s="6">
        <f t="shared" si="111"/>
        <v>2</v>
      </c>
      <c r="H687" s="6" t="str">
        <f t="shared" si="112"/>
        <v>Valid</v>
      </c>
      <c r="I687" t="s">
        <v>1808</v>
      </c>
      <c r="J687" t="s">
        <v>80</v>
      </c>
      <c r="K687" t="s">
        <v>91</v>
      </c>
      <c r="L687" t="s">
        <v>64</v>
      </c>
      <c r="M687" t="s">
        <v>191</v>
      </c>
      <c r="O687" t="s">
        <v>29</v>
      </c>
      <c r="P687" t="s">
        <v>49</v>
      </c>
      <c r="Q687" t="s">
        <v>2145</v>
      </c>
      <c r="R687" t="s">
        <v>60</v>
      </c>
      <c r="S687">
        <v>9</v>
      </c>
      <c r="T687">
        <v>818.15</v>
      </c>
      <c r="U687" s="2">
        <f t="shared" si="116"/>
        <v>3313.5074999999993</v>
      </c>
      <c r="V687" s="13">
        <v>0.55000000000000004</v>
      </c>
      <c r="W687" s="2">
        <f t="shared" si="117"/>
        <v>0.55000000000000004</v>
      </c>
      <c r="X687" s="2" t="str">
        <f t="shared" si="118"/>
        <v>Valid</v>
      </c>
      <c r="Y687" s="2" t="str">
        <f t="shared" si="119"/>
        <v>Clean</v>
      </c>
      <c r="Z687">
        <v>6627.01</v>
      </c>
      <c r="AA687">
        <v>5606.79</v>
      </c>
      <c r="AB687" s="2">
        <f t="shared" si="113"/>
        <v>-2293.2825000000007</v>
      </c>
      <c r="AC687">
        <v>1020.22</v>
      </c>
      <c r="AD687" s="11">
        <f t="shared" si="120"/>
        <v>0.15394876422398637</v>
      </c>
      <c r="AE687" t="s">
        <v>156</v>
      </c>
      <c r="AF687" t="s">
        <v>69</v>
      </c>
    </row>
    <row r="688" spans="1:32">
      <c r="A688" t="s">
        <v>2146</v>
      </c>
      <c r="B688" s="2" t="str">
        <f t="shared" si="110"/>
        <v>Unique</v>
      </c>
      <c r="C688" s="2" t="str">
        <f t="shared" si="114"/>
        <v>Mar</v>
      </c>
      <c r="D688" s="2">
        <f t="shared" si="115"/>
        <v>2024</v>
      </c>
      <c r="E688" s="4">
        <v>45376</v>
      </c>
      <c r="F688" s="4">
        <v>45384</v>
      </c>
      <c r="G688" s="6">
        <f t="shared" si="111"/>
        <v>8</v>
      </c>
      <c r="H688" s="6" t="str">
        <f t="shared" si="112"/>
        <v>Valid</v>
      </c>
      <c r="I688" t="s">
        <v>2147</v>
      </c>
      <c r="J688" t="s">
        <v>133</v>
      </c>
      <c r="K688" t="s">
        <v>96</v>
      </c>
      <c r="L688" t="s">
        <v>55</v>
      </c>
      <c r="M688" t="s">
        <v>248</v>
      </c>
      <c r="O688" t="s">
        <v>75</v>
      </c>
      <c r="P688" t="s">
        <v>81</v>
      </c>
      <c r="Q688" t="s">
        <v>2148</v>
      </c>
      <c r="R688" t="s">
        <v>60</v>
      </c>
      <c r="S688">
        <v>2</v>
      </c>
      <c r="T688">
        <v>2349.13</v>
      </c>
      <c r="U688" s="2">
        <f t="shared" si="116"/>
        <v>4698.26</v>
      </c>
      <c r="V688" s="13">
        <v>0</v>
      </c>
      <c r="W688" s="2">
        <f t="shared" si="117"/>
        <v>0</v>
      </c>
      <c r="X688" s="2" t="str">
        <f t="shared" si="118"/>
        <v>Valid</v>
      </c>
      <c r="Y688" s="2" t="str">
        <f t="shared" si="119"/>
        <v>Clean</v>
      </c>
      <c r="Z688">
        <v>4698.26</v>
      </c>
      <c r="AA688">
        <v>2654.92</v>
      </c>
      <c r="AB688" s="2">
        <f t="shared" si="113"/>
        <v>2043.3400000000001</v>
      </c>
      <c r="AC688">
        <v>2043.34</v>
      </c>
      <c r="AD688" s="11">
        <f t="shared" si="120"/>
        <v>0.43491420227914163</v>
      </c>
      <c r="AE688" t="s">
        <v>33</v>
      </c>
      <c r="AF688" t="s">
        <v>34</v>
      </c>
    </row>
    <row r="689" spans="1:32">
      <c r="A689" t="s">
        <v>2149</v>
      </c>
      <c r="B689" s="2" t="str">
        <f t="shared" si="110"/>
        <v>Unique</v>
      </c>
      <c r="C689" s="2" t="str">
        <f t="shared" si="114"/>
        <v>Oct</v>
      </c>
      <c r="D689" s="2">
        <f t="shared" si="115"/>
        <v>2025</v>
      </c>
      <c r="E689" s="4">
        <v>45938</v>
      </c>
      <c r="F689" s="4">
        <v>45943</v>
      </c>
      <c r="G689" s="6">
        <f t="shared" si="111"/>
        <v>5</v>
      </c>
      <c r="H689" s="6" t="str">
        <f t="shared" si="112"/>
        <v>Valid</v>
      </c>
      <c r="I689" t="s">
        <v>2150</v>
      </c>
      <c r="J689" t="s">
        <v>37</v>
      </c>
      <c r="K689" t="s">
        <v>96</v>
      </c>
      <c r="L689" t="s">
        <v>26</v>
      </c>
      <c r="M689" t="s">
        <v>123</v>
      </c>
      <c r="O689" t="s">
        <v>42</v>
      </c>
      <c r="P689" t="s">
        <v>43</v>
      </c>
      <c r="Q689" t="s">
        <v>2151</v>
      </c>
      <c r="R689" t="s">
        <v>51</v>
      </c>
      <c r="S689">
        <v>4</v>
      </c>
      <c r="T689">
        <v>172.05</v>
      </c>
      <c r="U689" s="2">
        <f t="shared" si="116"/>
        <v>688.2</v>
      </c>
      <c r="V689" s="13">
        <v>0</v>
      </c>
      <c r="W689" s="2">
        <f t="shared" si="117"/>
        <v>0</v>
      </c>
      <c r="X689" s="2" t="str">
        <f t="shared" si="118"/>
        <v>Valid</v>
      </c>
      <c r="Y689" s="2" t="str">
        <f t="shared" si="119"/>
        <v>Clean</v>
      </c>
      <c r="Z689">
        <v>688.2</v>
      </c>
      <c r="AA689">
        <v>497.68</v>
      </c>
      <c r="AB689" s="2">
        <f t="shared" si="113"/>
        <v>190.52000000000004</v>
      </c>
      <c r="AC689">
        <v>190.52</v>
      </c>
      <c r="AD689" s="11">
        <f t="shared" si="120"/>
        <v>0.27683812845103167</v>
      </c>
      <c r="AE689" t="s">
        <v>156</v>
      </c>
      <c r="AF689" t="s">
        <v>69</v>
      </c>
    </row>
    <row r="690" spans="1:32">
      <c r="A690" t="s">
        <v>2152</v>
      </c>
      <c r="B690" s="2" t="str">
        <f t="shared" si="110"/>
        <v>Unique</v>
      </c>
      <c r="C690" s="2" t="str">
        <f t="shared" si="114"/>
        <v>Feb</v>
      </c>
      <c r="D690" s="2">
        <f t="shared" si="115"/>
        <v>2025</v>
      </c>
      <c r="E690" s="4">
        <v>45714</v>
      </c>
      <c r="F690" s="4">
        <v>45715</v>
      </c>
      <c r="G690" s="6">
        <f t="shared" si="111"/>
        <v>1</v>
      </c>
      <c r="H690" s="6" t="str">
        <f t="shared" si="112"/>
        <v>Valid</v>
      </c>
      <c r="I690" t="s">
        <v>2153</v>
      </c>
      <c r="J690" t="s">
        <v>80</v>
      </c>
      <c r="K690" t="s">
        <v>96</v>
      </c>
      <c r="L690" t="s">
        <v>26</v>
      </c>
      <c r="M690" t="s">
        <v>237</v>
      </c>
      <c r="O690" t="s">
        <v>29</v>
      </c>
      <c r="P690" t="s">
        <v>49</v>
      </c>
      <c r="Q690" t="s">
        <v>2154</v>
      </c>
      <c r="R690" t="s">
        <v>32</v>
      </c>
      <c r="S690">
        <v>6</v>
      </c>
      <c r="T690">
        <v>3037.66</v>
      </c>
      <c r="U690" s="2">
        <f t="shared" si="116"/>
        <v>15492.065999999999</v>
      </c>
      <c r="V690" s="13">
        <v>0.15</v>
      </c>
      <c r="W690" s="2">
        <f t="shared" si="117"/>
        <v>0.15</v>
      </c>
      <c r="X690" s="2" t="str">
        <f t="shared" si="118"/>
        <v>Valid</v>
      </c>
      <c r="Y690" s="2" t="str">
        <f t="shared" si="119"/>
        <v>Clean</v>
      </c>
      <c r="Z690">
        <v>15492.07</v>
      </c>
      <c r="AA690">
        <v>12581.23</v>
      </c>
      <c r="AB690" s="2">
        <f t="shared" si="113"/>
        <v>2910.8359999999993</v>
      </c>
      <c r="AC690">
        <v>2910.84</v>
      </c>
      <c r="AD690" s="11">
        <f t="shared" si="120"/>
        <v>0.18789225713542479</v>
      </c>
      <c r="AE690" t="s">
        <v>33</v>
      </c>
      <c r="AF690" t="s">
        <v>34</v>
      </c>
    </row>
    <row r="691" spans="1:32">
      <c r="A691" t="s">
        <v>2155</v>
      </c>
      <c r="B691" s="2" t="str">
        <f t="shared" si="110"/>
        <v>Unique</v>
      </c>
      <c r="C691" s="2" t="str">
        <f t="shared" si="114"/>
        <v>Oct</v>
      </c>
      <c r="D691" s="2">
        <f t="shared" si="115"/>
        <v>2024</v>
      </c>
      <c r="E691" s="4">
        <v>45570</v>
      </c>
      <c r="F691" s="4">
        <v>45571</v>
      </c>
      <c r="G691" s="6">
        <f t="shared" si="111"/>
        <v>1</v>
      </c>
      <c r="H691" s="6" t="str">
        <f t="shared" si="112"/>
        <v>Valid</v>
      </c>
      <c r="I691" t="s">
        <v>2156</v>
      </c>
      <c r="J691" t="s">
        <v>142</v>
      </c>
      <c r="K691" t="s">
        <v>38</v>
      </c>
      <c r="L691" t="s">
        <v>26</v>
      </c>
      <c r="M691" t="s">
        <v>123</v>
      </c>
      <c r="O691" t="s">
        <v>42</v>
      </c>
      <c r="P691" t="s">
        <v>43</v>
      </c>
      <c r="Q691" t="s">
        <v>2157</v>
      </c>
      <c r="R691" t="s">
        <v>60</v>
      </c>
      <c r="S691">
        <v>9</v>
      </c>
      <c r="T691">
        <v>489.58</v>
      </c>
      <c r="U691" s="2">
        <f t="shared" si="116"/>
        <v>3745.2870000000003</v>
      </c>
      <c r="V691" s="13">
        <v>0.15</v>
      </c>
      <c r="W691" s="2">
        <f t="shared" si="117"/>
        <v>0.15</v>
      </c>
      <c r="X691" s="2" t="str">
        <f t="shared" si="118"/>
        <v>Valid</v>
      </c>
      <c r="Y691" s="2" t="str">
        <f t="shared" si="119"/>
        <v>Clean</v>
      </c>
      <c r="Z691">
        <v>3745.29</v>
      </c>
      <c r="AA691">
        <v>2302.65</v>
      </c>
      <c r="AB691" s="2">
        <f t="shared" si="113"/>
        <v>1442.6370000000002</v>
      </c>
      <c r="AC691">
        <v>1442.64</v>
      </c>
      <c r="AD691" s="11">
        <f t="shared" si="120"/>
        <v>0.38518779587161478</v>
      </c>
      <c r="AE691" t="s">
        <v>156</v>
      </c>
      <c r="AF691" t="s">
        <v>69</v>
      </c>
    </row>
    <row r="692" spans="1:32">
      <c r="A692" t="s">
        <v>2158</v>
      </c>
      <c r="B692" s="2" t="str">
        <f t="shared" si="110"/>
        <v>Unique</v>
      </c>
      <c r="C692" s="2" t="str">
        <f t="shared" si="114"/>
        <v>Sep</v>
      </c>
      <c r="D692" s="2">
        <f t="shared" si="115"/>
        <v>2024</v>
      </c>
      <c r="E692" s="4">
        <v>45546</v>
      </c>
      <c r="F692" s="4">
        <v>45550</v>
      </c>
      <c r="G692" s="6">
        <f t="shared" si="111"/>
        <v>4</v>
      </c>
      <c r="H692" s="6" t="str">
        <f t="shared" si="112"/>
        <v>Valid</v>
      </c>
      <c r="I692" t="s">
        <v>2159</v>
      </c>
      <c r="J692" t="s">
        <v>133</v>
      </c>
      <c r="K692" t="s">
        <v>91</v>
      </c>
      <c r="L692" t="s">
        <v>55</v>
      </c>
      <c r="M692" t="s">
        <v>248</v>
      </c>
      <c r="O692" t="s">
        <v>29</v>
      </c>
      <c r="P692" t="s">
        <v>49</v>
      </c>
      <c r="Q692" t="s">
        <v>2160</v>
      </c>
      <c r="R692" t="s">
        <v>60</v>
      </c>
      <c r="S692">
        <v>4</v>
      </c>
      <c r="T692">
        <v>865.63</v>
      </c>
      <c r="U692" s="2">
        <f t="shared" si="116"/>
        <v>3462.52</v>
      </c>
      <c r="V692" s="13">
        <v>0</v>
      </c>
      <c r="W692" s="2">
        <f t="shared" si="117"/>
        <v>0</v>
      </c>
      <c r="X692" s="2" t="str">
        <f t="shared" si="118"/>
        <v>Valid</v>
      </c>
      <c r="Y692" s="2" t="str">
        <f t="shared" si="119"/>
        <v>Clean</v>
      </c>
      <c r="Z692">
        <v>3462.52</v>
      </c>
      <c r="AA692">
        <v>2797.29</v>
      </c>
      <c r="AB692" s="2">
        <f t="shared" si="113"/>
        <v>665.23</v>
      </c>
      <c r="AC692">
        <v>665.23</v>
      </c>
      <c r="AD692" s="11">
        <f t="shared" si="120"/>
        <v>0.19212307798944123</v>
      </c>
      <c r="AE692" t="s">
        <v>156</v>
      </c>
      <c r="AF692" t="s">
        <v>104</v>
      </c>
    </row>
    <row r="693" spans="1:32">
      <c r="A693" t="s">
        <v>2161</v>
      </c>
      <c r="B693" s="2" t="str">
        <f t="shared" si="110"/>
        <v>Unique</v>
      </c>
      <c r="C693" s="2" t="str">
        <f t="shared" si="114"/>
        <v>Dec</v>
      </c>
      <c r="D693" s="2">
        <f t="shared" si="115"/>
        <v>2024</v>
      </c>
      <c r="E693" s="4">
        <v>45641</v>
      </c>
      <c r="F693" s="4">
        <v>45642</v>
      </c>
      <c r="G693" s="6">
        <f t="shared" si="111"/>
        <v>1</v>
      </c>
      <c r="H693" s="6" t="str">
        <f t="shared" si="112"/>
        <v>Valid</v>
      </c>
      <c r="I693" t="s">
        <v>2162</v>
      </c>
      <c r="J693" t="s">
        <v>142</v>
      </c>
      <c r="K693" t="s">
        <v>25</v>
      </c>
      <c r="L693" t="s">
        <v>39</v>
      </c>
      <c r="M693" t="s">
        <v>40</v>
      </c>
      <c r="O693" t="s">
        <v>75</v>
      </c>
      <c r="P693" t="s">
        <v>81</v>
      </c>
      <c r="Q693" t="s">
        <v>2163</v>
      </c>
      <c r="R693" t="s">
        <v>32</v>
      </c>
      <c r="S693">
        <v>6</v>
      </c>
      <c r="T693">
        <v>1538.1</v>
      </c>
      <c r="U693" s="2">
        <f t="shared" si="116"/>
        <v>8767.1699999999983</v>
      </c>
      <c r="V693" s="13">
        <v>0.05</v>
      </c>
      <c r="W693" s="2">
        <f t="shared" si="117"/>
        <v>0.05</v>
      </c>
      <c r="X693" s="2" t="str">
        <f t="shared" si="118"/>
        <v>Valid</v>
      </c>
      <c r="Y693" s="2" t="str">
        <f t="shared" si="119"/>
        <v>Clean</v>
      </c>
      <c r="Z693">
        <v>8767.17</v>
      </c>
      <c r="AA693">
        <v>5098.2</v>
      </c>
      <c r="AB693" s="2">
        <f t="shared" si="113"/>
        <v>3668.9699999999984</v>
      </c>
      <c r="AC693">
        <v>3668.97</v>
      </c>
      <c r="AD693" s="11">
        <f t="shared" si="120"/>
        <v>0.41848966085977568</v>
      </c>
      <c r="AE693" t="s">
        <v>33</v>
      </c>
      <c r="AF693" t="s">
        <v>34</v>
      </c>
    </row>
    <row r="694" spans="1:32">
      <c r="A694" t="s">
        <v>2164</v>
      </c>
      <c r="B694" s="2" t="str">
        <f t="shared" si="110"/>
        <v>Unique</v>
      </c>
      <c r="C694" s="2" t="str">
        <f t="shared" si="114"/>
        <v>Oct</v>
      </c>
      <c r="D694" s="2">
        <f t="shared" si="115"/>
        <v>2025</v>
      </c>
      <c r="E694" s="4">
        <v>45935</v>
      </c>
      <c r="F694" s="4">
        <v>45940</v>
      </c>
      <c r="G694" s="6">
        <f t="shared" si="111"/>
        <v>5</v>
      </c>
      <c r="H694" s="6" t="str">
        <f t="shared" si="112"/>
        <v>Valid</v>
      </c>
      <c r="I694" t="s">
        <v>2165</v>
      </c>
      <c r="J694" t="s">
        <v>48</v>
      </c>
      <c r="K694" t="s">
        <v>91</v>
      </c>
      <c r="L694" t="s">
        <v>55</v>
      </c>
      <c r="M694" t="s">
        <v>176</v>
      </c>
      <c r="O694" t="s">
        <v>42</v>
      </c>
      <c r="P694" t="s">
        <v>58</v>
      </c>
      <c r="Q694" t="s">
        <v>2166</v>
      </c>
      <c r="R694" t="s">
        <v>32</v>
      </c>
      <c r="S694">
        <v>4</v>
      </c>
      <c r="T694">
        <v>2365.6799999999998</v>
      </c>
      <c r="U694" s="2">
        <f t="shared" si="116"/>
        <v>8516.4480000000003</v>
      </c>
      <c r="V694" s="13">
        <v>0.1</v>
      </c>
      <c r="W694" s="2">
        <f t="shared" si="117"/>
        <v>0.1</v>
      </c>
      <c r="X694" s="2" t="str">
        <f t="shared" si="118"/>
        <v>Valid</v>
      </c>
      <c r="Y694" s="2" t="str">
        <f t="shared" si="119"/>
        <v>Clean</v>
      </c>
      <c r="Z694">
        <v>8516.4500000000007</v>
      </c>
      <c r="AA694">
        <v>5903.81</v>
      </c>
      <c r="AB694" s="2">
        <f t="shared" si="113"/>
        <v>2612.6379999999999</v>
      </c>
      <c r="AC694">
        <v>2612.64</v>
      </c>
      <c r="AD694" s="11">
        <f t="shared" si="120"/>
        <v>0.30677571053666725</v>
      </c>
      <c r="AE694" t="s">
        <v>33</v>
      </c>
      <c r="AF694" t="s">
        <v>34</v>
      </c>
    </row>
    <row r="695" spans="1:32">
      <c r="A695" t="s">
        <v>2167</v>
      </c>
      <c r="B695" s="2" t="str">
        <f t="shared" si="110"/>
        <v>Unique</v>
      </c>
      <c r="C695" s="2" t="str">
        <f t="shared" si="114"/>
        <v>Apr</v>
      </c>
      <c r="D695" s="2">
        <f t="shared" si="115"/>
        <v>2025</v>
      </c>
      <c r="E695" s="4">
        <v>45750</v>
      </c>
      <c r="F695" s="4">
        <v>45758</v>
      </c>
      <c r="G695" s="6">
        <f t="shared" si="111"/>
        <v>8</v>
      </c>
      <c r="H695" s="6" t="str">
        <f t="shared" si="112"/>
        <v>Valid</v>
      </c>
      <c r="I695" t="s">
        <v>2168</v>
      </c>
      <c r="J695" t="s">
        <v>54</v>
      </c>
      <c r="K695" t="s">
        <v>25</v>
      </c>
      <c r="L695" t="s">
        <v>55</v>
      </c>
      <c r="M695" t="s">
        <v>248</v>
      </c>
      <c r="O695" t="s">
        <v>42</v>
      </c>
      <c r="P695" t="s">
        <v>159</v>
      </c>
      <c r="Q695" t="s">
        <v>2169</v>
      </c>
      <c r="R695" t="s">
        <v>32</v>
      </c>
      <c r="S695">
        <v>3</v>
      </c>
      <c r="T695">
        <v>4149.7700000000004</v>
      </c>
      <c r="U695" s="2">
        <f t="shared" si="116"/>
        <v>11826.844500000001</v>
      </c>
      <c r="V695" s="13">
        <v>0.05</v>
      </c>
      <c r="W695" s="2">
        <f t="shared" si="117"/>
        <v>0.05</v>
      </c>
      <c r="X695" s="2" t="str">
        <f t="shared" si="118"/>
        <v>Valid</v>
      </c>
      <c r="Y695" s="2" t="str">
        <f t="shared" si="119"/>
        <v>Clean</v>
      </c>
      <c r="Z695">
        <v>11826.84</v>
      </c>
      <c r="AA695">
        <v>8035.96</v>
      </c>
      <c r="AB695" s="2">
        <f t="shared" si="113"/>
        <v>3790.884500000001</v>
      </c>
      <c r="AC695">
        <v>3790.88</v>
      </c>
      <c r="AD695" s="11">
        <f t="shared" si="120"/>
        <v>0.32053194259836104</v>
      </c>
      <c r="AE695" t="s">
        <v>33</v>
      </c>
      <c r="AF695" t="s">
        <v>34</v>
      </c>
    </row>
    <row r="696" spans="1:32">
      <c r="A696" t="s">
        <v>2170</v>
      </c>
      <c r="B696" s="2" t="str">
        <f t="shared" si="110"/>
        <v>Unique</v>
      </c>
      <c r="C696" s="2" t="str">
        <f t="shared" si="114"/>
        <v>Aug</v>
      </c>
      <c r="D696" s="2">
        <f t="shared" si="115"/>
        <v>2025</v>
      </c>
      <c r="E696" s="4">
        <v>45870</v>
      </c>
      <c r="F696" s="4">
        <v>45878</v>
      </c>
      <c r="G696" s="6">
        <f t="shared" si="111"/>
        <v>8</v>
      </c>
      <c r="H696" s="6" t="str">
        <f t="shared" si="112"/>
        <v>Valid</v>
      </c>
      <c r="I696" t="s">
        <v>1139</v>
      </c>
      <c r="J696" t="s">
        <v>48</v>
      </c>
      <c r="K696" t="s">
        <v>25</v>
      </c>
      <c r="L696" t="s">
        <v>55</v>
      </c>
      <c r="M696" t="s">
        <v>85</v>
      </c>
      <c r="O696" t="s">
        <v>29</v>
      </c>
      <c r="P696" t="s">
        <v>125</v>
      </c>
      <c r="Q696" t="s">
        <v>2171</v>
      </c>
      <c r="R696" t="s">
        <v>51</v>
      </c>
      <c r="S696">
        <v>5</v>
      </c>
      <c r="T696">
        <v>2736.24</v>
      </c>
      <c r="U696" s="2">
        <f t="shared" si="116"/>
        <v>11629.019999999999</v>
      </c>
      <c r="V696" s="13">
        <v>0.15</v>
      </c>
      <c r="W696" s="2">
        <f t="shared" si="117"/>
        <v>0.15</v>
      </c>
      <c r="X696" s="2" t="str">
        <f t="shared" si="118"/>
        <v>Valid</v>
      </c>
      <c r="Y696" s="2" t="str">
        <f t="shared" si="119"/>
        <v>Clean</v>
      </c>
      <c r="Z696">
        <v>11629.02</v>
      </c>
      <c r="AA696">
        <v>9627.2099999999991</v>
      </c>
      <c r="AB696" s="2">
        <f t="shared" si="113"/>
        <v>2001.8099999999995</v>
      </c>
      <c r="AC696">
        <v>2001.81</v>
      </c>
      <c r="AD696" s="11">
        <f t="shared" si="120"/>
        <v>0.1721391828374188</v>
      </c>
      <c r="AE696" t="s">
        <v>33</v>
      </c>
      <c r="AF696" t="s">
        <v>34</v>
      </c>
    </row>
    <row r="697" spans="1:32">
      <c r="A697" t="s">
        <v>2172</v>
      </c>
      <c r="B697" s="2" t="str">
        <f t="shared" si="110"/>
        <v>Unique</v>
      </c>
      <c r="C697" s="2" t="str">
        <f t="shared" si="114"/>
        <v>Jul</v>
      </c>
      <c r="D697" s="2">
        <f t="shared" si="115"/>
        <v>2024</v>
      </c>
      <c r="E697" s="4">
        <v>45474</v>
      </c>
      <c r="F697" s="4">
        <v>45474</v>
      </c>
      <c r="G697" s="6">
        <f t="shared" si="111"/>
        <v>0</v>
      </c>
      <c r="H697" s="6" t="str">
        <f t="shared" si="112"/>
        <v>Valid</v>
      </c>
      <c r="I697" t="s">
        <v>2173</v>
      </c>
      <c r="J697" t="s">
        <v>129</v>
      </c>
      <c r="K697" t="s">
        <v>25</v>
      </c>
      <c r="L697" t="s">
        <v>64</v>
      </c>
      <c r="M697" t="s">
        <v>73</v>
      </c>
      <c r="O697" t="s">
        <v>75</v>
      </c>
      <c r="P697" t="s">
        <v>275</v>
      </c>
      <c r="Q697" t="s">
        <v>2174</v>
      </c>
      <c r="R697" t="s">
        <v>60</v>
      </c>
      <c r="S697">
        <v>4</v>
      </c>
      <c r="T697">
        <v>257.39</v>
      </c>
      <c r="U697" s="2">
        <f t="shared" si="116"/>
        <v>1029.56</v>
      </c>
      <c r="V697" s="13">
        <v>0</v>
      </c>
      <c r="W697" s="2">
        <f t="shared" si="117"/>
        <v>0</v>
      </c>
      <c r="X697" s="2" t="str">
        <f t="shared" si="118"/>
        <v>Valid</v>
      </c>
      <c r="Y697" s="2" t="str">
        <f t="shared" si="119"/>
        <v>Clean</v>
      </c>
      <c r="Z697">
        <v>1029.56</v>
      </c>
      <c r="AA697">
        <v>626.33000000000004</v>
      </c>
      <c r="AB697" s="2">
        <f t="shared" si="113"/>
        <v>403.2299999999999</v>
      </c>
      <c r="AC697">
        <v>403.23</v>
      </c>
      <c r="AD697" s="11">
        <f t="shared" si="120"/>
        <v>0.39165274486188278</v>
      </c>
      <c r="AE697" t="s">
        <v>33</v>
      </c>
      <c r="AF697" t="s">
        <v>34</v>
      </c>
    </row>
    <row r="698" spans="1:32">
      <c r="A698" t="s">
        <v>2175</v>
      </c>
      <c r="B698" s="2" t="str">
        <f t="shared" si="110"/>
        <v>Unique</v>
      </c>
      <c r="C698" s="2" t="str">
        <f t="shared" si="114"/>
        <v>Sep</v>
      </c>
      <c r="D698" s="2">
        <f t="shared" si="115"/>
        <v>2025</v>
      </c>
      <c r="E698" s="4">
        <v>45922</v>
      </c>
      <c r="F698" s="4">
        <v>45925</v>
      </c>
      <c r="G698" s="6">
        <f t="shared" si="111"/>
        <v>3</v>
      </c>
      <c r="H698" s="6" t="str">
        <f t="shared" si="112"/>
        <v>Valid</v>
      </c>
      <c r="I698" t="s">
        <v>2176</v>
      </c>
      <c r="J698" t="s">
        <v>48</v>
      </c>
      <c r="K698" t="s">
        <v>38</v>
      </c>
      <c r="L698" t="s">
        <v>55</v>
      </c>
      <c r="M698" t="s">
        <v>186</v>
      </c>
      <c r="O698" t="s">
        <v>75</v>
      </c>
      <c r="P698" t="s">
        <v>172</v>
      </c>
      <c r="Q698" t="s">
        <v>2177</v>
      </c>
      <c r="R698" s="2" t="s">
        <v>2793</v>
      </c>
      <c r="S698">
        <v>4</v>
      </c>
      <c r="T698">
        <v>1178.8399999999999</v>
      </c>
      <c r="U698" s="2">
        <f t="shared" si="116"/>
        <v>3536.5199999999995</v>
      </c>
      <c r="V698" s="13">
        <v>0.25</v>
      </c>
      <c r="W698" s="2">
        <f t="shared" si="117"/>
        <v>0.25</v>
      </c>
      <c r="X698" s="2" t="str">
        <f t="shared" si="118"/>
        <v>Valid</v>
      </c>
      <c r="Y698" s="2" t="str">
        <f t="shared" si="119"/>
        <v>Clean</v>
      </c>
      <c r="Z698">
        <v>3536.52</v>
      </c>
      <c r="AA698">
        <v>2102.41</v>
      </c>
      <c r="AB698" s="2">
        <f t="shared" si="113"/>
        <v>1434.1099999999997</v>
      </c>
      <c r="AC698">
        <v>1363.28</v>
      </c>
      <c r="AD698" s="11">
        <f t="shared" si="120"/>
        <v>0.38548629726397698</v>
      </c>
      <c r="AE698" t="s">
        <v>33</v>
      </c>
      <c r="AF698" t="s">
        <v>34</v>
      </c>
    </row>
    <row r="699" spans="1:32">
      <c r="A699" t="s">
        <v>2178</v>
      </c>
      <c r="B699" s="2" t="str">
        <f t="shared" si="110"/>
        <v>Unique</v>
      </c>
      <c r="C699" s="2" t="str">
        <f t="shared" si="114"/>
        <v>Mar</v>
      </c>
      <c r="D699" s="2">
        <f t="shared" si="115"/>
        <v>2025</v>
      </c>
      <c r="E699" s="4">
        <v>45717</v>
      </c>
      <c r="F699" s="4">
        <v>45723</v>
      </c>
      <c r="G699" s="6">
        <f t="shared" si="111"/>
        <v>6</v>
      </c>
      <c r="H699" s="6" t="str">
        <f t="shared" si="112"/>
        <v>Valid</v>
      </c>
      <c r="I699" t="s">
        <v>2179</v>
      </c>
      <c r="J699" t="s">
        <v>54</v>
      </c>
      <c r="K699" t="s">
        <v>91</v>
      </c>
      <c r="L699" t="s">
        <v>55</v>
      </c>
      <c r="M699" t="s">
        <v>85</v>
      </c>
      <c r="O699" t="s">
        <v>29</v>
      </c>
      <c r="P699" t="s">
        <v>92</v>
      </c>
      <c r="Q699" t="s">
        <v>2180</v>
      </c>
      <c r="R699" t="s">
        <v>51</v>
      </c>
      <c r="S699">
        <v>7</v>
      </c>
      <c r="T699">
        <v>567.15</v>
      </c>
      <c r="U699" s="2">
        <f t="shared" si="116"/>
        <v>3970.0499999999997</v>
      </c>
      <c r="V699" s="13">
        <v>0</v>
      </c>
      <c r="W699" s="2">
        <f t="shared" si="117"/>
        <v>0</v>
      </c>
      <c r="X699" s="2" t="str">
        <f t="shared" si="118"/>
        <v>Valid</v>
      </c>
      <c r="Y699" s="2" t="str">
        <f t="shared" si="119"/>
        <v>Clean</v>
      </c>
      <c r="Z699">
        <v>2977.54</v>
      </c>
      <c r="AA699">
        <v>1849.3</v>
      </c>
      <c r="AB699" s="2">
        <f t="shared" si="113"/>
        <v>2120.75</v>
      </c>
      <c r="AC699">
        <v>1128.24</v>
      </c>
      <c r="AD699" s="11">
        <f t="shared" si="120"/>
        <v>0.37891682395534571</v>
      </c>
      <c r="AE699" t="s">
        <v>103</v>
      </c>
      <c r="AF699" t="s">
        <v>104</v>
      </c>
    </row>
    <row r="700" spans="1:32">
      <c r="A700" t="s">
        <v>2181</v>
      </c>
      <c r="B700" s="2" t="str">
        <f t="shared" si="110"/>
        <v>Unique</v>
      </c>
      <c r="C700" s="2" t="str">
        <f t="shared" si="114"/>
        <v>Sep</v>
      </c>
      <c r="D700" s="2">
        <f t="shared" si="115"/>
        <v>2024</v>
      </c>
      <c r="E700" s="4">
        <v>45549</v>
      </c>
      <c r="F700" s="4">
        <v>45549</v>
      </c>
      <c r="G700" s="6">
        <f t="shared" si="111"/>
        <v>0</v>
      </c>
      <c r="H700" s="6" t="str">
        <f t="shared" si="112"/>
        <v>Valid</v>
      </c>
      <c r="I700" t="s">
        <v>2182</v>
      </c>
      <c r="J700" t="s">
        <v>37</v>
      </c>
      <c r="K700" t="s">
        <v>91</v>
      </c>
      <c r="L700" t="s">
        <v>26</v>
      </c>
      <c r="M700" t="s">
        <v>27</v>
      </c>
      <c r="O700" t="s">
        <v>75</v>
      </c>
      <c r="P700" t="s">
        <v>275</v>
      </c>
      <c r="Q700" t="s">
        <v>2183</v>
      </c>
      <c r="R700" t="s">
        <v>60</v>
      </c>
      <c r="S700">
        <v>8</v>
      </c>
      <c r="T700">
        <v>4081.66</v>
      </c>
      <c r="U700" s="2">
        <f t="shared" si="116"/>
        <v>27755.287999999997</v>
      </c>
      <c r="V700" s="13">
        <v>0.15</v>
      </c>
      <c r="W700" s="2">
        <f t="shared" si="117"/>
        <v>0.15</v>
      </c>
      <c r="X700" s="2" t="str">
        <f t="shared" si="118"/>
        <v>Valid</v>
      </c>
      <c r="Y700" s="2" t="str">
        <f t="shared" si="119"/>
        <v>Clean</v>
      </c>
      <c r="Z700">
        <v>28208.1</v>
      </c>
      <c r="AA700">
        <v>23751.91</v>
      </c>
      <c r="AB700" s="2">
        <f t="shared" si="113"/>
        <v>4003.377999999997</v>
      </c>
      <c r="AC700">
        <v>4003.38</v>
      </c>
      <c r="AD700" s="11">
        <f t="shared" si="120"/>
        <v>0.14192306465164262</v>
      </c>
      <c r="AE700" t="s">
        <v>33</v>
      </c>
      <c r="AF700" t="s">
        <v>104</v>
      </c>
    </row>
    <row r="701" spans="1:32">
      <c r="A701" t="s">
        <v>2184</v>
      </c>
      <c r="B701" s="2" t="str">
        <f t="shared" si="110"/>
        <v>Unique</v>
      </c>
      <c r="C701" s="2" t="str">
        <f t="shared" si="114"/>
        <v>Jun</v>
      </c>
      <c r="D701" s="2">
        <f t="shared" si="115"/>
        <v>2024</v>
      </c>
      <c r="E701" s="4">
        <v>45454</v>
      </c>
      <c r="F701" s="4">
        <v>45454</v>
      </c>
      <c r="G701" s="6">
        <f t="shared" si="111"/>
        <v>0</v>
      </c>
      <c r="H701" s="6" t="str">
        <f t="shared" si="112"/>
        <v>Valid</v>
      </c>
      <c r="I701" t="s">
        <v>2185</v>
      </c>
      <c r="J701" t="s">
        <v>54</v>
      </c>
      <c r="K701" t="s">
        <v>38</v>
      </c>
      <c r="L701" t="s">
        <v>55</v>
      </c>
      <c r="M701" t="s">
        <v>176</v>
      </c>
      <c r="O701" t="s">
        <v>42</v>
      </c>
      <c r="P701" t="s">
        <v>159</v>
      </c>
      <c r="Q701" t="s">
        <v>2186</v>
      </c>
      <c r="R701" t="s">
        <v>60</v>
      </c>
      <c r="S701">
        <v>9</v>
      </c>
      <c r="T701">
        <v>1400.11</v>
      </c>
      <c r="U701" s="2">
        <f t="shared" si="116"/>
        <v>9450.7425000000003</v>
      </c>
      <c r="V701" s="13">
        <v>0.25</v>
      </c>
      <c r="W701" s="2">
        <f t="shared" si="117"/>
        <v>0.25</v>
      </c>
      <c r="X701" s="2" t="str">
        <f t="shared" si="118"/>
        <v>Valid</v>
      </c>
      <c r="Y701" s="2" t="str">
        <f t="shared" si="119"/>
        <v>Clean</v>
      </c>
      <c r="Z701">
        <v>9450.74</v>
      </c>
      <c r="AA701">
        <v>7798.56</v>
      </c>
      <c r="AB701" s="2">
        <f t="shared" si="113"/>
        <v>1652.1824999999999</v>
      </c>
      <c r="AC701">
        <v>1652.18</v>
      </c>
      <c r="AD701" s="11">
        <f t="shared" si="120"/>
        <v>0.17482017281186449</v>
      </c>
      <c r="AE701" t="s">
        <v>33</v>
      </c>
      <c r="AF701" t="s">
        <v>34</v>
      </c>
    </row>
    <row r="702" spans="1:32">
      <c r="A702" t="s">
        <v>2187</v>
      </c>
      <c r="B702" s="2" t="str">
        <f t="shared" si="110"/>
        <v>Unique</v>
      </c>
      <c r="C702" s="2" t="str">
        <f t="shared" si="114"/>
        <v>Sep</v>
      </c>
      <c r="D702" s="2">
        <f t="shared" si="115"/>
        <v>2024</v>
      </c>
      <c r="E702" s="4">
        <v>45553</v>
      </c>
      <c r="F702" s="4">
        <v>45556</v>
      </c>
      <c r="G702" s="6">
        <f t="shared" si="111"/>
        <v>3</v>
      </c>
      <c r="H702" s="6" t="str">
        <f t="shared" si="112"/>
        <v>Valid</v>
      </c>
      <c r="I702" t="s">
        <v>2188</v>
      </c>
      <c r="J702" t="s">
        <v>80</v>
      </c>
      <c r="K702" t="s">
        <v>91</v>
      </c>
      <c r="L702" t="s">
        <v>39</v>
      </c>
      <c r="M702" t="s">
        <v>100</v>
      </c>
      <c r="O702" t="s">
        <v>75</v>
      </c>
      <c r="P702" t="s">
        <v>275</v>
      </c>
      <c r="Q702" t="s">
        <v>2189</v>
      </c>
      <c r="R702" t="s">
        <v>60</v>
      </c>
      <c r="S702">
        <v>3</v>
      </c>
      <c r="T702">
        <v>3055.9</v>
      </c>
      <c r="U702" s="2">
        <f t="shared" si="116"/>
        <v>7792.5450000000001</v>
      </c>
      <c r="V702" s="13">
        <v>0.15</v>
      </c>
      <c r="W702" s="2">
        <f t="shared" si="117"/>
        <v>0.15</v>
      </c>
      <c r="X702" s="2" t="str">
        <f t="shared" si="118"/>
        <v>Valid</v>
      </c>
      <c r="Y702" s="2" t="str">
        <f t="shared" si="119"/>
        <v>Clean</v>
      </c>
      <c r="Z702">
        <v>7792.55</v>
      </c>
      <c r="AA702">
        <v>4691.7299999999996</v>
      </c>
      <c r="AB702" s="2">
        <f t="shared" si="113"/>
        <v>3100.8150000000005</v>
      </c>
      <c r="AC702">
        <v>3100.82</v>
      </c>
      <c r="AD702" s="11">
        <f t="shared" si="120"/>
        <v>0.39792109129874048</v>
      </c>
      <c r="AE702" t="s">
        <v>33</v>
      </c>
      <c r="AF702" t="s">
        <v>34</v>
      </c>
    </row>
    <row r="703" spans="1:32">
      <c r="A703" t="s">
        <v>2190</v>
      </c>
      <c r="B703" s="2" t="str">
        <f t="shared" si="110"/>
        <v>Unique</v>
      </c>
      <c r="C703" s="2" t="str">
        <f t="shared" si="114"/>
        <v>Apr</v>
      </c>
      <c r="D703" s="2">
        <f t="shared" si="115"/>
        <v>2024</v>
      </c>
      <c r="E703" s="4">
        <v>45412</v>
      </c>
      <c r="F703" s="4">
        <v>45416</v>
      </c>
      <c r="G703" s="6">
        <f t="shared" si="111"/>
        <v>4</v>
      </c>
      <c r="H703" s="6" t="str">
        <f t="shared" si="112"/>
        <v>Valid</v>
      </c>
      <c r="I703" t="s">
        <v>2191</v>
      </c>
      <c r="J703" t="s">
        <v>142</v>
      </c>
      <c r="K703" t="s">
        <v>38</v>
      </c>
      <c r="L703" t="s">
        <v>64</v>
      </c>
      <c r="M703" t="s">
        <v>181</v>
      </c>
      <c r="O703" t="s">
        <v>29</v>
      </c>
      <c r="P703" t="s">
        <v>49</v>
      </c>
      <c r="Q703" t="s">
        <v>2192</v>
      </c>
      <c r="R703" t="s">
        <v>45</v>
      </c>
      <c r="S703">
        <v>7</v>
      </c>
      <c r="T703">
        <v>1224.94</v>
      </c>
      <c r="U703" s="2">
        <f t="shared" si="116"/>
        <v>8574.58</v>
      </c>
      <c r="V703" s="13">
        <v>0</v>
      </c>
      <c r="W703" s="2">
        <f t="shared" si="117"/>
        <v>0</v>
      </c>
      <c r="X703" s="2" t="str">
        <f t="shared" si="118"/>
        <v>Valid</v>
      </c>
      <c r="Y703" s="2" t="str">
        <f t="shared" si="119"/>
        <v>Clean</v>
      </c>
      <c r="Z703">
        <v>8574.58</v>
      </c>
      <c r="AA703">
        <v>6685.81</v>
      </c>
      <c r="AB703" s="2">
        <f t="shared" si="113"/>
        <v>1888.7699999999995</v>
      </c>
      <c r="AC703">
        <v>1888.77</v>
      </c>
      <c r="AD703" s="11">
        <f t="shared" si="120"/>
        <v>0.22027551203674114</v>
      </c>
      <c r="AE703" t="s">
        <v>33</v>
      </c>
      <c r="AF703" t="s">
        <v>104</v>
      </c>
    </row>
    <row r="704" spans="1:32">
      <c r="A704" t="s">
        <v>2193</v>
      </c>
      <c r="B704" s="2" t="str">
        <f t="shared" si="110"/>
        <v>Unique</v>
      </c>
      <c r="C704" s="2" t="str">
        <f t="shared" si="114"/>
        <v>Feb</v>
      </c>
      <c r="D704" s="2">
        <f t="shared" si="115"/>
        <v>2025</v>
      </c>
      <c r="E704" s="4">
        <v>45690</v>
      </c>
      <c r="F704" s="4">
        <v>45694</v>
      </c>
      <c r="G704" s="6">
        <f t="shared" si="111"/>
        <v>4</v>
      </c>
      <c r="H704" s="6" t="str">
        <f t="shared" si="112"/>
        <v>Valid</v>
      </c>
      <c r="I704" t="s">
        <v>2194</v>
      </c>
      <c r="J704" t="s">
        <v>24</v>
      </c>
      <c r="K704" t="s">
        <v>38</v>
      </c>
      <c r="L704" t="s">
        <v>64</v>
      </c>
      <c r="M704" t="s">
        <v>27</v>
      </c>
      <c r="O704" t="s">
        <v>42</v>
      </c>
      <c r="P704" t="s">
        <v>43</v>
      </c>
      <c r="Q704" t="s">
        <v>2195</v>
      </c>
      <c r="R704" t="s">
        <v>32</v>
      </c>
      <c r="S704">
        <v>3</v>
      </c>
      <c r="T704">
        <v>997.34</v>
      </c>
      <c r="U704" s="2">
        <f t="shared" si="116"/>
        <v>2692.8180000000002</v>
      </c>
      <c r="V704" s="13">
        <v>0.1</v>
      </c>
      <c r="W704" s="2">
        <f t="shared" si="117"/>
        <v>0.1</v>
      </c>
      <c r="X704" s="2" t="str">
        <f t="shared" si="118"/>
        <v>Valid</v>
      </c>
      <c r="Y704" s="2" t="str">
        <f t="shared" si="119"/>
        <v>Clean</v>
      </c>
      <c r="Z704">
        <v>2692.82</v>
      </c>
      <c r="AA704">
        <v>1820.08</v>
      </c>
      <c r="AB704" s="2">
        <f t="shared" si="113"/>
        <v>872.73800000000028</v>
      </c>
      <c r="AC704">
        <v>872.74</v>
      </c>
      <c r="AD704" s="11">
        <f t="shared" si="120"/>
        <v>0.3240989000378785</v>
      </c>
      <c r="AE704" t="s">
        <v>33</v>
      </c>
      <c r="AF704" t="s">
        <v>34</v>
      </c>
    </row>
    <row r="705" spans="1:32">
      <c r="A705" t="s">
        <v>2196</v>
      </c>
      <c r="B705" s="2" t="str">
        <f t="shared" si="110"/>
        <v>Unique</v>
      </c>
      <c r="C705" s="2" t="str">
        <f t="shared" si="114"/>
        <v>Oct</v>
      </c>
      <c r="D705" s="2">
        <f t="shared" si="115"/>
        <v>2024</v>
      </c>
      <c r="E705" s="4">
        <v>45584</v>
      </c>
      <c r="F705" s="4">
        <v>45585</v>
      </c>
      <c r="G705" s="6">
        <f t="shared" si="111"/>
        <v>1</v>
      </c>
      <c r="H705" s="6" t="str">
        <f t="shared" si="112"/>
        <v>Valid</v>
      </c>
      <c r="I705" t="s">
        <v>2197</v>
      </c>
      <c r="J705" t="s">
        <v>90</v>
      </c>
      <c r="K705" t="s">
        <v>91</v>
      </c>
      <c r="L705" t="s">
        <v>26</v>
      </c>
      <c r="M705" t="s">
        <v>27</v>
      </c>
      <c r="O705" t="s">
        <v>42</v>
      </c>
      <c r="P705" t="s">
        <v>43</v>
      </c>
      <c r="Q705" t="s">
        <v>2198</v>
      </c>
      <c r="R705" t="s">
        <v>51</v>
      </c>
      <c r="S705">
        <v>1</v>
      </c>
      <c r="T705">
        <v>1150.03</v>
      </c>
      <c r="U705" s="2">
        <f t="shared" si="116"/>
        <v>1035.027</v>
      </c>
      <c r="V705" s="13">
        <v>0.1</v>
      </c>
      <c r="W705" s="2">
        <f t="shared" si="117"/>
        <v>0.1</v>
      </c>
      <c r="X705" s="2" t="str">
        <f t="shared" si="118"/>
        <v>Valid</v>
      </c>
      <c r="Y705" s="2" t="str">
        <f t="shared" si="119"/>
        <v>Clean</v>
      </c>
      <c r="Z705">
        <v>1035.03</v>
      </c>
      <c r="AA705">
        <v>854.35</v>
      </c>
      <c r="AB705" s="2">
        <f t="shared" si="113"/>
        <v>180.67700000000002</v>
      </c>
      <c r="AC705">
        <v>180.68</v>
      </c>
      <c r="AD705" s="11">
        <f t="shared" si="120"/>
        <v>0.17456498845444093</v>
      </c>
      <c r="AE705" t="s">
        <v>33</v>
      </c>
      <c r="AF705" t="s">
        <v>34</v>
      </c>
    </row>
    <row r="706" spans="1:32">
      <c r="A706" t="s">
        <v>2199</v>
      </c>
      <c r="B706" s="2" t="str">
        <f t="shared" ref="B706:B769" si="121">IF(COUNTIF($A:$A,A706)&gt;1,"Duplicate Order ID","Unique")</f>
        <v>Unique</v>
      </c>
      <c r="C706" s="2" t="str">
        <f t="shared" si="114"/>
        <v>Mar</v>
      </c>
      <c r="D706" s="2">
        <f t="shared" si="115"/>
        <v>2024</v>
      </c>
      <c r="E706" s="4">
        <v>45364</v>
      </c>
      <c r="F706" s="4">
        <v>45371</v>
      </c>
      <c r="G706" s="6">
        <f t="shared" ref="G706:G769" si="122">F706-E706</f>
        <v>7</v>
      </c>
      <c r="H706" s="6" t="str">
        <f t="shared" ref="H706:H769" si="123">IF(G706&lt;0,"Invalid: Ship Date Before Order Date","Valid")</f>
        <v>Valid</v>
      </c>
      <c r="I706" t="s">
        <v>2200</v>
      </c>
      <c r="J706" t="s">
        <v>115</v>
      </c>
      <c r="K706" t="s">
        <v>96</v>
      </c>
      <c r="L706" t="s">
        <v>55</v>
      </c>
      <c r="M706" t="s">
        <v>248</v>
      </c>
      <c r="O706" t="s">
        <v>42</v>
      </c>
      <c r="P706" t="s">
        <v>159</v>
      </c>
      <c r="Q706" t="s">
        <v>2201</v>
      </c>
      <c r="R706" s="2" t="s">
        <v>2793</v>
      </c>
      <c r="S706">
        <v>1</v>
      </c>
      <c r="T706">
        <v>2825.63</v>
      </c>
      <c r="U706" s="2">
        <f t="shared" si="116"/>
        <v>2401.7855</v>
      </c>
      <c r="V706" s="13">
        <v>0.15</v>
      </c>
      <c r="W706" s="2">
        <f t="shared" si="117"/>
        <v>0.15</v>
      </c>
      <c r="X706" s="2" t="str">
        <f t="shared" si="118"/>
        <v>Valid</v>
      </c>
      <c r="Y706" s="2" t="str">
        <f t="shared" si="119"/>
        <v>Clean</v>
      </c>
      <c r="Z706">
        <v>2401.79</v>
      </c>
      <c r="AA706">
        <v>1820.34</v>
      </c>
      <c r="AB706" s="2">
        <f t="shared" ref="AB706:AB769" si="124">IF(ISNUMBER(U706),U706-AA706,"Invalid")</f>
        <v>581.44550000000004</v>
      </c>
      <c r="AC706">
        <v>581.45000000000005</v>
      </c>
      <c r="AD706" s="11">
        <f t="shared" si="120"/>
        <v>0.24209027433705696</v>
      </c>
      <c r="AE706" t="s">
        <v>33</v>
      </c>
      <c r="AF706" t="s">
        <v>34</v>
      </c>
    </row>
    <row r="707" spans="1:32">
      <c r="A707" t="s">
        <v>2202</v>
      </c>
      <c r="B707" s="2" t="str">
        <f t="shared" si="121"/>
        <v>Unique</v>
      </c>
      <c r="C707" s="2" t="str">
        <f t="shared" ref="C707:C770" si="125">TEXT(E707,"mmm")</f>
        <v>Sep</v>
      </c>
      <c r="D707" s="2">
        <f t="shared" ref="D707:D770" si="126">YEAR(E707)</f>
        <v>2024</v>
      </c>
      <c r="E707" s="4">
        <v>45543</v>
      </c>
      <c r="F707" s="4">
        <v>45549</v>
      </c>
      <c r="G707" s="6">
        <f t="shared" si="122"/>
        <v>6</v>
      </c>
      <c r="H707" s="6" t="str">
        <f t="shared" si="123"/>
        <v>Valid</v>
      </c>
      <c r="I707" t="s">
        <v>2203</v>
      </c>
      <c r="J707" t="s">
        <v>142</v>
      </c>
      <c r="K707" t="s">
        <v>25</v>
      </c>
      <c r="L707" t="s">
        <v>26</v>
      </c>
      <c r="M707" t="s">
        <v>27</v>
      </c>
      <c r="O707" t="s">
        <v>29</v>
      </c>
      <c r="P707" t="s">
        <v>154</v>
      </c>
      <c r="Q707" t="s">
        <v>2204</v>
      </c>
      <c r="R707" t="s">
        <v>60</v>
      </c>
      <c r="S707">
        <v>5</v>
      </c>
      <c r="T707">
        <v>3371.75</v>
      </c>
      <c r="U707" s="2">
        <f t="shared" ref="U707:U770" si="127">IF(ISNUMBER(W707),S707*T707*(1-W707),"Invalid")</f>
        <v>16015.8125</v>
      </c>
      <c r="V707" s="13">
        <v>0.05</v>
      </c>
      <c r="W707" s="2">
        <f t="shared" ref="W707:W770" si="128">IF(OR(V707&lt;0,V707&gt;1),"Invalid",V707)</f>
        <v>0.05</v>
      </c>
      <c r="X707" s="2" t="str">
        <f t="shared" ref="X707:X770" si="129">IF(OR(V707&lt;0,V707&gt;1),"Invalid","Valid")</f>
        <v>Valid</v>
      </c>
      <c r="Y707" s="2" t="str">
        <f t="shared" ref="Y707:Y770" si="130">IF(AND(H707="Valid",X707="Valid"),"Clean","Invalid")</f>
        <v>Clean</v>
      </c>
      <c r="Z707">
        <v>16015.81</v>
      </c>
      <c r="AA707">
        <v>11352.38</v>
      </c>
      <c r="AB707" s="2">
        <f t="shared" si="124"/>
        <v>4663.4325000000008</v>
      </c>
      <c r="AC707">
        <v>4663.43</v>
      </c>
      <c r="AD707" s="11">
        <f t="shared" ref="AD707:AD770" si="131">AC707/Z707</f>
        <v>0.2911766560667241</v>
      </c>
      <c r="AE707" t="s">
        <v>33</v>
      </c>
      <c r="AF707" t="s">
        <v>34</v>
      </c>
    </row>
    <row r="708" spans="1:32">
      <c r="A708" t="s">
        <v>2205</v>
      </c>
      <c r="B708" s="2" t="str">
        <f t="shared" si="121"/>
        <v>Unique</v>
      </c>
      <c r="C708" s="2" t="str">
        <f t="shared" si="125"/>
        <v>Jun</v>
      </c>
      <c r="D708" s="2">
        <f t="shared" si="126"/>
        <v>2024</v>
      </c>
      <c r="E708" s="4">
        <v>45467</v>
      </c>
      <c r="F708" s="4">
        <v>45471</v>
      </c>
      <c r="G708" s="6">
        <f t="shared" si="122"/>
        <v>4</v>
      </c>
      <c r="H708" s="6" t="str">
        <f t="shared" si="123"/>
        <v>Valid</v>
      </c>
      <c r="I708" t="s">
        <v>2206</v>
      </c>
      <c r="J708" t="s">
        <v>48</v>
      </c>
      <c r="K708" t="s">
        <v>38</v>
      </c>
      <c r="L708" t="s">
        <v>39</v>
      </c>
      <c r="M708" t="s">
        <v>40</v>
      </c>
      <c r="O708" t="s">
        <v>29</v>
      </c>
      <c r="P708" t="s">
        <v>30</v>
      </c>
      <c r="Q708" t="s">
        <v>2207</v>
      </c>
      <c r="R708" t="s">
        <v>45</v>
      </c>
      <c r="S708">
        <v>1</v>
      </c>
      <c r="T708">
        <v>2112.75</v>
      </c>
      <c r="U708" s="2">
        <f t="shared" si="127"/>
        <v>1901.4750000000001</v>
      </c>
      <c r="V708" s="13">
        <v>0.1</v>
      </c>
      <c r="W708" s="2">
        <f t="shared" si="128"/>
        <v>0.1</v>
      </c>
      <c r="X708" s="2" t="str">
        <f t="shared" si="129"/>
        <v>Valid</v>
      </c>
      <c r="Y708" s="2" t="str">
        <f t="shared" si="130"/>
        <v>Clean</v>
      </c>
      <c r="Z708">
        <v>1901.48</v>
      </c>
      <c r="AA708">
        <v>1354.28</v>
      </c>
      <c r="AB708" s="2">
        <f t="shared" si="124"/>
        <v>547.19500000000016</v>
      </c>
      <c r="AC708">
        <v>547.20000000000005</v>
      </c>
      <c r="AD708" s="11">
        <f t="shared" si="131"/>
        <v>0.2877758377684751</v>
      </c>
      <c r="AE708" t="s">
        <v>33</v>
      </c>
      <c r="AF708" t="s">
        <v>34</v>
      </c>
    </row>
    <row r="709" spans="1:32">
      <c r="A709" t="s">
        <v>2208</v>
      </c>
      <c r="B709" s="2" t="str">
        <f t="shared" si="121"/>
        <v>Unique</v>
      </c>
      <c r="C709" s="2" t="str">
        <f t="shared" si="125"/>
        <v>Jun</v>
      </c>
      <c r="D709" s="2">
        <f t="shared" si="126"/>
        <v>2025</v>
      </c>
      <c r="E709" s="4">
        <v>45832</v>
      </c>
      <c r="F709" s="4">
        <v>45834</v>
      </c>
      <c r="G709" s="6">
        <f t="shared" si="122"/>
        <v>2</v>
      </c>
      <c r="H709" s="6" t="str">
        <f t="shared" si="123"/>
        <v>Valid</v>
      </c>
      <c r="I709" t="s">
        <v>2209</v>
      </c>
      <c r="J709" t="s">
        <v>72</v>
      </c>
      <c r="K709" t="s">
        <v>25</v>
      </c>
      <c r="L709" t="s">
        <v>26</v>
      </c>
      <c r="M709" t="s">
        <v>27</v>
      </c>
      <c r="O709" t="s">
        <v>75</v>
      </c>
      <c r="P709" t="s">
        <v>76</v>
      </c>
      <c r="Q709" t="s">
        <v>2210</v>
      </c>
      <c r="R709" t="s">
        <v>45</v>
      </c>
      <c r="S709">
        <v>5</v>
      </c>
      <c r="T709">
        <v>3722.66</v>
      </c>
      <c r="U709" s="2">
        <f t="shared" si="127"/>
        <v>8375.9849999999988</v>
      </c>
      <c r="V709" s="13">
        <v>0.55000000000000004</v>
      </c>
      <c r="W709" s="2">
        <f t="shared" si="128"/>
        <v>0.55000000000000004</v>
      </c>
      <c r="X709" s="2" t="str">
        <f t="shared" si="129"/>
        <v>Valid</v>
      </c>
      <c r="Y709" s="2" t="str">
        <f t="shared" si="130"/>
        <v>Clean</v>
      </c>
      <c r="Z709">
        <v>16751.97</v>
      </c>
      <c r="AA709">
        <v>11678.32</v>
      </c>
      <c r="AB709" s="2">
        <f t="shared" si="124"/>
        <v>-3302.3350000000009</v>
      </c>
      <c r="AC709">
        <v>5073.6499999999996</v>
      </c>
      <c r="AD709" s="11">
        <f t="shared" si="131"/>
        <v>0.3028688566180574</v>
      </c>
      <c r="AE709" t="s">
        <v>33</v>
      </c>
      <c r="AF709" t="s">
        <v>34</v>
      </c>
    </row>
    <row r="710" spans="1:32">
      <c r="A710" t="s">
        <v>2211</v>
      </c>
      <c r="B710" s="2" t="str">
        <f t="shared" si="121"/>
        <v>Unique</v>
      </c>
      <c r="C710" s="2" t="str">
        <f t="shared" si="125"/>
        <v>Mar</v>
      </c>
      <c r="D710" s="2">
        <f t="shared" si="126"/>
        <v>2025</v>
      </c>
      <c r="E710" s="4">
        <v>45736</v>
      </c>
      <c r="F710" s="4">
        <v>45742</v>
      </c>
      <c r="G710" s="6">
        <f t="shared" si="122"/>
        <v>6</v>
      </c>
      <c r="H710" s="6" t="str">
        <f t="shared" si="123"/>
        <v>Valid</v>
      </c>
      <c r="I710" t="s">
        <v>2212</v>
      </c>
      <c r="J710" t="s">
        <v>133</v>
      </c>
      <c r="K710" t="s">
        <v>25</v>
      </c>
      <c r="L710" t="s">
        <v>39</v>
      </c>
      <c r="M710" t="s">
        <v>167</v>
      </c>
      <c r="O710" t="s">
        <v>42</v>
      </c>
      <c r="P710" t="s">
        <v>159</v>
      </c>
      <c r="Q710" t="s">
        <v>2213</v>
      </c>
      <c r="R710" t="s">
        <v>51</v>
      </c>
      <c r="S710">
        <v>4</v>
      </c>
      <c r="T710">
        <v>4357.66</v>
      </c>
      <c r="U710" s="2">
        <f t="shared" si="127"/>
        <v>16559.108</v>
      </c>
      <c r="V710" s="13">
        <v>0.05</v>
      </c>
      <c r="W710" s="2">
        <f t="shared" si="128"/>
        <v>0.05</v>
      </c>
      <c r="X710" s="2" t="str">
        <f t="shared" si="129"/>
        <v>Valid</v>
      </c>
      <c r="Y710" s="2" t="str">
        <f t="shared" si="130"/>
        <v>Clean</v>
      </c>
      <c r="Z710">
        <v>16559.11</v>
      </c>
      <c r="AA710">
        <v>13233.79</v>
      </c>
      <c r="AB710" s="2">
        <f t="shared" si="124"/>
        <v>3325.3179999999993</v>
      </c>
      <c r="AC710">
        <v>3325.32</v>
      </c>
      <c r="AD710" s="11">
        <f t="shared" si="131"/>
        <v>0.20081514042723311</v>
      </c>
      <c r="AE710" t="s">
        <v>33</v>
      </c>
      <c r="AF710" t="s">
        <v>34</v>
      </c>
    </row>
    <row r="711" spans="1:32">
      <c r="A711" t="s">
        <v>2214</v>
      </c>
      <c r="B711" s="2" t="str">
        <f t="shared" si="121"/>
        <v>Unique</v>
      </c>
      <c r="C711" s="2" t="str">
        <f t="shared" si="125"/>
        <v>Jan</v>
      </c>
      <c r="D711" s="2">
        <f t="shared" si="126"/>
        <v>2025</v>
      </c>
      <c r="E711" s="4">
        <v>45676</v>
      </c>
      <c r="F711" s="4">
        <v>45680</v>
      </c>
      <c r="G711" s="6">
        <f t="shared" si="122"/>
        <v>4</v>
      </c>
      <c r="H711" s="6" t="str">
        <f t="shared" si="123"/>
        <v>Valid</v>
      </c>
      <c r="I711" t="s">
        <v>2215</v>
      </c>
      <c r="J711" t="s">
        <v>265</v>
      </c>
      <c r="K711" t="s">
        <v>96</v>
      </c>
      <c r="L711" t="s">
        <v>26</v>
      </c>
      <c r="M711" t="s">
        <v>123</v>
      </c>
      <c r="O711" t="s">
        <v>75</v>
      </c>
      <c r="P711" t="s">
        <v>172</v>
      </c>
      <c r="Q711" t="s">
        <v>2216</v>
      </c>
      <c r="R711" t="s">
        <v>45</v>
      </c>
      <c r="S711">
        <v>7</v>
      </c>
      <c r="T711">
        <v>1363.04</v>
      </c>
      <c r="U711" s="2">
        <f t="shared" si="127"/>
        <v>8110.0879999999988</v>
      </c>
      <c r="V711" s="13">
        <v>0.15</v>
      </c>
      <c r="W711" s="2">
        <f t="shared" si="128"/>
        <v>0.15</v>
      </c>
      <c r="X711" s="2" t="str">
        <f t="shared" si="129"/>
        <v>Valid</v>
      </c>
      <c r="Y711" s="2" t="str">
        <f t="shared" si="130"/>
        <v>Clean</v>
      </c>
      <c r="Z711">
        <v>8110.09</v>
      </c>
      <c r="AA711">
        <v>6417.32</v>
      </c>
      <c r="AB711" s="2">
        <f t="shared" si="124"/>
        <v>1692.7679999999991</v>
      </c>
      <c r="AC711">
        <v>1692.77</v>
      </c>
      <c r="AD711" s="11">
        <f t="shared" si="131"/>
        <v>0.20872394757641408</v>
      </c>
      <c r="AE711" t="s">
        <v>33</v>
      </c>
      <c r="AF711" t="s">
        <v>69</v>
      </c>
    </row>
    <row r="712" spans="1:32">
      <c r="A712" t="s">
        <v>2217</v>
      </c>
      <c r="B712" s="2" t="str">
        <f t="shared" si="121"/>
        <v>Unique</v>
      </c>
      <c r="C712" s="2" t="str">
        <f t="shared" si="125"/>
        <v>Jul</v>
      </c>
      <c r="D712" s="2">
        <f t="shared" si="126"/>
        <v>2024</v>
      </c>
      <c r="E712" s="4">
        <v>45485</v>
      </c>
      <c r="F712" s="4">
        <v>45492</v>
      </c>
      <c r="G712" s="6">
        <f t="shared" si="122"/>
        <v>7</v>
      </c>
      <c r="H712" s="6" t="str">
        <f t="shared" si="123"/>
        <v>Valid</v>
      </c>
      <c r="I712" t="s">
        <v>2218</v>
      </c>
      <c r="J712" t="s">
        <v>72</v>
      </c>
      <c r="K712" t="s">
        <v>91</v>
      </c>
      <c r="L712" t="s">
        <v>26</v>
      </c>
      <c r="M712" t="s">
        <v>123</v>
      </c>
      <c r="O712" t="s">
        <v>29</v>
      </c>
      <c r="P712" t="s">
        <v>49</v>
      </c>
      <c r="Q712" t="s">
        <v>2219</v>
      </c>
      <c r="R712" t="s">
        <v>32</v>
      </c>
      <c r="S712">
        <v>5</v>
      </c>
      <c r="T712">
        <v>1559.16</v>
      </c>
      <c r="U712" s="2">
        <f t="shared" si="127"/>
        <v>7406.01</v>
      </c>
      <c r="V712" s="13">
        <v>0.05</v>
      </c>
      <c r="W712" s="2">
        <f t="shared" si="128"/>
        <v>0.05</v>
      </c>
      <c r="X712" s="2" t="str">
        <f t="shared" si="129"/>
        <v>Valid</v>
      </c>
      <c r="Y712" s="2" t="str">
        <f t="shared" si="130"/>
        <v>Clean</v>
      </c>
      <c r="Z712">
        <v>7406.01</v>
      </c>
      <c r="AA712">
        <v>5941.74</v>
      </c>
      <c r="AB712" s="2">
        <f t="shared" si="124"/>
        <v>1464.2700000000004</v>
      </c>
      <c r="AC712">
        <v>1464.27</v>
      </c>
      <c r="AD712" s="11">
        <f t="shared" si="131"/>
        <v>0.19771374869869199</v>
      </c>
      <c r="AE712" t="s">
        <v>33</v>
      </c>
      <c r="AF712" t="s">
        <v>34</v>
      </c>
    </row>
    <row r="713" spans="1:32">
      <c r="A713" t="s">
        <v>2220</v>
      </c>
      <c r="B713" s="2" t="str">
        <f t="shared" si="121"/>
        <v>Unique</v>
      </c>
      <c r="C713" s="2" t="str">
        <f t="shared" si="125"/>
        <v>Feb</v>
      </c>
      <c r="D713" s="2">
        <f t="shared" si="126"/>
        <v>2025</v>
      </c>
      <c r="E713" s="4">
        <v>45690</v>
      </c>
      <c r="F713" s="4">
        <v>45690</v>
      </c>
      <c r="G713" s="6">
        <f t="shared" si="122"/>
        <v>0</v>
      </c>
      <c r="H713" s="6" t="str">
        <f t="shared" si="123"/>
        <v>Valid</v>
      </c>
      <c r="I713" t="s">
        <v>2221</v>
      </c>
      <c r="J713" t="s">
        <v>265</v>
      </c>
      <c r="K713" t="s">
        <v>91</v>
      </c>
      <c r="L713" t="s">
        <v>39</v>
      </c>
      <c r="M713" t="s">
        <v>100</v>
      </c>
      <c r="O713" t="s">
        <v>75</v>
      </c>
      <c r="P713" t="s">
        <v>275</v>
      </c>
      <c r="Q713" t="s">
        <v>2222</v>
      </c>
      <c r="R713" t="s">
        <v>51</v>
      </c>
      <c r="S713">
        <v>1</v>
      </c>
      <c r="T713">
        <v>4326.75</v>
      </c>
      <c r="U713" s="2">
        <f t="shared" si="127"/>
        <v>4110.4124999999995</v>
      </c>
      <c r="V713" s="13">
        <v>0.05</v>
      </c>
      <c r="W713" s="2">
        <f t="shared" si="128"/>
        <v>0.05</v>
      </c>
      <c r="X713" s="2" t="str">
        <f t="shared" si="129"/>
        <v>Valid</v>
      </c>
      <c r="Y713" s="2" t="str">
        <f t="shared" si="130"/>
        <v>Clean</v>
      </c>
      <c r="Z713">
        <v>4110.41</v>
      </c>
      <c r="AA713">
        <v>2394.14</v>
      </c>
      <c r="AB713" s="2">
        <f t="shared" si="124"/>
        <v>1716.2724999999996</v>
      </c>
      <c r="AC713">
        <v>1716.27</v>
      </c>
      <c r="AD713" s="11">
        <f t="shared" si="131"/>
        <v>0.41754228896874035</v>
      </c>
      <c r="AE713" t="s">
        <v>112</v>
      </c>
      <c r="AF713" t="s">
        <v>104</v>
      </c>
    </row>
    <row r="714" spans="1:32">
      <c r="A714" t="s">
        <v>2223</v>
      </c>
      <c r="B714" s="2" t="str">
        <f t="shared" si="121"/>
        <v>Unique</v>
      </c>
      <c r="C714" s="2" t="str">
        <f t="shared" si="125"/>
        <v>Feb</v>
      </c>
      <c r="D714" s="2">
        <f t="shared" si="126"/>
        <v>2024</v>
      </c>
      <c r="E714" s="4">
        <v>45332</v>
      </c>
      <c r="F714" s="4">
        <v>45340</v>
      </c>
      <c r="G714" s="6">
        <f t="shared" si="122"/>
        <v>8</v>
      </c>
      <c r="H714" s="6" t="str">
        <f t="shared" si="123"/>
        <v>Valid</v>
      </c>
      <c r="I714" t="s">
        <v>2224</v>
      </c>
      <c r="J714" t="s">
        <v>48</v>
      </c>
      <c r="K714" t="s">
        <v>96</v>
      </c>
      <c r="L714" t="s">
        <v>64</v>
      </c>
      <c r="M714" t="s">
        <v>73</v>
      </c>
      <c r="O714" t="s">
        <v>42</v>
      </c>
      <c r="P714" t="s">
        <v>67</v>
      </c>
      <c r="Q714" t="s">
        <v>2225</v>
      </c>
      <c r="R714" t="s">
        <v>51</v>
      </c>
      <c r="S714">
        <v>7</v>
      </c>
      <c r="T714">
        <v>1382.86</v>
      </c>
      <c r="U714" s="2">
        <f t="shared" si="127"/>
        <v>9680.0199999999986</v>
      </c>
      <c r="V714" s="13">
        <v>0</v>
      </c>
      <c r="W714" s="2">
        <f t="shared" si="128"/>
        <v>0</v>
      </c>
      <c r="X714" s="2" t="str">
        <f t="shared" si="129"/>
        <v>Valid</v>
      </c>
      <c r="Y714" s="2" t="str">
        <f t="shared" si="130"/>
        <v>Clean</v>
      </c>
      <c r="Z714">
        <v>9680.02</v>
      </c>
      <c r="AA714">
        <v>6876.66</v>
      </c>
      <c r="AB714" s="2">
        <f t="shared" si="124"/>
        <v>2803.3599999999988</v>
      </c>
      <c r="AC714">
        <v>2803.36</v>
      </c>
      <c r="AD714" s="11">
        <f t="shared" si="131"/>
        <v>0.28960270743242267</v>
      </c>
      <c r="AE714" t="s">
        <v>33</v>
      </c>
      <c r="AF714" t="s">
        <v>34</v>
      </c>
    </row>
    <row r="715" spans="1:32">
      <c r="A715" t="s">
        <v>2226</v>
      </c>
      <c r="B715" s="2" t="str">
        <f t="shared" si="121"/>
        <v>Unique</v>
      </c>
      <c r="C715" s="2" t="str">
        <f t="shared" si="125"/>
        <v>Jun</v>
      </c>
      <c r="D715" s="2">
        <f t="shared" si="126"/>
        <v>2025</v>
      </c>
      <c r="E715" s="4">
        <v>45814</v>
      </c>
      <c r="F715" s="4">
        <v>45818</v>
      </c>
      <c r="G715" s="6">
        <f t="shared" si="122"/>
        <v>4</v>
      </c>
      <c r="H715" s="6" t="str">
        <f t="shared" si="123"/>
        <v>Valid</v>
      </c>
      <c r="I715" t="s">
        <v>600</v>
      </c>
      <c r="J715" t="s">
        <v>37</v>
      </c>
      <c r="K715" t="s">
        <v>25</v>
      </c>
      <c r="L715" t="s">
        <v>64</v>
      </c>
      <c r="M715" t="s">
        <v>27</v>
      </c>
      <c r="O715" t="s">
        <v>75</v>
      </c>
      <c r="P715" t="s">
        <v>275</v>
      </c>
      <c r="Q715" t="s">
        <v>2227</v>
      </c>
      <c r="R715" t="s">
        <v>32</v>
      </c>
      <c r="S715">
        <v>1</v>
      </c>
      <c r="T715">
        <v>289.97000000000003</v>
      </c>
      <c r="U715" s="2">
        <f t="shared" si="127"/>
        <v>217.47750000000002</v>
      </c>
      <c r="V715" s="13">
        <v>0.25</v>
      </c>
      <c r="W715" s="2">
        <f t="shared" si="128"/>
        <v>0.25</v>
      </c>
      <c r="X715" s="2" t="str">
        <f t="shared" si="129"/>
        <v>Valid</v>
      </c>
      <c r="Y715" s="2" t="str">
        <f t="shared" si="130"/>
        <v>Clean</v>
      </c>
      <c r="Z715">
        <v>217.48</v>
      </c>
      <c r="AA715">
        <v>132.13</v>
      </c>
      <c r="AB715" s="2">
        <f t="shared" si="124"/>
        <v>85.347500000000025</v>
      </c>
      <c r="AC715">
        <v>85.35</v>
      </c>
      <c r="AD715" s="11">
        <f t="shared" si="131"/>
        <v>0.39244988044877688</v>
      </c>
      <c r="AE715" t="s">
        <v>33</v>
      </c>
      <c r="AF715" t="s">
        <v>34</v>
      </c>
    </row>
    <row r="716" spans="1:32">
      <c r="A716" t="s">
        <v>2228</v>
      </c>
      <c r="B716" s="2" t="str">
        <f t="shared" si="121"/>
        <v>Unique</v>
      </c>
      <c r="C716" s="2" t="str">
        <f t="shared" si="125"/>
        <v>Mar</v>
      </c>
      <c r="D716" s="2">
        <f t="shared" si="126"/>
        <v>2025</v>
      </c>
      <c r="E716" s="4">
        <v>45738</v>
      </c>
      <c r="F716" s="4">
        <v>45739</v>
      </c>
      <c r="G716" s="6">
        <f t="shared" si="122"/>
        <v>1</v>
      </c>
      <c r="H716" s="6" t="str">
        <f t="shared" si="123"/>
        <v>Valid</v>
      </c>
      <c r="I716" t="s">
        <v>2229</v>
      </c>
      <c r="J716" t="s">
        <v>24</v>
      </c>
      <c r="K716" t="s">
        <v>96</v>
      </c>
      <c r="L716" t="s">
        <v>26</v>
      </c>
      <c r="M716" t="s">
        <v>351</v>
      </c>
      <c r="O716" t="s">
        <v>75</v>
      </c>
      <c r="P716" t="s">
        <v>81</v>
      </c>
      <c r="Q716" t="s">
        <v>2230</v>
      </c>
      <c r="R716" t="s">
        <v>60</v>
      </c>
      <c r="S716">
        <v>9</v>
      </c>
      <c r="T716">
        <v>2075.02</v>
      </c>
      <c r="U716" s="2">
        <f t="shared" si="127"/>
        <v>18675.18</v>
      </c>
      <c r="V716" s="13">
        <v>0</v>
      </c>
      <c r="W716" s="2">
        <f t="shared" si="128"/>
        <v>0</v>
      </c>
      <c r="X716" s="2" t="str">
        <f t="shared" si="129"/>
        <v>Valid</v>
      </c>
      <c r="Y716" s="2" t="str">
        <f t="shared" si="130"/>
        <v>Clean</v>
      </c>
      <c r="Z716">
        <v>18675.18</v>
      </c>
      <c r="AA716">
        <v>13974.7</v>
      </c>
      <c r="AB716" s="2">
        <f t="shared" si="124"/>
        <v>4700.4799999999996</v>
      </c>
      <c r="AC716">
        <v>4700.4799999999996</v>
      </c>
      <c r="AD716" s="11">
        <f t="shared" si="131"/>
        <v>0.25169663692665878</v>
      </c>
      <c r="AE716" t="s">
        <v>33</v>
      </c>
      <c r="AF716" t="s">
        <v>34</v>
      </c>
    </row>
    <row r="717" spans="1:32">
      <c r="A717" t="s">
        <v>2231</v>
      </c>
      <c r="B717" s="2" t="str">
        <f t="shared" si="121"/>
        <v>Unique</v>
      </c>
      <c r="C717" s="2" t="str">
        <f t="shared" si="125"/>
        <v>Aug</v>
      </c>
      <c r="D717" s="2">
        <f t="shared" si="126"/>
        <v>2025</v>
      </c>
      <c r="E717" s="4">
        <v>45891</v>
      </c>
      <c r="F717" s="4">
        <v>45896</v>
      </c>
      <c r="G717" s="6">
        <f t="shared" si="122"/>
        <v>5</v>
      </c>
      <c r="H717" s="6" t="str">
        <f t="shared" si="123"/>
        <v>Valid</v>
      </c>
      <c r="I717" t="s">
        <v>2232</v>
      </c>
      <c r="J717" t="s">
        <v>115</v>
      </c>
      <c r="K717" t="s">
        <v>25</v>
      </c>
      <c r="L717" t="s">
        <v>26</v>
      </c>
      <c r="M717" t="s">
        <v>237</v>
      </c>
      <c r="O717" t="s">
        <v>42</v>
      </c>
      <c r="P717" t="s">
        <v>67</v>
      </c>
      <c r="Q717" t="s">
        <v>2233</v>
      </c>
      <c r="R717" t="s">
        <v>32</v>
      </c>
      <c r="S717">
        <v>7</v>
      </c>
      <c r="T717">
        <v>2843.09</v>
      </c>
      <c r="U717" s="2">
        <f t="shared" si="127"/>
        <v>19901.63</v>
      </c>
      <c r="V717" s="13">
        <v>0</v>
      </c>
      <c r="W717" s="2">
        <f t="shared" si="128"/>
        <v>0</v>
      </c>
      <c r="X717" s="2" t="str">
        <f t="shared" si="129"/>
        <v>Valid</v>
      </c>
      <c r="Y717" s="2" t="str">
        <f t="shared" si="130"/>
        <v>Clean</v>
      </c>
      <c r="Z717">
        <v>19901.63</v>
      </c>
      <c r="AA717">
        <v>15492.03</v>
      </c>
      <c r="AB717" s="2">
        <f t="shared" si="124"/>
        <v>4409.6000000000004</v>
      </c>
      <c r="AC717">
        <v>4409.6000000000004</v>
      </c>
      <c r="AD717" s="11">
        <f t="shared" si="131"/>
        <v>0.22156979101711771</v>
      </c>
      <c r="AE717" t="s">
        <v>103</v>
      </c>
      <c r="AF717" t="s">
        <v>69</v>
      </c>
    </row>
    <row r="718" spans="1:32">
      <c r="A718" t="s">
        <v>2234</v>
      </c>
      <c r="B718" s="2" t="str">
        <f t="shared" si="121"/>
        <v>Unique</v>
      </c>
      <c r="C718" s="2" t="str">
        <f t="shared" si="125"/>
        <v>Aug</v>
      </c>
      <c r="D718" s="2">
        <f t="shared" si="126"/>
        <v>2025</v>
      </c>
      <c r="E718" s="4">
        <v>45895</v>
      </c>
      <c r="F718" s="4">
        <v>45900</v>
      </c>
      <c r="G718" s="6">
        <f t="shared" si="122"/>
        <v>5</v>
      </c>
      <c r="H718" s="6" t="str">
        <f t="shared" si="123"/>
        <v>Valid</v>
      </c>
      <c r="I718" t="s">
        <v>2235</v>
      </c>
      <c r="J718" t="s">
        <v>163</v>
      </c>
      <c r="K718" t="s">
        <v>38</v>
      </c>
      <c r="L718" t="s">
        <v>26</v>
      </c>
      <c r="M718" t="s">
        <v>237</v>
      </c>
      <c r="O718" t="s">
        <v>75</v>
      </c>
      <c r="P718" t="s">
        <v>172</v>
      </c>
      <c r="Q718" t="s">
        <v>2236</v>
      </c>
      <c r="R718" t="s">
        <v>51</v>
      </c>
      <c r="S718">
        <v>1</v>
      </c>
      <c r="T718">
        <v>3388.02</v>
      </c>
      <c r="U718" s="2">
        <f t="shared" si="127"/>
        <v>2879.817</v>
      </c>
      <c r="V718" s="13">
        <v>0.15</v>
      </c>
      <c r="W718" s="2">
        <f t="shared" si="128"/>
        <v>0.15</v>
      </c>
      <c r="X718" s="2" t="str">
        <f t="shared" si="129"/>
        <v>Valid</v>
      </c>
      <c r="Y718" s="2" t="str">
        <f t="shared" si="130"/>
        <v>Clean</v>
      </c>
      <c r="Z718">
        <v>2879.82</v>
      </c>
      <c r="AA718">
        <v>1824.88</v>
      </c>
      <c r="AB718" s="2">
        <f t="shared" si="124"/>
        <v>1054.9369999999999</v>
      </c>
      <c r="AC718">
        <v>1054.94</v>
      </c>
      <c r="AD718" s="11">
        <f t="shared" si="131"/>
        <v>0.36632150620524895</v>
      </c>
      <c r="AE718" t="s">
        <v>33</v>
      </c>
      <c r="AF718" t="s">
        <v>34</v>
      </c>
    </row>
    <row r="719" spans="1:32">
      <c r="A719" t="s">
        <v>2237</v>
      </c>
      <c r="B719" s="2" t="str">
        <f t="shared" si="121"/>
        <v>Unique</v>
      </c>
      <c r="C719" s="2" t="str">
        <f t="shared" si="125"/>
        <v>Oct</v>
      </c>
      <c r="D719" s="2">
        <f t="shared" si="126"/>
        <v>2025</v>
      </c>
      <c r="E719" s="4">
        <v>45942</v>
      </c>
      <c r="F719" s="4">
        <v>45945</v>
      </c>
      <c r="G719" s="6">
        <f t="shared" si="122"/>
        <v>3</v>
      </c>
      <c r="H719" s="6" t="str">
        <f t="shared" si="123"/>
        <v>Valid</v>
      </c>
      <c r="I719" t="s">
        <v>2238</v>
      </c>
      <c r="J719" t="s">
        <v>265</v>
      </c>
      <c r="K719" t="s">
        <v>38</v>
      </c>
      <c r="L719" t="s">
        <v>26</v>
      </c>
      <c r="M719" t="s">
        <v>237</v>
      </c>
      <c r="O719" t="s">
        <v>75</v>
      </c>
      <c r="P719" t="s">
        <v>275</v>
      </c>
      <c r="Q719" t="s">
        <v>2239</v>
      </c>
      <c r="R719" t="s">
        <v>60</v>
      </c>
      <c r="S719">
        <v>9</v>
      </c>
      <c r="T719">
        <v>2598.92</v>
      </c>
      <c r="U719" s="2">
        <f t="shared" si="127"/>
        <v>18712.223999999998</v>
      </c>
      <c r="V719" s="13">
        <v>0.2</v>
      </c>
      <c r="W719" s="2">
        <f t="shared" si="128"/>
        <v>0.2</v>
      </c>
      <c r="X719" s="2" t="str">
        <f t="shared" si="129"/>
        <v>Valid</v>
      </c>
      <c r="Y719" s="2" t="str">
        <f t="shared" si="130"/>
        <v>Clean</v>
      </c>
      <c r="Z719">
        <v>18712.22</v>
      </c>
      <c r="AA719">
        <v>11852.22</v>
      </c>
      <c r="AB719" s="2">
        <f t="shared" si="124"/>
        <v>6860.003999999999</v>
      </c>
      <c r="AC719">
        <v>6860</v>
      </c>
      <c r="AD719" s="11">
        <f t="shared" si="131"/>
        <v>0.36660535201061123</v>
      </c>
      <c r="AE719" t="s">
        <v>112</v>
      </c>
      <c r="AF719" t="s">
        <v>69</v>
      </c>
    </row>
    <row r="720" spans="1:32">
      <c r="A720" t="s">
        <v>2240</v>
      </c>
      <c r="B720" s="2" t="str">
        <f t="shared" si="121"/>
        <v>Unique</v>
      </c>
      <c r="C720" s="2" t="str">
        <f t="shared" si="125"/>
        <v>Sep</v>
      </c>
      <c r="D720" s="2">
        <f t="shared" si="126"/>
        <v>2024</v>
      </c>
      <c r="E720" s="4">
        <v>45541</v>
      </c>
      <c r="F720" s="4">
        <v>45544</v>
      </c>
      <c r="G720" s="6">
        <f t="shared" si="122"/>
        <v>3</v>
      </c>
      <c r="H720" s="6" t="str">
        <f t="shared" si="123"/>
        <v>Valid</v>
      </c>
      <c r="I720" t="s">
        <v>2241</v>
      </c>
      <c r="J720" t="s">
        <v>37</v>
      </c>
      <c r="K720" t="s">
        <v>25</v>
      </c>
      <c r="L720" t="s">
        <v>64</v>
      </c>
      <c r="M720" t="s">
        <v>65</v>
      </c>
      <c r="O720" t="s">
        <v>29</v>
      </c>
      <c r="P720" t="s">
        <v>49</v>
      </c>
      <c r="Q720" t="s">
        <v>2242</v>
      </c>
      <c r="R720" t="s">
        <v>45</v>
      </c>
      <c r="S720">
        <v>3</v>
      </c>
      <c r="T720">
        <v>1972.27</v>
      </c>
      <c r="U720" s="2">
        <f t="shared" si="127"/>
        <v>4733.4479999999994</v>
      </c>
      <c r="V720" s="13">
        <v>0.2</v>
      </c>
      <c r="W720" s="2">
        <f t="shared" si="128"/>
        <v>0.2</v>
      </c>
      <c r="X720" s="2" t="str">
        <f t="shared" si="129"/>
        <v>Valid</v>
      </c>
      <c r="Y720" s="2" t="str">
        <f t="shared" si="130"/>
        <v>Clean</v>
      </c>
      <c r="Z720">
        <v>4733.45</v>
      </c>
      <c r="AA720">
        <v>3672.32</v>
      </c>
      <c r="AB720" s="2">
        <f t="shared" si="124"/>
        <v>1061.1279999999992</v>
      </c>
      <c r="AC720">
        <v>1061.1300000000001</v>
      </c>
      <c r="AD720" s="11">
        <f t="shared" si="131"/>
        <v>0.22417686887999241</v>
      </c>
      <c r="AE720" t="s">
        <v>33</v>
      </c>
      <c r="AF720" t="s">
        <v>34</v>
      </c>
    </row>
    <row r="721" spans="1:32">
      <c r="A721" t="s">
        <v>2243</v>
      </c>
      <c r="B721" s="2" t="str">
        <f t="shared" si="121"/>
        <v>Unique</v>
      </c>
      <c r="C721" s="2" t="str">
        <f t="shared" si="125"/>
        <v>Sep</v>
      </c>
      <c r="D721" s="2">
        <f t="shared" si="126"/>
        <v>2025</v>
      </c>
      <c r="E721" s="4">
        <v>45908</v>
      </c>
      <c r="F721" s="4">
        <v>45909</v>
      </c>
      <c r="G721" s="6">
        <f t="shared" si="122"/>
        <v>1</v>
      </c>
      <c r="H721" s="6" t="str">
        <f t="shared" si="123"/>
        <v>Valid</v>
      </c>
      <c r="I721" t="s">
        <v>145</v>
      </c>
      <c r="J721" t="s">
        <v>265</v>
      </c>
      <c r="K721" t="s">
        <v>91</v>
      </c>
      <c r="L721" t="s">
        <v>64</v>
      </c>
      <c r="M721" t="s">
        <v>181</v>
      </c>
      <c r="O721" t="s">
        <v>29</v>
      </c>
      <c r="P721" t="s">
        <v>49</v>
      </c>
      <c r="Q721" t="s">
        <v>2244</v>
      </c>
      <c r="R721" t="s">
        <v>45</v>
      </c>
      <c r="S721">
        <v>2</v>
      </c>
      <c r="T721">
        <v>2372.41</v>
      </c>
      <c r="U721" s="2">
        <f t="shared" si="127"/>
        <v>3795.8559999999998</v>
      </c>
      <c r="V721" s="13">
        <v>0.2</v>
      </c>
      <c r="W721" s="2">
        <f t="shared" si="128"/>
        <v>0.2</v>
      </c>
      <c r="X721" s="2" t="str">
        <f t="shared" si="129"/>
        <v>Valid</v>
      </c>
      <c r="Y721" s="2" t="str">
        <f t="shared" si="130"/>
        <v>Clean</v>
      </c>
      <c r="Z721">
        <v>3795.86</v>
      </c>
      <c r="AA721">
        <v>2264.92</v>
      </c>
      <c r="AB721" s="2">
        <f t="shared" si="124"/>
        <v>1530.9359999999997</v>
      </c>
      <c r="AC721">
        <v>1530.94</v>
      </c>
      <c r="AD721" s="11">
        <f t="shared" si="131"/>
        <v>0.40331835209939249</v>
      </c>
      <c r="AE721" t="s">
        <v>33</v>
      </c>
      <c r="AF721" t="s">
        <v>34</v>
      </c>
    </row>
    <row r="722" spans="1:32">
      <c r="A722" t="s">
        <v>2245</v>
      </c>
      <c r="B722" s="2" t="str">
        <f t="shared" si="121"/>
        <v>Unique</v>
      </c>
      <c r="C722" s="2" t="str">
        <f t="shared" si="125"/>
        <v>Jul</v>
      </c>
      <c r="D722" s="2">
        <f t="shared" si="126"/>
        <v>2024</v>
      </c>
      <c r="E722" s="4">
        <v>45489</v>
      </c>
      <c r="F722" s="4">
        <v>45489</v>
      </c>
      <c r="G722" s="6">
        <f t="shared" si="122"/>
        <v>0</v>
      </c>
      <c r="H722" s="6" t="str">
        <f t="shared" si="123"/>
        <v>Valid</v>
      </c>
      <c r="I722" t="s">
        <v>2246</v>
      </c>
      <c r="J722" t="s">
        <v>90</v>
      </c>
      <c r="K722" t="s">
        <v>96</v>
      </c>
      <c r="L722" t="s">
        <v>64</v>
      </c>
      <c r="M722" t="s">
        <v>73</v>
      </c>
      <c r="O722" t="s">
        <v>75</v>
      </c>
      <c r="P722" t="s">
        <v>81</v>
      </c>
      <c r="Q722" t="s">
        <v>2247</v>
      </c>
      <c r="R722" t="s">
        <v>45</v>
      </c>
      <c r="S722">
        <v>4</v>
      </c>
      <c r="T722">
        <v>4479.92</v>
      </c>
      <c r="U722" s="2">
        <f t="shared" si="127"/>
        <v>15231.727999999999</v>
      </c>
      <c r="V722" s="13">
        <v>0.15</v>
      </c>
      <c r="W722" s="2">
        <f t="shared" si="128"/>
        <v>0.15</v>
      </c>
      <c r="X722" s="2" t="str">
        <f t="shared" si="129"/>
        <v>Valid</v>
      </c>
      <c r="Y722" s="2" t="str">
        <f t="shared" si="130"/>
        <v>Clean</v>
      </c>
      <c r="Z722">
        <v>15231.73</v>
      </c>
      <c r="AA722">
        <v>12451.46</v>
      </c>
      <c r="AB722" s="2">
        <f t="shared" si="124"/>
        <v>2780.268</v>
      </c>
      <c r="AC722">
        <v>2780.27</v>
      </c>
      <c r="AD722" s="11">
        <f t="shared" si="131"/>
        <v>0.18253146556563174</v>
      </c>
      <c r="AE722" t="s">
        <v>33</v>
      </c>
      <c r="AF722" t="s">
        <v>34</v>
      </c>
    </row>
    <row r="723" spans="1:32">
      <c r="A723" t="s">
        <v>2248</v>
      </c>
      <c r="B723" s="2" t="str">
        <f t="shared" si="121"/>
        <v>Unique</v>
      </c>
      <c r="C723" s="2" t="str">
        <f t="shared" si="125"/>
        <v>Jun</v>
      </c>
      <c r="D723" s="2">
        <f t="shared" si="126"/>
        <v>2025</v>
      </c>
      <c r="E723" s="4">
        <v>45827</v>
      </c>
      <c r="F723" s="4">
        <v>45831</v>
      </c>
      <c r="G723" s="6">
        <f t="shared" si="122"/>
        <v>4</v>
      </c>
      <c r="H723" s="6" t="str">
        <f t="shared" si="123"/>
        <v>Valid</v>
      </c>
      <c r="I723" t="s">
        <v>2249</v>
      </c>
      <c r="J723" t="s">
        <v>133</v>
      </c>
      <c r="K723" t="s">
        <v>25</v>
      </c>
      <c r="L723" t="s">
        <v>55</v>
      </c>
      <c r="M723" t="s">
        <v>176</v>
      </c>
      <c r="O723" t="s">
        <v>75</v>
      </c>
      <c r="P723" t="s">
        <v>81</v>
      </c>
      <c r="Q723" t="s">
        <v>2250</v>
      </c>
      <c r="R723" t="s">
        <v>51</v>
      </c>
      <c r="S723">
        <v>5</v>
      </c>
      <c r="T723">
        <v>2729.95</v>
      </c>
      <c r="U723" s="2">
        <f t="shared" si="127"/>
        <v>13649.75</v>
      </c>
      <c r="V723" s="13">
        <v>0</v>
      </c>
      <c r="W723" s="2">
        <f t="shared" si="128"/>
        <v>0</v>
      </c>
      <c r="X723" s="2" t="str">
        <f t="shared" si="129"/>
        <v>Valid</v>
      </c>
      <c r="Y723" s="2" t="str">
        <f t="shared" si="130"/>
        <v>Clean</v>
      </c>
      <c r="Z723">
        <v>13649.75</v>
      </c>
      <c r="AA723">
        <v>10288.030000000001</v>
      </c>
      <c r="AB723" s="2">
        <f t="shared" si="124"/>
        <v>3361.7199999999993</v>
      </c>
      <c r="AC723">
        <v>3361.72</v>
      </c>
      <c r="AD723" s="11">
        <f t="shared" si="131"/>
        <v>0.24628436418249416</v>
      </c>
      <c r="AE723" t="s">
        <v>33</v>
      </c>
      <c r="AF723" t="s">
        <v>34</v>
      </c>
    </row>
    <row r="724" spans="1:32">
      <c r="A724" t="s">
        <v>2251</v>
      </c>
      <c r="B724" s="2" t="str">
        <f t="shared" si="121"/>
        <v>Unique</v>
      </c>
      <c r="C724" s="2" t="str">
        <f t="shared" si="125"/>
        <v>Oct</v>
      </c>
      <c r="D724" s="2">
        <f t="shared" si="126"/>
        <v>2024</v>
      </c>
      <c r="E724" s="4">
        <v>45572</v>
      </c>
      <c r="F724" s="4">
        <v>45575</v>
      </c>
      <c r="G724" s="6">
        <f t="shared" si="122"/>
        <v>3</v>
      </c>
      <c r="H724" s="6" t="str">
        <f t="shared" si="123"/>
        <v>Valid</v>
      </c>
      <c r="I724" t="s">
        <v>2252</v>
      </c>
      <c r="J724" t="s">
        <v>72</v>
      </c>
      <c r="K724" t="s">
        <v>25</v>
      </c>
      <c r="L724" t="s">
        <v>39</v>
      </c>
      <c r="M724" t="s">
        <v>100</v>
      </c>
      <c r="O724" t="s">
        <v>42</v>
      </c>
      <c r="P724" t="s">
        <v>67</v>
      </c>
      <c r="Q724" t="s">
        <v>2253</v>
      </c>
      <c r="R724" t="s">
        <v>32</v>
      </c>
      <c r="S724">
        <v>9</v>
      </c>
      <c r="T724">
        <v>481.51</v>
      </c>
      <c r="U724" s="2">
        <f t="shared" si="127"/>
        <v>4333.59</v>
      </c>
      <c r="V724" s="13">
        <v>0</v>
      </c>
      <c r="W724" s="2">
        <f t="shared" si="128"/>
        <v>0</v>
      </c>
      <c r="X724" s="2" t="str">
        <f t="shared" si="129"/>
        <v>Valid</v>
      </c>
      <c r="Y724" s="2" t="str">
        <f t="shared" si="130"/>
        <v>Clean</v>
      </c>
      <c r="Z724">
        <v>4333.59</v>
      </c>
      <c r="AA724">
        <v>2533.59</v>
      </c>
      <c r="AB724" s="2">
        <f t="shared" si="124"/>
        <v>1800</v>
      </c>
      <c r="AC724">
        <v>1800</v>
      </c>
      <c r="AD724" s="11">
        <f t="shared" si="131"/>
        <v>0.41536001329152039</v>
      </c>
      <c r="AE724" t="s">
        <v>103</v>
      </c>
      <c r="AF724" t="s">
        <v>69</v>
      </c>
    </row>
    <row r="725" spans="1:32">
      <c r="A725" t="s">
        <v>2254</v>
      </c>
      <c r="B725" s="2" t="str">
        <f t="shared" si="121"/>
        <v>Unique</v>
      </c>
      <c r="C725" s="2" t="str">
        <f t="shared" si="125"/>
        <v>Oct</v>
      </c>
      <c r="D725" s="2">
        <f t="shared" si="126"/>
        <v>2025</v>
      </c>
      <c r="E725" s="4">
        <v>45936</v>
      </c>
      <c r="F725" s="4">
        <v>45943</v>
      </c>
      <c r="G725" s="6">
        <f t="shared" si="122"/>
        <v>7</v>
      </c>
      <c r="H725" s="6" t="str">
        <f t="shared" si="123"/>
        <v>Valid</v>
      </c>
      <c r="I725" t="s">
        <v>2255</v>
      </c>
      <c r="J725" t="s">
        <v>265</v>
      </c>
      <c r="K725" t="s">
        <v>96</v>
      </c>
      <c r="L725" t="s">
        <v>39</v>
      </c>
      <c r="M725" t="s">
        <v>229</v>
      </c>
      <c r="O725" t="s">
        <v>75</v>
      </c>
      <c r="P725" t="s">
        <v>76</v>
      </c>
      <c r="Q725" t="s">
        <v>2256</v>
      </c>
      <c r="R725" t="s">
        <v>60</v>
      </c>
      <c r="S725">
        <v>6</v>
      </c>
      <c r="T725">
        <v>2391.9299999999998</v>
      </c>
      <c r="U725" s="2">
        <f t="shared" si="127"/>
        <v>13634.000999999998</v>
      </c>
      <c r="V725" s="13">
        <v>0.05</v>
      </c>
      <c r="W725" s="2">
        <f t="shared" si="128"/>
        <v>0.05</v>
      </c>
      <c r="X725" s="2" t="str">
        <f t="shared" si="129"/>
        <v>Valid</v>
      </c>
      <c r="Y725" s="2" t="str">
        <f t="shared" si="130"/>
        <v>Clean</v>
      </c>
      <c r="Z725">
        <v>13634</v>
      </c>
      <c r="AA725">
        <v>9589.81</v>
      </c>
      <c r="AB725" s="2">
        <f t="shared" si="124"/>
        <v>4044.1909999999989</v>
      </c>
      <c r="AC725">
        <v>4044.19</v>
      </c>
      <c r="AD725" s="11">
        <f t="shared" si="131"/>
        <v>0.29662534839372157</v>
      </c>
      <c r="AE725" t="s">
        <v>156</v>
      </c>
      <c r="AF725" t="s">
        <v>104</v>
      </c>
    </row>
    <row r="726" spans="1:32">
      <c r="A726" t="s">
        <v>2257</v>
      </c>
      <c r="B726" s="2" t="str">
        <f t="shared" si="121"/>
        <v>Unique</v>
      </c>
      <c r="C726" s="2" t="str">
        <f t="shared" si="125"/>
        <v>Feb</v>
      </c>
      <c r="D726" s="2">
        <f t="shared" si="126"/>
        <v>2024</v>
      </c>
      <c r="E726" s="4">
        <v>45332</v>
      </c>
      <c r="F726" s="4">
        <v>45338</v>
      </c>
      <c r="G726" s="6">
        <f t="shared" si="122"/>
        <v>6</v>
      </c>
      <c r="H726" s="6" t="str">
        <f t="shared" si="123"/>
        <v>Valid</v>
      </c>
      <c r="I726" t="s">
        <v>2258</v>
      </c>
      <c r="J726" t="s">
        <v>24</v>
      </c>
      <c r="K726" t="s">
        <v>25</v>
      </c>
      <c r="L726" t="s">
        <v>64</v>
      </c>
      <c r="M726" t="s">
        <v>191</v>
      </c>
      <c r="O726" t="s">
        <v>42</v>
      </c>
      <c r="P726" t="s">
        <v>58</v>
      </c>
      <c r="Q726" t="s">
        <v>2259</v>
      </c>
      <c r="R726" t="s">
        <v>32</v>
      </c>
      <c r="S726">
        <v>3</v>
      </c>
      <c r="T726">
        <v>253.43</v>
      </c>
      <c r="U726" s="2">
        <f t="shared" si="127"/>
        <v>760.29</v>
      </c>
      <c r="V726" s="13">
        <v>0</v>
      </c>
      <c r="W726" s="2">
        <f t="shared" si="128"/>
        <v>0</v>
      </c>
      <c r="X726" s="2" t="str">
        <f t="shared" si="129"/>
        <v>Valid</v>
      </c>
      <c r="Y726" s="2" t="str">
        <f t="shared" si="130"/>
        <v>Clean</v>
      </c>
      <c r="Z726">
        <v>760.29</v>
      </c>
      <c r="AA726">
        <v>497.77</v>
      </c>
      <c r="AB726" s="2">
        <f t="shared" si="124"/>
        <v>262.52</v>
      </c>
      <c r="AC726">
        <v>262.52</v>
      </c>
      <c r="AD726" s="11">
        <f t="shared" si="131"/>
        <v>0.34528929750489945</v>
      </c>
      <c r="AE726" t="s">
        <v>33</v>
      </c>
      <c r="AF726" t="s">
        <v>34</v>
      </c>
    </row>
    <row r="727" spans="1:32">
      <c r="A727" t="s">
        <v>2260</v>
      </c>
      <c r="B727" s="2" t="str">
        <f t="shared" si="121"/>
        <v>Unique</v>
      </c>
      <c r="C727" s="2" t="str">
        <f t="shared" si="125"/>
        <v>Oct</v>
      </c>
      <c r="D727" s="2">
        <f t="shared" si="126"/>
        <v>2025</v>
      </c>
      <c r="E727" s="4">
        <v>45935</v>
      </c>
      <c r="F727" s="4">
        <v>45942</v>
      </c>
      <c r="G727" s="6">
        <f t="shared" si="122"/>
        <v>7</v>
      </c>
      <c r="H727" s="6" t="str">
        <f t="shared" si="123"/>
        <v>Valid</v>
      </c>
      <c r="I727" t="s">
        <v>2261</v>
      </c>
      <c r="J727" t="s">
        <v>115</v>
      </c>
      <c r="K727" t="s">
        <v>91</v>
      </c>
      <c r="L727" t="s">
        <v>55</v>
      </c>
      <c r="M727" t="s">
        <v>176</v>
      </c>
      <c r="O727" t="s">
        <v>42</v>
      </c>
      <c r="P727" t="s">
        <v>43</v>
      </c>
      <c r="Q727" t="s">
        <v>2262</v>
      </c>
      <c r="R727" t="s">
        <v>32</v>
      </c>
      <c r="S727">
        <v>7</v>
      </c>
      <c r="T727">
        <v>2134.73</v>
      </c>
      <c r="U727" s="2">
        <f t="shared" si="127"/>
        <v>14943.11</v>
      </c>
      <c r="V727" s="13">
        <v>0</v>
      </c>
      <c r="W727" s="2">
        <f t="shared" si="128"/>
        <v>0</v>
      </c>
      <c r="X727" s="2" t="str">
        <f t="shared" si="129"/>
        <v>Valid</v>
      </c>
      <c r="Y727" s="2" t="str">
        <f t="shared" si="130"/>
        <v>Clean</v>
      </c>
      <c r="Z727">
        <v>14943.11</v>
      </c>
      <c r="AA727">
        <v>8521.5</v>
      </c>
      <c r="AB727" s="2">
        <f t="shared" si="124"/>
        <v>6421.6100000000006</v>
      </c>
      <c r="AC727">
        <v>6421.61</v>
      </c>
      <c r="AD727" s="11">
        <f t="shared" si="131"/>
        <v>0.42973718322357257</v>
      </c>
      <c r="AE727" t="s">
        <v>33</v>
      </c>
      <c r="AF727" t="s">
        <v>34</v>
      </c>
    </row>
    <row r="728" spans="1:32">
      <c r="A728" t="s">
        <v>2263</v>
      </c>
      <c r="B728" s="2" t="str">
        <f t="shared" si="121"/>
        <v>Unique</v>
      </c>
      <c r="C728" s="2" t="str">
        <f t="shared" si="125"/>
        <v>Jan</v>
      </c>
      <c r="D728" s="2">
        <f t="shared" si="126"/>
        <v>2024</v>
      </c>
      <c r="E728" s="4">
        <v>45308</v>
      </c>
      <c r="F728" s="4">
        <v>45314</v>
      </c>
      <c r="G728" s="6">
        <f t="shared" si="122"/>
        <v>6</v>
      </c>
      <c r="H728" s="6" t="str">
        <f t="shared" si="123"/>
        <v>Valid</v>
      </c>
      <c r="I728" t="s">
        <v>2264</v>
      </c>
      <c r="J728" t="s">
        <v>265</v>
      </c>
      <c r="K728" t="s">
        <v>96</v>
      </c>
      <c r="L728" t="s">
        <v>64</v>
      </c>
      <c r="M728" t="s">
        <v>181</v>
      </c>
      <c r="O728" t="s">
        <v>75</v>
      </c>
      <c r="P728" t="s">
        <v>172</v>
      </c>
      <c r="Q728" t="s">
        <v>2265</v>
      </c>
      <c r="R728" t="s">
        <v>60</v>
      </c>
      <c r="S728">
        <v>5</v>
      </c>
      <c r="T728">
        <v>2018</v>
      </c>
      <c r="U728" s="2">
        <f t="shared" si="127"/>
        <v>8072</v>
      </c>
      <c r="V728" s="13">
        <v>0.2</v>
      </c>
      <c r="W728" s="2">
        <f t="shared" si="128"/>
        <v>0.2</v>
      </c>
      <c r="X728" s="2" t="str">
        <f t="shared" si="129"/>
        <v>Valid</v>
      </c>
      <c r="Y728" s="2" t="str">
        <f t="shared" si="130"/>
        <v>Clean</v>
      </c>
      <c r="Z728">
        <v>8072</v>
      </c>
      <c r="AA728">
        <v>5379.22</v>
      </c>
      <c r="AB728" s="2">
        <f t="shared" si="124"/>
        <v>2692.7799999999997</v>
      </c>
      <c r="AC728">
        <v>2692.78</v>
      </c>
      <c r="AD728" s="11">
        <f t="shared" si="131"/>
        <v>0.33359514370664028</v>
      </c>
      <c r="AE728" t="s">
        <v>112</v>
      </c>
      <c r="AF728" t="s">
        <v>104</v>
      </c>
    </row>
    <row r="729" spans="1:32">
      <c r="A729" t="s">
        <v>2266</v>
      </c>
      <c r="B729" s="2" t="str">
        <f t="shared" si="121"/>
        <v>Unique</v>
      </c>
      <c r="C729" s="2" t="str">
        <f t="shared" si="125"/>
        <v>Oct</v>
      </c>
      <c r="D729" s="2">
        <f t="shared" si="126"/>
        <v>2024</v>
      </c>
      <c r="E729" s="4">
        <v>45578</v>
      </c>
      <c r="F729" s="4">
        <v>45578</v>
      </c>
      <c r="G729" s="6">
        <f t="shared" si="122"/>
        <v>0</v>
      </c>
      <c r="H729" s="6" t="str">
        <f t="shared" si="123"/>
        <v>Valid</v>
      </c>
      <c r="I729" t="s">
        <v>2267</v>
      </c>
      <c r="J729" t="s">
        <v>129</v>
      </c>
      <c r="K729" t="s">
        <v>38</v>
      </c>
      <c r="L729" t="s">
        <v>39</v>
      </c>
      <c r="M729" t="s">
        <v>167</v>
      </c>
      <c r="O729" t="s">
        <v>75</v>
      </c>
      <c r="P729" t="s">
        <v>76</v>
      </c>
      <c r="Q729" t="s">
        <v>2268</v>
      </c>
      <c r="R729" t="s">
        <v>32</v>
      </c>
      <c r="S729">
        <v>8</v>
      </c>
      <c r="T729">
        <v>3730.66</v>
      </c>
      <c r="U729" s="2">
        <f t="shared" si="127"/>
        <v>28353.015999999996</v>
      </c>
      <c r="V729" s="13">
        <v>0.05</v>
      </c>
      <c r="W729" s="2">
        <f t="shared" si="128"/>
        <v>0.05</v>
      </c>
      <c r="X729" s="2" t="str">
        <f t="shared" si="129"/>
        <v>Valid</v>
      </c>
      <c r="Y729" s="2" t="str">
        <f t="shared" si="130"/>
        <v>Clean</v>
      </c>
      <c r="Z729">
        <v>28353.02</v>
      </c>
      <c r="AA729">
        <v>19257.849999999999</v>
      </c>
      <c r="AB729" s="2">
        <f t="shared" si="124"/>
        <v>9095.1659999999974</v>
      </c>
      <c r="AC729">
        <v>9095.17</v>
      </c>
      <c r="AD729" s="11">
        <f t="shared" si="131"/>
        <v>0.32078311234570428</v>
      </c>
      <c r="AE729" t="s">
        <v>33</v>
      </c>
      <c r="AF729" t="s">
        <v>34</v>
      </c>
    </row>
    <row r="730" spans="1:32">
      <c r="A730" t="s">
        <v>2269</v>
      </c>
      <c r="B730" s="2" t="str">
        <f t="shared" si="121"/>
        <v>Unique</v>
      </c>
      <c r="C730" s="2" t="str">
        <f t="shared" si="125"/>
        <v>Jan</v>
      </c>
      <c r="D730" s="2">
        <f t="shared" si="126"/>
        <v>2024</v>
      </c>
      <c r="E730" s="4">
        <v>45295</v>
      </c>
      <c r="F730" s="4">
        <v>45298</v>
      </c>
      <c r="G730" s="6">
        <f t="shared" si="122"/>
        <v>3</v>
      </c>
      <c r="H730" s="6" t="str">
        <f t="shared" si="123"/>
        <v>Valid</v>
      </c>
      <c r="I730" t="s">
        <v>2270</v>
      </c>
      <c r="J730" t="s">
        <v>133</v>
      </c>
      <c r="K730" t="s">
        <v>38</v>
      </c>
      <c r="L730" t="s">
        <v>55</v>
      </c>
      <c r="M730" t="s">
        <v>176</v>
      </c>
      <c r="O730" t="s">
        <v>75</v>
      </c>
      <c r="P730" t="s">
        <v>275</v>
      </c>
      <c r="Q730" t="s">
        <v>2271</v>
      </c>
      <c r="R730" t="s">
        <v>51</v>
      </c>
      <c r="S730">
        <v>1</v>
      </c>
      <c r="T730">
        <v>2363.02</v>
      </c>
      <c r="U730" s="2">
        <f t="shared" si="127"/>
        <v>2008.567</v>
      </c>
      <c r="V730" s="13">
        <v>0.15</v>
      </c>
      <c r="W730" s="2">
        <f t="shared" si="128"/>
        <v>0.15</v>
      </c>
      <c r="X730" s="2" t="str">
        <f t="shared" si="129"/>
        <v>Valid</v>
      </c>
      <c r="Y730" s="2" t="str">
        <f t="shared" si="130"/>
        <v>Clean</v>
      </c>
      <c r="Z730">
        <v>2008.57</v>
      </c>
      <c r="AA730">
        <v>1194.83</v>
      </c>
      <c r="AB730" s="2">
        <f t="shared" si="124"/>
        <v>813.73700000000008</v>
      </c>
      <c r="AC730">
        <v>813.74</v>
      </c>
      <c r="AD730" s="11">
        <f t="shared" si="131"/>
        <v>0.40513400080654399</v>
      </c>
      <c r="AE730" t="s">
        <v>33</v>
      </c>
      <c r="AF730" t="s">
        <v>34</v>
      </c>
    </row>
    <row r="731" spans="1:32">
      <c r="A731" t="s">
        <v>2272</v>
      </c>
      <c r="B731" s="2" t="str">
        <f t="shared" si="121"/>
        <v>Unique</v>
      </c>
      <c r="C731" s="2" t="str">
        <f t="shared" si="125"/>
        <v>May</v>
      </c>
      <c r="D731" s="2">
        <f t="shared" si="126"/>
        <v>2025</v>
      </c>
      <c r="E731" s="4">
        <v>45794</v>
      </c>
      <c r="F731" s="4">
        <v>45802</v>
      </c>
      <c r="G731" s="6">
        <f t="shared" si="122"/>
        <v>8</v>
      </c>
      <c r="H731" s="6" t="str">
        <f t="shared" si="123"/>
        <v>Valid</v>
      </c>
      <c r="I731" t="s">
        <v>2273</v>
      </c>
      <c r="J731" t="s">
        <v>63</v>
      </c>
      <c r="K731" t="s">
        <v>91</v>
      </c>
      <c r="L731" t="s">
        <v>55</v>
      </c>
      <c r="M731" t="s">
        <v>248</v>
      </c>
      <c r="O731" t="s">
        <v>75</v>
      </c>
      <c r="P731" t="s">
        <v>275</v>
      </c>
      <c r="Q731" t="s">
        <v>2274</v>
      </c>
      <c r="R731" t="s">
        <v>45</v>
      </c>
      <c r="S731">
        <v>6</v>
      </c>
      <c r="T731">
        <v>1810.63</v>
      </c>
      <c r="U731" s="2">
        <f t="shared" si="127"/>
        <v>9234.2129999999997</v>
      </c>
      <c r="V731" s="13">
        <v>0.15</v>
      </c>
      <c r="W731" s="2">
        <f t="shared" si="128"/>
        <v>0.15</v>
      </c>
      <c r="X731" s="2" t="str">
        <f t="shared" si="129"/>
        <v>Valid</v>
      </c>
      <c r="Y731" s="2" t="str">
        <f t="shared" si="130"/>
        <v>Clean</v>
      </c>
      <c r="Z731">
        <v>9234.2099999999991</v>
      </c>
      <c r="AA731">
        <v>5516.52</v>
      </c>
      <c r="AB731" s="2">
        <f t="shared" si="124"/>
        <v>3717.6929999999993</v>
      </c>
      <c r="AC731">
        <v>3717.69</v>
      </c>
      <c r="AD731" s="11">
        <f t="shared" si="131"/>
        <v>0.4025996809689189</v>
      </c>
      <c r="AE731" t="s">
        <v>33</v>
      </c>
      <c r="AF731" t="s">
        <v>34</v>
      </c>
    </row>
    <row r="732" spans="1:32">
      <c r="A732" t="s">
        <v>2275</v>
      </c>
      <c r="B732" s="2" t="str">
        <f t="shared" si="121"/>
        <v>Unique</v>
      </c>
      <c r="C732" s="2" t="str">
        <f t="shared" si="125"/>
        <v>Jun</v>
      </c>
      <c r="D732" s="2">
        <f t="shared" si="126"/>
        <v>2025</v>
      </c>
      <c r="E732" s="4">
        <v>45827</v>
      </c>
      <c r="F732" s="4">
        <v>45832</v>
      </c>
      <c r="G732" s="6">
        <f t="shared" si="122"/>
        <v>5</v>
      </c>
      <c r="H732" s="6" t="str">
        <f t="shared" si="123"/>
        <v>Valid</v>
      </c>
      <c r="I732" t="s">
        <v>2276</v>
      </c>
      <c r="J732" t="s">
        <v>54</v>
      </c>
      <c r="K732" t="s">
        <v>25</v>
      </c>
      <c r="L732" t="s">
        <v>39</v>
      </c>
      <c r="M732" t="s">
        <v>100</v>
      </c>
      <c r="O732" t="s">
        <v>29</v>
      </c>
      <c r="P732" t="s">
        <v>49</v>
      </c>
      <c r="Q732" t="s">
        <v>2277</v>
      </c>
      <c r="R732" t="s">
        <v>32</v>
      </c>
      <c r="S732">
        <v>4</v>
      </c>
      <c r="T732">
        <v>782.01</v>
      </c>
      <c r="U732" s="2">
        <f t="shared" si="127"/>
        <v>2658.8339999999998</v>
      </c>
      <c r="V732" s="13">
        <v>0.15</v>
      </c>
      <c r="W732" s="2">
        <f t="shared" si="128"/>
        <v>0.15</v>
      </c>
      <c r="X732" s="2" t="str">
        <f t="shared" si="129"/>
        <v>Valid</v>
      </c>
      <c r="Y732" s="2" t="str">
        <f t="shared" si="130"/>
        <v>Clean</v>
      </c>
      <c r="Z732">
        <v>2658.83</v>
      </c>
      <c r="AA732">
        <v>2226.9699999999998</v>
      </c>
      <c r="AB732" s="2">
        <f t="shared" si="124"/>
        <v>431.86400000000003</v>
      </c>
      <c r="AC732">
        <v>431.86</v>
      </c>
      <c r="AD732" s="11">
        <f t="shared" si="131"/>
        <v>0.16242482595728197</v>
      </c>
      <c r="AE732" t="s">
        <v>103</v>
      </c>
      <c r="AF732" t="s">
        <v>104</v>
      </c>
    </row>
    <row r="733" spans="1:32">
      <c r="A733" t="s">
        <v>2278</v>
      </c>
      <c r="B733" s="2" t="str">
        <f t="shared" si="121"/>
        <v>Unique</v>
      </c>
      <c r="C733" s="2" t="str">
        <f t="shared" si="125"/>
        <v>Mar</v>
      </c>
      <c r="D733" s="2">
        <f t="shared" si="126"/>
        <v>2024</v>
      </c>
      <c r="E733" s="4">
        <v>45368</v>
      </c>
      <c r="F733" s="4">
        <v>45370</v>
      </c>
      <c r="G733" s="6">
        <f t="shared" si="122"/>
        <v>2</v>
      </c>
      <c r="H733" s="6" t="str">
        <f t="shared" si="123"/>
        <v>Valid</v>
      </c>
      <c r="I733" t="s">
        <v>2279</v>
      </c>
      <c r="J733" t="s">
        <v>63</v>
      </c>
      <c r="K733" t="s">
        <v>91</v>
      </c>
      <c r="L733" t="s">
        <v>39</v>
      </c>
      <c r="M733" t="s">
        <v>40</v>
      </c>
      <c r="O733" t="s">
        <v>29</v>
      </c>
      <c r="P733" t="s">
        <v>154</v>
      </c>
      <c r="Q733" t="s">
        <v>2280</v>
      </c>
      <c r="R733" t="s">
        <v>51</v>
      </c>
      <c r="S733">
        <v>4</v>
      </c>
      <c r="T733">
        <v>4376.68</v>
      </c>
      <c r="U733" s="2">
        <f t="shared" si="127"/>
        <v>15756.048000000001</v>
      </c>
      <c r="V733" s="13">
        <v>0.1</v>
      </c>
      <c r="W733" s="2">
        <f t="shared" si="128"/>
        <v>0.1</v>
      </c>
      <c r="X733" s="2" t="str">
        <f t="shared" si="129"/>
        <v>Valid</v>
      </c>
      <c r="Y733" s="2" t="str">
        <f t="shared" si="130"/>
        <v>Clean</v>
      </c>
      <c r="Z733">
        <v>15756.05</v>
      </c>
      <c r="AA733">
        <v>10245.44</v>
      </c>
      <c r="AB733" s="2">
        <f t="shared" si="124"/>
        <v>5510.6080000000002</v>
      </c>
      <c r="AC733">
        <v>5510.61</v>
      </c>
      <c r="AD733" s="11">
        <f t="shared" si="131"/>
        <v>0.34974565325700285</v>
      </c>
      <c r="AE733" t="s">
        <v>33</v>
      </c>
      <c r="AF733" t="s">
        <v>34</v>
      </c>
    </row>
    <row r="734" spans="1:32">
      <c r="A734" t="s">
        <v>2281</v>
      </c>
      <c r="B734" s="2" t="str">
        <f t="shared" si="121"/>
        <v>Unique</v>
      </c>
      <c r="C734" s="2" t="str">
        <f t="shared" si="125"/>
        <v>Nov</v>
      </c>
      <c r="D734" s="2">
        <f t="shared" si="126"/>
        <v>2024</v>
      </c>
      <c r="E734" s="4">
        <v>45624</v>
      </c>
      <c r="F734" s="4">
        <v>45632</v>
      </c>
      <c r="G734" s="6">
        <f t="shared" si="122"/>
        <v>8</v>
      </c>
      <c r="H734" s="6" t="str">
        <f t="shared" si="123"/>
        <v>Valid</v>
      </c>
      <c r="I734" t="s">
        <v>2282</v>
      </c>
      <c r="J734" t="s">
        <v>54</v>
      </c>
      <c r="K734" t="s">
        <v>38</v>
      </c>
      <c r="L734" t="s">
        <v>26</v>
      </c>
      <c r="M734" t="s">
        <v>123</v>
      </c>
      <c r="O734" t="s">
        <v>75</v>
      </c>
      <c r="P734" t="s">
        <v>172</v>
      </c>
      <c r="Q734" t="s">
        <v>2283</v>
      </c>
      <c r="R734" t="s">
        <v>60</v>
      </c>
      <c r="S734">
        <v>6</v>
      </c>
      <c r="T734">
        <v>2464.63</v>
      </c>
      <c r="U734" s="2">
        <f t="shared" si="127"/>
        <v>14787.78</v>
      </c>
      <c r="V734" s="13">
        <v>0</v>
      </c>
      <c r="W734" s="2">
        <f t="shared" si="128"/>
        <v>0</v>
      </c>
      <c r="X734" s="2" t="str">
        <f t="shared" si="129"/>
        <v>Valid</v>
      </c>
      <c r="Y734" s="2" t="str">
        <f t="shared" si="130"/>
        <v>Clean</v>
      </c>
      <c r="Z734">
        <v>14787.78</v>
      </c>
      <c r="AA734">
        <v>8596.65</v>
      </c>
      <c r="AB734" s="2">
        <f t="shared" si="124"/>
        <v>6191.130000000001</v>
      </c>
      <c r="AC734">
        <v>6191.13</v>
      </c>
      <c r="AD734" s="11">
        <f t="shared" si="131"/>
        <v>0.41866527632950989</v>
      </c>
      <c r="AE734" t="s">
        <v>33</v>
      </c>
      <c r="AF734" t="s">
        <v>34</v>
      </c>
    </row>
    <row r="735" spans="1:32">
      <c r="A735" t="s">
        <v>2284</v>
      </c>
      <c r="B735" s="2" t="str">
        <f t="shared" si="121"/>
        <v>Unique</v>
      </c>
      <c r="C735" s="2" t="str">
        <f t="shared" si="125"/>
        <v>Jun</v>
      </c>
      <c r="D735" s="2">
        <f t="shared" si="126"/>
        <v>2024</v>
      </c>
      <c r="E735" s="4">
        <v>45464</v>
      </c>
      <c r="F735" s="4">
        <v>45471</v>
      </c>
      <c r="G735" s="6">
        <f t="shared" si="122"/>
        <v>7</v>
      </c>
      <c r="H735" s="6" t="str">
        <f t="shared" si="123"/>
        <v>Valid</v>
      </c>
      <c r="I735" t="s">
        <v>2285</v>
      </c>
      <c r="J735" t="s">
        <v>129</v>
      </c>
      <c r="K735" t="s">
        <v>96</v>
      </c>
      <c r="L735" t="s">
        <v>26</v>
      </c>
      <c r="M735" t="s">
        <v>27</v>
      </c>
      <c r="O735" t="s">
        <v>42</v>
      </c>
      <c r="P735" t="s">
        <v>58</v>
      </c>
      <c r="Q735" t="s">
        <v>2286</v>
      </c>
      <c r="R735" t="s">
        <v>51</v>
      </c>
      <c r="S735">
        <v>9</v>
      </c>
      <c r="T735">
        <v>2797.96</v>
      </c>
      <c r="U735" s="2">
        <f t="shared" si="127"/>
        <v>25181.64</v>
      </c>
      <c r="V735" s="13">
        <v>0</v>
      </c>
      <c r="W735" s="2">
        <f t="shared" si="128"/>
        <v>0</v>
      </c>
      <c r="X735" s="2" t="str">
        <f t="shared" si="129"/>
        <v>Valid</v>
      </c>
      <c r="Y735" s="2" t="str">
        <f t="shared" si="130"/>
        <v>Clean</v>
      </c>
      <c r="Z735">
        <v>25181.64</v>
      </c>
      <c r="AA735">
        <v>15337.9</v>
      </c>
      <c r="AB735" s="2">
        <f t="shared" si="124"/>
        <v>9843.74</v>
      </c>
      <c r="AC735">
        <v>9843.74</v>
      </c>
      <c r="AD735" s="11">
        <f t="shared" si="131"/>
        <v>0.39090940860086953</v>
      </c>
      <c r="AE735" t="s">
        <v>33</v>
      </c>
      <c r="AF735" t="s">
        <v>34</v>
      </c>
    </row>
    <row r="736" spans="1:32">
      <c r="A736" t="s">
        <v>2287</v>
      </c>
      <c r="B736" s="2" t="str">
        <f t="shared" si="121"/>
        <v>Unique</v>
      </c>
      <c r="C736" s="2" t="str">
        <f t="shared" si="125"/>
        <v>Aug</v>
      </c>
      <c r="D736" s="2">
        <f t="shared" si="126"/>
        <v>2024</v>
      </c>
      <c r="E736" s="4">
        <v>45528</v>
      </c>
      <c r="F736" s="4">
        <v>45528</v>
      </c>
      <c r="G736" s="6">
        <f t="shared" si="122"/>
        <v>0</v>
      </c>
      <c r="H736" s="6" t="str">
        <f t="shared" si="123"/>
        <v>Valid</v>
      </c>
      <c r="I736" t="s">
        <v>2288</v>
      </c>
      <c r="J736" t="s">
        <v>63</v>
      </c>
      <c r="K736" t="s">
        <v>38</v>
      </c>
      <c r="L736" t="s">
        <v>26</v>
      </c>
      <c r="M736" t="s">
        <v>27</v>
      </c>
      <c r="O736" t="s">
        <v>75</v>
      </c>
      <c r="P736" t="s">
        <v>76</v>
      </c>
      <c r="Q736" t="s">
        <v>2289</v>
      </c>
      <c r="R736" t="s">
        <v>51</v>
      </c>
      <c r="S736">
        <v>4</v>
      </c>
      <c r="T736">
        <v>2761.86</v>
      </c>
      <c r="U736" s="2">
        <f t="shared" si="127"/>
        <v>8837.9520000000011</v>
      </c>
      <c r="V736" s="13">
        <v>0.2</v>
      </c>
      <c r="W736" s="2">
        <f t="shared" si="128"/>
        <v>0.2</v>
      </c>
      <c r="X736" s="2" t="str">
        <f t="shared" si="129"/>
        <v>Valid</v>
      </c>
      <c r="Y736" s="2" t="str">
        <f t="shared" si="130"/>
        <v>Clean</v>
      </c>
      <c r="Z736">
        <v>8837.9500000000007</v>
      </c>
      <c r="AA736">
        <v>6157.27</v>
      </c>
      <c r="AB736" s="2">
        <f t="shared" si="124"/>
        <v>2680.6820000000007</v>
      </c>
      <c r="AC736">
        <v>2680.68</v>
      </c>
      <c r="AD736" s="11">
        <f t="shared" si="131"/>
        <v>0.30331468270356809</v>
      </c>
      <c r="AE736" t="s">
        <v>33</v>
      </c>
      <c r="AF736" t="s">
        <v>34</v>
      </c>
    </row>
    <row r="737" spans="1:32">
      <c r="A737" t="s">
        <v>2290</v>
      </c>
      <c r="B737" s="2" t="str">
        <f t="shared" si="121"/>
        <v>Unique</v>
      </c>
      <c r="C737" s="2" t="str">
        <f t="shared" si="125"/>
        <v>Aug</v>
      </c>
      <c r="D737" s="2">
        <f t="shared" si="126"/>
        <v>2024</v>
      </c>
      <c r="E737" s="4">
        <v>45515</v>
      </c>
      <c r="F737" s="4">
        <v>45523</v>
      </c>
      <c r="G737" s="6">
        <f t="shared" si="122"/>
        <v>8</v>
      </c>
      <c r="H737" s="6" t="str">
        <f t="shared" si="123"/>
        <v>Valid</v>
      </c>
      <c r="I737" t="s">
        <v>2291</v>
      </c>
      <c r="J737" t="s">
        <v>37</v>
      </c>
      <c r="K737" t="s">
        <v>25</v>
      </c>
      <c r="L737" t="s">
        <v>64</v>
      </c>
      <c r="M737" t="s">
        <v>65</v>
      </c>
      <c r="O737" t="s">
        <v>42</v>
      </c>
      <c r="P737" t="s">
        <v>43</v>
      </c>
      <c r="Q737" t="s">
        <v>2292</v>
      </c>
      <c r="R737" t="s">
        <v>60</v>
      </c>
      <c r="S737">
        <v>6</v>
      </c>
      <c r="T737">
        <v>1515.79</v>
      </c>
      <c r="U737" s="2">
        <f t="shared" si="127"/>
        <v>7275.7920000000004</v>
      </c>
      <c r="V737" s="13">
        <v>0.2</v>
      </c>
      <c r="W737" s="2">
        <f t="shared" si="128"/>
        <v>0.2</v>
      </c>
      <c r="X737" s="2" t="str">
        <f t="shared" si="129"/>
        <v>Valid</v>
      </c>
      <c r="Y737" s="2" t="str">
        <f t="shared" si="130"/>
        <v>Clean</v>
      </c>
      <c r="Z737">
        <v>7275.79</v>
      </c>
      <c r="AA737">
        <v>6152.87</v>
      </c>
      <c r="AB737" s="2">
        <f t="shared" si="124"/>
        <v>1122.9220000000005</v>
      </c>
      <c r="AC737">
        <v>1122.92</v>
      </c>
      <c r="AD737" s="11">
        <f t="shared" si="131"/>
        <v>0.15433650503931534</v>
      </c>
      <c r="AE737" t="s">
        <v>33</v>
      </c>
      <c r="AF737" t="s">
        <v>34</v>
      </c>
    </row>
    <row r="738" spans="1:32">
      <c r="A738" t="s">
        <v>2293</v>
      </c>
      <c r="B738" s="2" t="str">
        <f t="shared" si="121"/>
        <v>Unique</v>
      </c>
      <c r="C738" s="2" t="str">
        <f t="shared" si="125"/>
        <v>Dec</v>
      </c>
      <c r="D738" s="2">
        <f t="shared" si="126"/>
        <v>2024</v>
      </c>
      <c r="E738" s="4">
        <v>45632</v>
      </c>
      <c r="F738" s="4">
        <v>45635</v>
      </c>
      <c r="G738" s="6">
        <f t="shared" si="122"/>
        <v>3</v>
      </c>
      <c r="H738" s="6" t="str">
        <f t="shared" si="123"/>
        <v>Valid</v>
      </c>
      <c r="I738" t="s">
        <v>2294</v>
      </c>
      <c r="J738" t="s">
        <v>90</v>
      </c>
      <c r="K738" t="s">
        <v>25</v>
      </c>
      <c r="L738" t="s">
        <v>64</v>
      </c>
      <c r="M738" t="s">
        <v>65</v>
      </c>
      <c r="O738" t="s">
        <v>42</v>
      </c>
      <c r="P738" t="s">
        <v>67</v>
      </c>
      <c r="Q738" t="s">
        <v>2295</v>
      </c>
      <c r="R738" t="s">
        <v>32</v>
      </c>
      <c r="S738">
        <v>9</v>
      </c>
      <c r="T738">
        <v>290.75</v>
      </c>
      <c r="U738" s="2">
        <f t="shared" si="127"/>
        <v>2355.0750000000003</v>
      </c>
      <c r="V738" s="13">
        <v>0.1</v>
      </c>
      <c r="W738" s="2">
        <f t="shared" si="128"/>
        <v>0.1</v>
      </c>
      <c r="X738" s="2" t="str">
        <f t="shared" si="129"/>
        <v>Valid</v>
      </c>
      <c r="Y738" s="2" t="str">
        <f t="shared" si="130"/>
        <v>Clean</v>
      </c>
      <c r="Z738">
        <v>2355.08</v>
      </c>
      <c r="AA738">
        <v>1350.03</v>
      </c>
      <c r="AB738" s="2">
        <f t="shared" si="124"/>
        <v>1005.0450000000003</v>
      </c>
      <c r="AC738">
        <v>1005.05</v>
      </c>
      <c r="AD738" s="11">
        <f t="shared" si="131"/>
        <v>0.42675832668104691</v>
      </c>
      <c r="AE738" t="s">
        <v>33</v>
      </c>
      <c r="AF738" t="s">
        <v>34</v>
      </c>
    </row>
    <row r="739" spans="1:32">
      <c r="A739" t="s">
        <v>2296</v>
      </c>
      <c r="B739" s="2" t="str">
        <f t="shared" si="121"/>
        <v>Unique</v>
      </c>
      <c r="C739" s="2" t="str">
        <f t="shared" si="125"/>
        <v>Feb</v>
      </c>
      <c r="D739" s="2">
        <f t="shared" si="126"/>
        <v>2024</v>
      </c>
      <c r="E739" s="4">
        <v>45332</v>
      </c>
      <c r="F739" s="4">
        <v>45332</v>
      </c>
      <c r="G739" s="6">
        <f t="shared" si="122"/>
        <v>0</v>
      </c>
      <c r="H739" s="6" t="str">
        <f t="shared" si="123"/>
        <v>Valid</v>
      </c>
      <c r="I739" t="s">
        <v>2297</v>
      </c>
      <c r="J739" t="s">
        <v>48</v>
      </c>
      <c r="K739" t="s">
        <v>96</v>
      </c>
      <c r="L739" t="s">
        <v>64</v>
      </c>
      <c r="M739" t="s">
        <v>65</v>
      </c>
      <c r="O739" t="s">
        <v>42</v>
      </c>
      <c r="P739" t="s">
        <v>67</v>
      </c>
      <c r="Q739" t="s">
        <v>2298</v>
      </c>
      <c r="R739" t="s">
        <v>45</v>
      </c>
      <c r="S739">
        <v>6</v>
      </c>
      <c r="T739">
        <v>601.52</v>
      </c>
      <c r="U739" s="2">
        <f t="shared" si="127"/>
        <v>3609.12</v>
      </c>
      <c r="V739" s="13">
        <v>0</v>
      </c>
      <c r="W739" s="2">
        <f t="shared" si="128"/>
        <v>0</v>
      </c>
      <c r="X739" s="2" t="str">
        <f t="shared" si="129"/>
        <v>Valid</v>
      </c>
      <c r="Y739" s="2" t="str">
        <f t="shared" si="130"/>
        <v>Clean</v>
      </c>
      <c r="Z739">
        <v>3609.12</v>
      </c>
      <c r="AA739">
        <v>2645.5</v>
      </c>
      <c r="AB739" s="2">
        <f t="shared" si="124"/>
        <v>963.61999999999989</v>
      </c>
      <c r="AC739">
        <v>963.62</v>
      </c>
      <c r="AD739" s="11">
        <f t="shared" si="131"/>
        <v>0.26699583277918165</v>
      </c>
      <c r="AE739" t="s">
        <v>33</v>
      </c>
      <c r="AF739" t="s">
        <v>34</v>
      </c>
    </row>
    <row r="740" spans="1:32">
      <c r="A740" t="s">
        <v>2299</v>
      </c>
      <c r="B740" s="2" t="str">
        <f t="shared" si="121"/>
        <v>Unique</v>
      </c>
      <c r="C740" s="2" t="str">
        <f t="shared" si="125"/>
        <v>Feb</v>
      </c>
      <c r="D740" s="2">
        <f t="shared" si="126"/>
        <v>2025</v>
      </c>
      <c r="E740" s="4">
        <v>45708</v>
      </c>
      <c r="F740" s="4">
        <v>45710</v>
      </c>
      <c r="G740" s="6">
        <f t="shared" si="122"/>
        <v>2</v>
      </c>
      <c r="H740" s="6" t="str">
        <f t="shared" si="123"/>
        <v>Valid</v>
      </c>
      <c r="I740" t="s">
        <v>2300</v>
      </c>
      <c r="J740" t="s">
        <v>115</v>
      </c>
      <c r="K740" t="s">
        <v>91</v>
      </c>
      <c r="L740" t="s">
        <v>55</v>
      </c>
      <c r="M740" t="s">
        <v>186</v>
      </c>
      <c r="O740" t="s">
        <v>29</v>
      </c>
      <c r="P740" t="s">
        <v>30</v>
      </c>
      <c r="Q740" t="s">
        <v>2301</v>
      </c>
      <c r="R740" t="s">
        <v>51</v>
      </c>
      <c r="S740">
        <v>1</v>
      </c>
      <c r="T740">
        <v>2188.19</v>
      </c>
      <c r="U740" s="2">
        <f t="shared" si="127"/>
        <v>2188.19</v>
      </c>
      <c r="V740" s="13">
        <v>0</v>
      </c>
      <c r="W740" s="2">
        <f t="shared" si="128"/>
        <v>0</v>
      </c>
      <c r="X740" s="2" t="str">
        <f t="shared" si="129"/>
        <v>Valid</v>
      </c>
      <c r="Y740" s="2" t="str">
        <f t="shared" si="130"/>
        <v>Clean</v>
      </c>
      <c r="Z740">
        <v>2188.19</v>
      </c>
      <c r="AA740">
        <v>1298.8399999999999</v>
      </c>
      <c r="AB740" s="2">
        <f t="shared" si="124"/>
        <v>889.35000000000014</v>
      </c>
      <c r="AC740">
        <v>889.35</v>
      </c>
      <c r="AD740" s="11">
        <f t="shared" si="131"/>
        <v>0.40643179979800659</v>
      </c>
      <c r="AE740" t="s">
        <v>33</v>
      </c>
      <c r="AF740" t="s">
        <v>34</v>
      </c>
    </row>
    <row r="741" spans="1:32">
      <c r="A741" t="s">
        <v>2302</v>
      </c>
      <c r="B741" s="2" t="str">
        <f t="shared" si="121"/>
        <v>Unique</v>
      </c>
      <c r="C741" s="2" t="str">
        <f t="shared" si="125"/>
        <v>Dec</v>
      </c>
      <c r="D741" s="2">
        <f t="shared" si="126"/>
        <v>2024</v>
      </c>
      <c r="E741" s="4">
        <v>45629</v>
      </c>
      <c r="F741" s="4">
        <v>45636</v>
      </c>
      <c r="G741" s="6">
        <f t="shared" si="122"/>
        <v>7</v>
      </c>
      <c r="H741" s="6" t="str">
        <f t="shared" si="123"/>
        <v>Valid</v>
      </c>
      <c r="I741" t="s">
        <v>2303</v>
      </c>
      <c r="J741" t="s">
        <v>80</v>
      </c>
      <c r="K741" t="s">
        <v>91</v>
      </c>
      <c r="L741" t="s">
        <v>26</v>
      </c>
      <c r="M741" t="s">
        <v>27</v>
      </c>
      <c r="O741" t="s">
        <v>75</v>
      </c>
      <c r="P741" t="s">
        <v>172</v>
      </c>
      <c r="Q741" t="s">
        <v>2304</v>
      </c>
      <c r="R741" t="s">
        <v>60</v>
      </c>
      <c r="S741">
        <v>5</v>
      </c>
      <c r="T741">
        <v>2393.86</v>
      </c>
      <c r="U741" s="2">
        <f t="shared" si="127"/>
        <v>11370.835000000001</v>
      </c>
      <c r="V741" s="13">
        <v>0.05</v>
      </c>
      <c r="W741" s="2">
        <f t="shared" si="128"/>
        <v>0.05</v>
      </c>
      <c r="X741" s="2" t="str">
        <f t="shared" si="129"/>
        <v>Valid</v>
      </c>
      <c r="Y741" s="2" t="str">
        <f t="shared" si="130"/>
        <v>Clean</v>
      </c>
      <c r="Z741">
        <v>11370.84</v>
      </c>
      <c r="AA741">
        <v>7469.58</v>
      </c>
      <c r="AB741" s="2">
        <f t="shared" si="124"/>
        <v>3901.255000000001</v>
      </c>
      <c r="AC741">
        <v>3901.26</v>
      </c>
      <c r="AD741" s="11">
        <f t="shared" si="131"/>
        <v>0.34309338624059438</v>
      </c>
      <c r="AE741" t="s">
        <v>33</v>
      </c>
      <c r="AF741" t="s">
        <v>34</v>
      </c>
    </row>
    <row r="742" spans="1:32">
      <c r="A742" t="s">
        <v>2305</v>
      </c>
      <c r="B742" s="2" t="str">
        <f t="shared" si="121"/>
        <v>Unique</v>
      </c>
      <c r="C742" s="2" t="str">
        <f t="shared" si="125"/>
        <v>Apr</v>
      </c>
      <c r="D742" s="2">
        <f t="shared" si="126"/>
        <v>2024</v>
      </c>
      <c r="E742" s="4">
        <v>45384</v>
      </c>
      <c r="F742" s="4">
        <v>45384</v>
      </c>
      <c r="G742" s="6">
        <f t="shared" si="122"/>
        <v>0</v>
      </c>
      <c r="H742" s="6" t="str">
        <f t="shared" si="123"/>
        <v>Valid</v>
      </c>
      <c r="I742" t="s">
        <v>523</v>
      </c>
      <c r="J742" t="s">
        <v>133</v>
      </c>
      <c r="K742" t="s">
        <v>38</v>
      </c>
      <c r="L742" t="s">
        <v>64</v>
      </c>
      <c r="M742" t="s">
        <v>65</v>
      </c>
      <c r="O742" t="s">
        <v>42</v>
      </c>
      <c r="P742" t="s">
        <v>67</v>
      </c>
      <c r="Q742" t="s">
        <v>2306</v>
      </c>
      <c r="R742" t="s">
        <v>51</v>
      </c>
      <c r="S742">
        <v>4</v>
      </c>
      <c r="T742">
        <v>2583</v>
      </c>
      <c r="U742" s="2">
        <f t="shared" si="127"/>
        <v>9298.8000000000011</v>
      </c>
      <c r="V742" s="13">
        <v>0.1</v>
      </c>
      <c r="W742" s="2">
        <f t="shared" si="128"/>
        <v>0.1</v>
      </c>
      <c r="X742" s="2" t="str">
        <f t="shared" si="129"/>
        <v>Valid</v>
      </c>
      <c r="Y742" s="2" t="str">
        <f t="shared" si="130"/>
        <v>Clean</v>
      </c>
      <c r="Z742">
        <v>9298.7999999999993</v>
      </c>
      <c r="AA742">
        <v>6548.5</v>
      </c>
      <c r="AB742" s="2">
        <f t="shared" si="124"/>
        <v>2750.3000000000011</v>
      </c>
      <c r="AC742">
        <v>2750.3</v>
      </c>
      <c r="AD742" s="11">
        <f t="shared" si="131"/>
        <v>0.29576934658235476</v>
      </c>
      <c r="AE742" t="s">
        <v>33</v>
      </c>
      <c r="AF742" t="s">
        <v>34</v>
      </c>
    </row>
    <row r="743" spans="1:32">
      <c r="A743" t="s">
        <v>2307</v>
      </c>
      <c r="B743" s="2" t="str">
        <f t="shared" si="121"/>
        <v>Unique</v>
      </c>
      <c r="C743" s="2" t="str">
        <f t="shared" si="125"/>
        <v>Apr</v>
      </c>
      <c r="D743" s="2">
        <f t="shared" si="126"/>
        <v>2025</v>
      </c>
      <c r="E743" s="4">
        <v>45770</v>
      </c>
      <c r="F743" s="4">
        <v>45772</v>
      </c>
      <c r="G743" s="6">
        <f t="shared" si="122"/>
        <v>2</v>
      </c>
      <c r="H743" s="6" t="str">
        <f t="shared" si="123"/>
        <v>Valid</v>
      </c>
      <c r="I743" t="s">
        <v>2308</v>
      </c>
      <c r="J743" t="s">
        <v>48</v>
      </c>
      <c r="K743" t="s">
        <v>96</v>
      </c>
      <c r="L743" t="s">
        <v>55</v>
      </c>
      <c r="M743" t="s">
        <v>248</v>
      </c>
      <c r="O743" t="s">
        <v>42</v>
      </c>
      <c r="P743" t="s">
        <v>67</v>
      </c>
      <c r="Q743" t="s">
        <v>2309</v>
      </c>
      <c r="R743" t="s">
        <v>32</v>
      </c>
      <c r="S743">
        <v>3</v>
      </c>
      <c r="T743">
        <v>2951.12</v>
      </c>
      <c r="U743" s="2">
        <f t="shared" si="127"/>
        <v>8853.36</v>
      </c>
      <c r="V743" s="13">
        <v>0</v>
      </c>
      <c r="W743" s="2">
        <f t="shared" si="128"/>
        <v>0</v>
      </c>
      <c r="X743" s="2" t="str">
        <f t="shared" si="129"/>
        <v>Valid</v>
      </c>
      <c r="Y743" s="2" t="str">
        <f t="shared" si="130"/>
        <v>Clean</v>
      </c>
      <c r="Z743">
        <v>7082.69</v>
      </c>
      <c r="AA743">
        <v>5596.34</v>
      </c>
      <c r="AB743" s="2">
        <f t="shared" si="124"/>
        <v>3257.0200000000004</v>
      </c>
      <c r="AC743">
        <v>1486.35</v>
      </c>
      <c r="AD743" s="11">
        <f t="shared" si="131"/>
        <v>0.2098567069856227</v>
      </c>
      <c r="AE743" t="s">
        <v>33</v>
      </c>
      <c r="AF743" t="s">
        <v>69</v>
      </c>
    </row>
    <row r="744" spans="1:32">
      <c r="A744" t="s">
        <v>2310</v>
      </c>
      <c r="B744" s="2" t="str">
        <f t="shared" si="121"/>
        <v>Unique</v>
      </c>
      <c r="C744" s="2" t="str">
        <f t="shared" si="125"/>
        <v>Oct</v>
      </c>
      <c r="D744" s="2">
        <f t="shared" si="126"/>
        <v>2024</v>
      </c>
      <c r="E744" s="4">
        <v>45580</v>
      </c>
      <c r="F744" s="4">
        <v>45587</v>
      </c>
      <c r="G744" s="6">
        <f t="shared" si="122"/>
        <v>7</v>
      </c>
      <c r="H744" s="6" t="str">
        <f t="shared" si="123"/>
        <v>Valid</v>
      </c>
      <c r="I744" t="s">
        <v>2311</v>
      </c>
      <c r="J744" t="s">
        <v>24</v>
      </c>
      <c r="K744" t="s">
        <v>91</v>
      </c>
      <c r="L744" t="s">
        <v>39</v>
      </c>
      <c r="M744" t="s">
        <v>40</v>
      </c>
      <c r="O744" t="s">
        <v>29</v>
      </c>
      <c r="P744" t="s">
        <v>30</v>
      </c>
      <c r="Q744" t="s">
        <v>2312</v>
      </c>
      <c r="R744" t="s">
        <v>60</v>
      </c>
      <c r="S744">
        <v>4</v>
      </c>
      <c r="T744">
        <v>2260.9499999999998</v>
      </c>
      <c r="U744" s="2">
        <f t="shared" si="127"/>
        <v>9043.7999999999993</v>
      </c>
      <c r="V744" s="13">
        <v>0</v>
      </c>
      <c r="W744" s="2">
        <f t="shared" si="128"/>
        <v>0</v>
      </c>
      <c r="X744" s="2" t="str">
        <f t="shared" si="129"/>
        <v>Valid</v>
      </c>
      <c r="Y744" s="2" t="str">
        <f t="shared" si="130"/>
        <v>Clean</v>
      </c>
      <c r="Z744">
        <v>9043.7999999999993</v>
      </c>
      <c r="AA744">
        <v>5913.38</v>
      </c>
      <c r="AB744" s="2">
        <f t="shared" si="124"/>
        <v>3130.4199999999992</v>
      </c>
      <c r="AC744">
        <v>3130.42</v>
      </c>
      <c r="AD744" s="11">
        <f t="shared" si="131"/>
        <v>0.34613989694597408</v>
      </c>
      <c r="AE744" t="s">
        <v>33</v>
      </c>
      <c r="AF744" t="s">
        <v>34</v>
      </c>
    </row>
    <row r="745" spans="1:32">
      <c r="A745" t="s">
        <v>2313</v>
      </c>
      <c r="B745" s="2" t="str">
        <f t="shared" si="121"/>
        <v>Unique</v>
      </c>
      <c r="C745" s="2" t="str">
        <f t="shared" si="125"/>
        <v>Feb</v>
      </c>
      <c r="D745" s="2">
        <f t="shared" si="126"/>
        <v>2025</v>
      </c>
      <c r="E745" s="4">
        <v>45700</v>
      </c>
      <c r="F745" s="4">
        <v>45702</v>
      </c>
      <c r="G745" s="6">
        <f t="shared" si="122"/>
        <v>2</v>
      </c>
      <c r="H745" s="6" t="str">
        <f t="shared" si="123"/>
        <v>Valid</v>
      </c>
      <c r="I745" t="s">
        <v>2314</v>
      </c>
      <c r="J745" t="s">
        <v>133</v>
      </c>
      <c r="K745" t="s">
        <v>25</v>
      </c>
      <c r="L745" t="s">
        <v>26</v>
      </c>
      <c r="M745" t="s">
        <v>137</v>
      </c>
      <c r="O745" t="s">
        <v>29</v>
      </c>
      <c r="P745" t="s">
        <v>49</v>
      </c>
      <c r="Q745" t="s">
        <v>2315</v>
      </c>
      <c r="R745" t="s">
        <v>60</v>
      </c>
      <c r="S745">
        <v>6</v>
      </c>
      <c r="T745">
        <v>491.4</v>
      </c>
      <c r="U745" s="2">
        <f t="shared" si="127"/>
        <v>2211.2999999999997</v>
      </c>
      <c r="V745" s="13">
        <v>0.25</v>
      </c>
      <c r="W745" s="2">
        <f t="shared" si="128"/>
        <v>0.25</v>
      </c>
      <c r="X745" s="2" t="str">
        <f t="shared" si="129"/>
        <v>Valid</v>
      </c>
      <c r="Y745" s="2" t="str">
        <f t="shared" si="130"/>
        <v>Clean</v>
      </c>
      <c r="Z745">
        <v>2211.3000000000002</v>
      </c>
      <c r="AA745">
        <v>1735.64</v>
      </c>
      <c r="AB745" s="2">
        <f t="shared" si="124"/>
        <v>475.65999999999963</v>
      </c>
      <c r="AC745">
        <v>475.66</v>
      </c>
      <c r="AD745" s="11">
        <f t="shared" si="131"/>
        <v>0.21510423732645953</v>
      </c>
      <c r="AE745" t="s">
        <v>33</v>
      </c>
      <c r="AF745" t="s">
        <v>34</v>
      </c>
    </row>
    <row r="746" spans="1:32">
      <c r="A746" t="s">
        <v>2316</v>
      </c>
      <c r="B746" s="2" t="str">
        <f t="shared" si="121"/>
        <v>Unique</v>
      </c>
      <c r="C746" s="2" t="str">
        <f t="shared" si="125"/>
        <v>Aug</v>
      </c>
      <c r="D746" s="2">
        <f t="shared" si="126"/>
        <v>2025</v>
      </c>
      <c r="E746" s="4">
        <v>45886</v>
      </c>
      <c r="F746" s="4">
        <v>45889</v>
      </c>
      <c r="G746" s="6">
        <f t="shared" si="122"/>
        <v>3</v>
      </c>
      <c r="H746" s="6" t="str">
        <f t="shared" si="123"/>
        <v>Valid</v>
      </c>
      <c r="I746" t="s">
        <v>2317</v>
      </c>
      <c r="J746" t="s">
        <v>37</v>
      </c>
      <c r="K746" t="s">
        <v>96</v>
      </c>
      <c r="L746" t="s">
        <v>26</v>
      </c>
      <c r="M746" t="s">
        <v>123</v>
      </c>
      <c r="O746" t="s">
        <v>29</v>
      </c>
      <c r="P746" t="s">
        <v>154</v>
      </c>
      <c r="Q746" t="s">
        <v>2318</v>
      </c>
      <c r="R746" t="s">
        <v>51</v>
      </c>
      <c r="S746">
        <v>5</v>
      </c>
      <c r="T746">
        <v>2701.89</v>
      </c>
      <c r="U746" s="2">
        <f t="shared" si="127"/>
        <v>12158.504999999999</v>
      </c>
      <c r="V746" s="13">
        <v>0.1</v>
      </c>
      <c r="W746" s="2">
        <f t="shared" si="128"/>
        <v>0.1</v>
      </c>
      <c r="X746" s="2" t="str">
        <f t="shared" si="129"/>
        <v>Valid</v>
      </c>
      <c r="Y746" s="2" t="str">
        <f t="shared" si="130"/>
        <v>Clean</v>
      </c>
      <c r="Z746">
        <v>12158.5</v>
      </c>
      <c r="AA746">
        <v>10260.07</v>
      </c>
      <c r="AB746" s="2">
        <f t="shared" si="124"/>
        <v>1898.4349999999995</v>
      </c>
      <c r="AC746">
        <v>1898.43</v>
      </c>
      <c r="AD746" s="11">
        <f t="shared" si="131"/>
        <v>0.15614014886704775</v>
      </c>
      <c r="AE746" t="s">
        <v>33</v>
      </c>
      <c r="AF746" t="s">
        <v>69</v>
      </c>
    </row>
    <row r="747" spans="1:32">
      <c r="A747" t="s">
        <v>2319</v>
      </c>
      <c r="B747" s="2" t="str">
        <f t="shared" si="121"/>
        <v>Unique</v>
      </c>
      <c r="C747" s="2" t="str">
        <f t="shared" si="125"/>
        <v>Oct</v>
      </c>
      <c r="D747" s="2">
        <f t="shared" si="126"/>
        <v>2024</v>
      </c>
      <c r="E747" s="4">
        <v>45589</v>
      </c>
      <c r="F747" s="4">
        <v>45593</v>
      </c>
      <c r="G747" s="6">
        <f t="shared" si="122"/>
        <v>4</v>
      </c>
      <c r="H747" s="6" t="str">
        <f t="shared" si="123"/>
        <v>Valid</v>
      </c>
      <c r="I747" t="s">
        <v>2320</v>
      </c>
      <c r="J747" t="s">
        <v>37</v>
      </c>
      <c r="K747" t="s">
        <v>38</v>
      </c>
      <c r="L747" t="s">
        <v>39</v>
      </c>
      <c r="M747" t="s">
        <v>167</v>
      </c>
      <c r="O747" t="s">
        <v>75</v>
      </c>
      <c r="P747" t="s">
        <v>81</v>
      </c>
      <c r="Q747" t="s">
        <v>2321</v>
      </c>
      <c r="R747" t="s">
        <v>60</v>
      </c>
      <c r="S747">
        <v>3</v>
      </c>
      <c r="T747">
        <v>723.59</v>
      </c>
      <c r="U747" s="2">
        <f t="shared" si="127"/>
        <v>1736.616</v>
      </c>
      <c r="V747" s="13">
        <v>0.2</v>
      </c>
      <c r="W747" s="2">
        <f t="shared" si="128"/>
        <v>0.2</v>
      </c>
      <c r="X747" s="2" t="str">
        <f t="shared" si="129"/>
        <v>Valid</v>
      </c>
      <c r="Y747" s="2" t="str">
        <f t="shared" si="130"/>
        <v>Clean</v>
      </c>
      <c r="Z747">
        <v>1736.62</v>
      </c>
      <c r="AA747">
        <v>1059.52</v>
      </c>
      <c r="AB747" s="2">
        <f t="shared" si="124"/>
        <v>677.096</v>
      </c>
      <c r="AC747">
        <v>677.1</v>
      </c>
      <c r="AD747" s="11">
        <f t="shared" si="131"/>
        <v>0.3898953138855939</v>
      </c>
      <c r="AE747" t="s">
        <v>33</v>
      </c>
      <c r="AF747" t="s">
        <v>34</v>
      </c>
    </row>
    <row r="748" spans="1:32">
      <c r="A748" t="s">
        <v>2322</v>
      </c>
      <c r="B748" s="2" t="str">
        <f t="shared" si="121"/>
        <v>Unique</v>
      </c>
      <c r="C748" s="2" t="str">
        <f t="shared" si="125"/>
        <v>Jan</v>
      </c>
      <c r="D748" s="2">
        <f t="shared" si="126"/>
        <v>2025</v>
      </c>
      <c r="E748" s="4">
        <v>45661</v>
      </c>
      <c r="F748" s="4">
        <v>45667</v>
      </c>
      <c r="G748" s="6">
        <f t="shared" si="122"/>
        <v>6</v>
      </c>
      <c r="H748" s="6" t="str">
        <f t="shared" si="123"/>
        <v>Valid</v>
      </c>
      <c r="I748" t="s">
        <v>2030</v>
      </c>
      <c r="J748" t="s">
        <v>129</v>
      </c>
      <c r="K748" t="s">
        <v>96</v>
      </c>
      <c r="L748" t="s">
        <v>39</v>
      </c>
      <c r="M748" t="s">
        <v>100</v>
      </c>
      <c r="O748" t="s">
        <v>29</v>
      </c>
      <c r="P748" t="s">
        <v>30</v>
      </c>
      <c r="Q748" t="s">
        <v>2323</v>
      </c>
      <c r="R748" t="s">
        <v>60</v>
      </c>
      <c r="S748">
        <v>4</v>
      </c>
      <c r="T748">
        <v>2583.19</v>
      </c>
      <c r="U748" s="2">
        <f t="shared" si="127"/>
        <v>8266.2080000000005</v>
      </c>
      <c r="V748" s="13">
        <v>0.2</v>
      </c>
      <c r="W748" s="2">
        <f t="shared" si="128"/>
        <v>0.2</v>
      </c>
      <c r="X748" s="2" t="str">
        <f t="shared" si="129"/>
        <v>Valid</v>
      </c>
      <c r="Y748" s="2" t="str">
        <f t="shared" si="130"/>
        <v>Clean</v>
      </c>
      <c r="Z748">
        <v>8266.2099999999991</v>
      </c>
      <c r="AA748">
        <v>6236.32</v>
      </c>
      <c r="AB748" s="2">
        <f t="shared" si="124"/>
        <v>2029.8880000000008</v>
      </c>
      <c r="AC748">
        <v>2029.89</v>
      </c>
      <c r="AD748" s="11">
        <f t="shared" si="131"/>
        <v>0.2455647751508854</v>
      </c>
      <c r="AE748" t="s">
        <v>33</v>
      </c>
      <c r="AF748" t="s">
        <v>34</v>
      </c>
    </row>
    <row r="749" spans="1:32">
      <c r="A749" t="s">
        <v>2324</v>
      </c>
      <c r="B749" s="2" t="str">
        <f t="shared" si="121"/>
        <v>Unique</v>
      </c>
      <c r="C749" s="2" t="str">
        <f t="shared" si="125"/>
        <v>May</v>
      </c>
      <c r="D749" s="2">
        <f t="shared" si="126"/>
        <v>2024</v>
      </c>
      <c r="E749" s="4">
        <v>45413</v>
      </c>
      <c r="F749" s="4">
        <v>45419</v>
      </c>
      <c r="G749" s="6">
        <f t="shared" si="122"/>
        <v>6</v>
      </c>
      <c r="H749" s="6" t="str">
        <f t="shared" si="123"/>
        <v>Valid</v>
      </c>
      <c r="I749" t="s">
        <v>2325</v>
      </c>
      <c r="J749" t="s">
        <v>48</v>
      </c>
      <c r="K749" t="s">
        <v>96</v>
      </c>
      <c r="L749" t="s">
        <v>39</v>
      </c>
      <c r="M749" t="s">
        <v>40</v>
      </c>
      <c r="O749" t="s">
        <v>29</v>
      </c>
      <c r="P749" t="s">
        <v>30</v>
      </c>
      <c r="Q749" t="s">
        <v>2326</v>
      </c>
      <c r="R749" t="s">
        <v>45</v>
      </c>
      <c r="S749">
        <v>8</v>
      </c>
      <c r="T749">
        <v>1473.83</v>
      </c>
      <c r="U749" s="2">
        <f t="shared" si="127"/>
        <v>10022.044</v>
      </c>
      <c r="V749" s="13">
        <v>0.15</v>
      </c>
      <c r="W749" s="2">
        <f t="shared" si="128"/>
        <v>0.15</v>
      </c>
      <c r="X749" s="2" t="str">
        <f t="shared" si="129"/>
        <v>Valid</v>
      </c>
      <c r="Y749" s="2" t="str">
        <f t="shared" si="130"/>
        <v>Clean</v>
      </c>
      <c r="Z749">
        <v>10022.040000000001</v>
      </c>
      <c r="AA749">
        <v>5576.98</v>
      </c>
      <c r="AB749" s="2">
        <f t="shared" si="124"/>
        <v>4445.0640000000003</v>
      </c>
      <c r="AC749">
        <v>4445.0600000000004</v>
      </c>
      <c r="AD749" s="11">
        <f t="shared" si="131"/>
        <v>0.4435284632669596</v>
      </c>
      <c r="AE749" t="s">
        <v>33</v>
      </c>
      <c r="AF749" t="s">
        <v>34</v>
      </c>
    </row>
    <row r="750" spans="1:32">
      <c r="A750" t="s">
        <v>2327</v>
      </c>
      <c r="B750" s="2" t="str">
        <f t="shared" si="121"/>
        <v>Unique</v>
      </c>
      <c r="C750" s="2" t="str">
        <f t="shared" si="125"/>
        <v>May</v>
      </c>
      <c r="D750" s="2">
        <f t="shared" si="126"/>
        <v>2024</v>
      </c>
      <c r="E750" s="4">
        <v>45442</v>
      </c>
      <c r="F750" s="4">
        <v>45442</v>
      </c>
      <c r="G750" s="6">
        <f t="shared" si="122"/>
        <v>0</v>
      </c>
      <c r="H750" s="6" t="str">
        <f t="shared" si="123"/>
        <v>Valid</v>
      </c>
      <c r="I750" t="s">
        <v>2328</v>
      </c>
      <c r="J750" t="s">
        <v>163</v>
      </c>
      <c r="K750" t="s">
        <v>96</v>
      </c>
      <c r="L750" t="s">
        <v>26</v>
      </c>
      <c r="M750" t="s">
        <v>237</v>
      </c>
      <c r="O750" t="s">
        <v>75</v>
      </c>
      <c r="P750" t="s">
        <v>172</v>
      </c>
      <c r="Q750" t="s">
        <v>2329</v>
      </c>
      <c r="R750" t="s">
        <v>32</v>
      </c>
      <c r="S750">
        <v>1</v>
      </c>
      <c r="T750">
        <v>3848.04</v>
      </c>
      <c r="U750" s="2">
        <f t="shared" si="127"/>
        <v>2886.0299999999997</v>
      </c>
      <c r="V750" s="13">
        <v>0.25</v>
      </c>
      <c r="W750" s="2">
        <f t="shared" si="128"/>
        <v>0.25</v>
      </c>
      <c r="X750" s="2" t="str">
        <f t="shared" si="129"/>
        <v>Valid</v>
      </c>
      <c r="Y750" s="2" t="str">
        <f t="shared" si="130"/>
        <v>Clean</v>
      </c>
      <c r="Z750">
        <v>2886.03</v>
      </c>
      <c r="AA750">
        <v>2064.83</v>
      </c>
      <c r="AB750" s="2">
        <f t="shared" si="124"/>
        <v>821.19999999999982</v>
      </c>
      <c r="AC750">
        <v>821.2</v>
      </c>
      <c r="AD750" s="11">
        <f t="shared" si="131"/>
        <v>0.28454312671732451</v>
      </c>
      <c r="AE750" t="s">
        <v>33</v>
      </c>
      <c r="AF750" t="s">
        <v>34</v>
      </c>
    </row>
    <row r="751" spans="1:32">
      <c r="A751" t="s">
        <v>2330</v>
      </c>
      <c r="B751" s="2" t="str">
        <f t="shared" si="121"/>
        <v>Unique</v>
      </c>
      <c r="C751" s="2" t="str">
        <f t="shared" si="125"/>
        <v>Mar</v>
      </c>
      <c r="D751" s="2">
        <f t="shared" si="126"/>
        <v>2024</v>
      </c>
      <c r="E751" s="4">
        <v>45372</v>
      </c>
      <c r="F751" s="4">
        <v>45376</v>
      </c>
      <c r="G751" s="6">
        <f t="shared" si="122"/>
        <v>4</v>
      </c>
      <c r="H751" s="6" t="str">
        <f t="shared" si="123"/>
        <v>Valid</v>
      </c>
      <c r="I751" t="s">
        <v>2331</v>
      </c>
      <c r="J751" t="s">
        <v>90</v>
      </c>
      <c r="K751" t="s">
        <v>96</v>
      </c>
      <c r="L751" t="s">
        <v>39</v>
      </c>
      <c r="M751" t="s">
        <v>167</v>
      </c>
      <c r="O751" t="s">
        <v>75</v>
      </c>
      <c r="P751" t="s">
        <v>275</v>
      </c>
      <c r="Q751" t="s">
        <v>2332</v>
      </c>
      <c r="R751" t="s">
        <v>60</v>
      </c>
      <c r="S751">
        <v>1</v>
      </c>
      <c r="T751">
        <v>1716.7</v>
      </c>
      <c r="U751" s="2">
        <f t="shared" si="127"/>
        <v>1459.1949999999999</v>
      </c>
      <c r="V751" s="13">
        <v>0.15</v>
      </c>
      <c r="W751" s="2">
        <f t="shared" si="128"/>
        <v>0.15</v>
      </c>
      <c r="X751" s="2" t="str">
        <f t="shared" si="129"/>
        <v>Valid</v>
      </c>
      <c r="Y751" s="2" t="str">
        <f t="shared" si="130"/>
        <v>Clean</v>
      </c>
      <c r="Z751">
        <v>1459.19</v>
      </c>
      <c r="AA751">
        <v>1055.79</v>
      </c>
      <c r="AB751" s="2">
        <f t="shared" si="124"/>
        <v>403.40499999999997</v>
      </c>
      <c r="AC751">
        <v>403.4</v>
      </c>
      <c r="AD751" s="11">
        <f t="shared" si="131"/>
        <v>0.27645474544096382</v>
      </c>
      <c r="AE751" t="s">
        <v>33</v>
      </c>
      <c r="AF751" t="s">
        <v>34</v>
      </c>
    </row>
    <row r="752" spans="1:32">
      <c r="A752" t="s">
        <v>2333</v>
      </c>
      <c r="B752" s="2" t="str">
        <f t="shared" si="121"/>
        <v>Unique</v>
      </c>
      <c r="C752" s="2" t="str">
        <f t="shared" si="125"/>
        <v>Jun</v>
      </c>
      <c r="D752" s="2">
        <f t="shared" si="126"/>
        <v>2025</v>
      </c>
      <c r="E752" s="4">
        <v>45810</v>
      </c>
      <c r="F752" s="4">
        <v>45810</v>
      </c>
      <c r="G752" s="6">
        <f t="shared" si="122"/>
        <v>0</v>
      </c>
      <c r="H752" s="6" t="str">
        <f t="shared" si="123"/>
        <v>Valid</v>
      </c>
      <c r="I752" t="s">
        <v>2334</v>
      </c>
      <c r="J752" t="s">
        <v>129</v>
      </c>
      <c r="K752" t="s">
        <v>96</v>
      </c>
      <c r="L752" t="s">
        <v>55</v>
      </c>
      <c r="M752" t="s">
        <v>56</v>
      </c>
      <c r="O752" t="s">
        <v>75</v>
      </c>
      <c r="P752" t="s">
        <v>76</v>
      </c>
      <c r="Q752" t="s">
        <v>2335</v>
      </c>
      <c r="R752" t="s">
        <v>51</v>
      </c>
      <c r="S752">
        <v>8</v>
      </c>
      <c r="T752">
        <v>3925.93</v>
      </c>
      <c r="U752" s="2">
        <f t="shared" si="127"/>
        <v>26696.323999999997</v>
      </c>
      <c r="V752" s="13">
        <v>0.15</v>
      </c>
      <c r="W752" s="2">
        <f t="shared" si="128"/>
        <v>0.15</v>
      </c>
      <c r="X752" s="2" t="str">
        <f t="shared" si="129"/>
        <v>Valid</v>
      </c>
      <c r="Y752" s="2" t="str">
        <f t="shared" si="130"/>
        <v>Clean</v>
      </c>
      <c r="Z752">
        <v>26696.32</v>
      </c>
      <c r="AA752">
        <v>22724.52</v>
      </c>
      <c r="AB752" s="2">
        <f t="shared" si="124"/>
        <v>3971.8039999999964</v>
      </c>
      <c r="AC752">
        <v>3971.8</v>
      </c>
      <c r="AD752" s="11">
        <f t="shared" si="131"/>
        <v>0.14877705990938078</v>
      </c>
      <c r="AE752" t="s">
        <v>33</v>
      </c>
      <c r="AF752" t="s">
        <v>34</v>
      </c>
    </row>
    <row r="753" spans="1:32">
      <c r="A753" t="s">
        <v>2336</v>
      </c>
      <c r="B753" s="2" t="str">
        <f t="shared" si="121"/>
        <v>Unique</v>
      </c>
      <c r="C753" s="2" t="str">
        <f t="shared" si="125"/>
        <v>Jul</v>
      </c>
      <c r="D753" s="2">
        <f t="shared" si="126"/>
        <v>2025</v>
      </c>
      <c r="E753" s="4">
        <v>45856</v>
      </c>
      <c r="F753" s="4">
        <v>45857</v>
      </c>
      <c r="G753" s="6">
        <f t="shared" si="122"/>
        <v>1</v>
      </c>
      <c r="H753" s="6" t="str">
        <f t="shared" si="123"/>
        <v>Valid</v>
      </c>
      <c r="I753" t="s">
        <v>2337</v>
      </c>
      <c r="J753" t="s">
        <v>115</v>
      </c>
      <c r="K753" t="s">
        <v>96</v>
      </c>
      <c r="L753" s="2" t="s">
        <v>2793</v>
      </c>
      <c r="M753" t="s">
        <v>137</v>
      </c>
      <c r="O753" t="s">
        <v>75</v>
      </c>
      <c r="P753" t="s">
        <v>275</v>
      </c>
      <c r="Q753" t="s">
        <v>2338</v>
      </c>
      <c r="R753" s="2" t="s">
        <v>2793</v>
      </c>
      <c r="S753">
        <v>3</v>
      </c>
      <c r="T753">
        <v>2963.25</v>
      </c>
      <c r="U753" s="2">
        <f t="shared" si="127"/>
        <v>8445.2624999999989</v>
      </c>
      <c r="V753" s="13">
        <v>0.05</v>
      </c>
      <c r="W753" s="2">
        <f t="shared" si="128"/>
        <v>0.05</v>
      </c>
      <c r="X753" s="2" t="str">
        <f t="shared" si="129"/>
        <v>Valid</v>
      </c>
      <c r="Y753" s="2" t="str">
        <f t="shared" si="130"/>
        <v>Clean</v>
      </c>
      <c r="Z753">
        <v>8445.26</v>
      </c>
      <c r="AA753">
        <v>6937.6</v>
      </c>
      <c r="AB753" s="2">
        <f t="shared" si="124"/>
        <v>1507.6624999999985</v>
      </c>
      <c r="AC753">
        <v>1507.66</v>
      </c>
      <c r="AD753" s="11">
        <f t="shared" si="131"/>
        <v>0.17852144279749824</v>
      </c>
      <c r="AE753" t="s">
        <v>33</v>
      </c>
      <c r="AF753" t="s">
        <v>34</v>
      </c>
    </row>
    <row r="754" spans="1:32">
      <c r="A754" t="s">
        <v>2339</v>
      </c>
      <c r="B754" s="2" t="str">
        <f t="shared" si="121"/>
        <v>Unique</v>
      </c>
      <c r="C754" s="2" t="str">
        <f t="shared" si="125"/>
        <v>Mar</v>
      </c>
      <c r="D754" s="2">
        <f t="shared" si="126"/>
        <v>2024</v>
      </c>
      <c r="E754" s="4">
        <v>45375</v>
      </c>
      <c r="F754" s="4">
        <v>45378</v>
      </c>
      <c r="G754" s="6">
        <f t="shared" si="122"/>
        <v>3</v>
      </c>
      <c r="H754" s="6" t="str">
        <f t="shared" si="123"/>
        <v>Valid</v>
      </c>
      <c r="I754" t="s">
        <v>2340</v>
      </c>
      <c r="J754" t="s">
        <v>90</v>
      </c>
      <c r="K754" t="s">
        <v>91</v>
      </c>
      <c r="L754" t="s">
        <v>64</v>
      </c>
      <c r="M754" t="s">
        <v>181</v>
      </c>
      <c r="O754" t="s">
        <v>29</v>
      </c>
      <c r="P754" t="s">
        <v>125</v>
      </c>
      <c r="Q754" t="s">
        <v>2341</v>
      </c>
      <c r="R754" t="s">
        <v>51</v>
      </c>
      <c r="S754">
        <v>5</v>
      </c>
      <c r="T754">
        <v>2465.2199999999998</v>
      </c>
      <c r="U754" s="2">
        <f t="shared" si="127"/>
        <v>11709.794999999998</v>
      </c>
      <c r="V754" s="13">
        <v>0.05</v>
      </c>
      <c r="W754" s="2">
        <f t="shared" si="128"/>
        <v>0.05</v>
      </c>
      <c r="X754" s="2" t="str">
        <f t="shared" si="129"/>
        <v>Valid</v>
      </c>
      <c r="Y754" s="2" t="str">
        <f t="shared" si="130"/>
        <v>Clean</v>
      </c>
      <c r="Z754">
        <v>11709.79</v>
      </c>
      <c r="AA754">
        <v>8372.2900000000009</v>
      </c>
      <c r="AB754" s="2">
        <f t="shared" si="124"/>
        <v>3337.5049999999974</v>
      </c>
      <c r="AC754">
        <v>3337.5</v>
      </c>
      <c r="AD754" s="11">
        <f t="shared" si="131"/>
        <v>0.28501792090208278</v>
      </c>
      <c r="AE754" t="s">
        <v>33</v>
      </c>
      <c r="AF754" t="s">
        <v>34</v>
      </c>
    </row>
    <row r="755" spans="1:32">
      <c r="A755" t="s">
        <v>2342</v>
      </c>
      <c r="B755" s="2" t="str">
        <f t="shared" si="121"/>
        <v>Unique</v>
      </c>
      <c r="C755" s="2" t="str">
        <f t="shared" si="125"/>
        <v>Aug</v>
      </c>
      <c r="D755" s="2">
        <f t="shared" si="126"/>
        <v>2024</v>
      </c>
      <c r="E755" s="4">
        <v>45515</v>
      </c>
      <c r="F755" s="4">
        <v>45514</v>
      </c>
      <c r="G755" s="6">
        <f t="shared" si="122"/>
        <v>-1</v>
      </c>
      <c r="H755" s="6" t="str">
        <f t="shared" si="123"/>
        <v>Invalid: Ship Date Before Order Date</v>
      </c>
      <c r="I755" t="s">
        <v>2343</v>
      </c>
      <c r="J755" t="s">
        <v>90</v>
      </c>
      <c r="K755" t="s">
        <v>91</v>
      </c>
      <c r="L755" t="s">
        <v>26</v>
      </c>
      <c r="M755" t="s">
        <v>351</v>
      </c>
      <c r="O755" t="s">
        <v>42</v>
      </c>
      <c r="P755" t="s">
        <v>58</v>
      </c>
      <c r="Q755" t="s">
        <v>2344</v>
      </c>
      <c r="R755" t="s">
        <v>32</v>
      </c>
      <c r="S755">
        <v>3</v>
      </c>
      <c r="T755">
        <v>1017.22</v>
      </c>
      <c r="U755" s="2">
        <f t="shared" si="127"/>
        <v>2593.9109999999996</v>
      </c>
      <c r="V755" s="13">
        <v>0.15</v>
      </c>
      <c r="W755" s="2">
        <f t="shared" si="128"/>
        <v>0.15</v>
      </c>
      <c r="X755" s="2" t="str">
        <f t="shared" si="129"/>
        <v>Valid</v>
      </c>
      <c r="Y755" s="2" t="str">
        <f t="shared" si="130"/>
        <v>Invalid</v>
      </c>
      <c r="Z755">
        <v>2593.91</v>
      </c>
      <c r="AA755">
        <v>1848.48</v>
      </c>
      <c r="AB755" s="2">
        <f t="shared" si="124"/>
        <v>745.43099999999959</v>
      </c>
      <c r="AC755">
        <v>745.43</v>
      </c>
      <c r="AD755" s="11">
        <f t="shared" si="131"/>
        <v>0.28737697144465307</v>
      </c>
      <c r="AE755" t="s">
        <v>156</v>
      </c>
      <c r="AF755" t="s">
        <v>104</v>
      </c>
    </row>
    <row r="756" spans="1:32">
      <c r="A756" t="s">
        <v>2345</v>
      </c>
      <c r="B756" s="2" t="str">
        <f t="shared" si="121"/>
        <v>Unique</v>
      </c>
      <c r="C756" s="2" t="str">
        <f t="shared" si="125"/>
        <v>Jun</v>
      </c>
      <c r="D756" s="2">
        <f t="shared" si="126"/>
        <v>2025</v>
      </c>
      <c r="E756" s="4">
        <v>45812</v>
      </c>
      <c r="F756" s="4">
        <v>45812</v>
      </c>
      <c r="G756" s="6">
        <f t="shared" si="122"/>
        <v>0</v>
      </c>
      <c r="H756" s="6" t="str">
        <f t="shared" si="123"/>
        <v>Valid</v>
      </c>
      <c r="I756" t="s">
        <v>2346</v>
      </c>
      <c r="J756" t="s">
        <v>80</v>
      </c>
      <c r="K756" t="s">
        <v>91</v>
      </c>
      <c r="L756" t="s">
        <v>55</v>
      </c>
      <c r="M756" t="s">
        <v>186</v>
      </c>
      <c r="O756" t="s">
        <v>29</v>
      </c>
      <c r="P756" t="s">
        <v>125</v>
      </c>
      <c r="Q756" t="s">
        <v>2347</v>
      </c>
      <c r="R756" t="s">
        <v>60</v>
      </c>
      <c r="S756">
        <v>4</v>
      </c>
      <c r="T756">
        <v>891.34</v>
      </c>
      <c r="U756" s="2">
        <f t="shared" si="127"/>
        <v>2674.02</v>
      </c>
      <c r="V756" s="13">
        <v>0.25</v>
      </c>
      <c r="W756" s="2">
        <f t="shared" si="128"/>
        <v>0.25</v>
      </c>
      <c r="X756" s="2" t="str">
        <f t="shared" si="129"/>
        <v>Valid</v>
      </c>
      <c r="Y756" s="2" t="str">
        <f t="shared" si="130"/>
        <v>Clean</v>
      </c>
      <c r="Z756">
        <v>2674.02</v>
      </c>
      <c r="AA756">
        <v>2207.5700000000002</v>
      </c>
      <c r="AB756" s="2">
        <f t="shared" si="124"/>
        <v>466.44999999999982</v>
      </c>
      <c r="AC756">
        <v>466.45</v>
      </c>
      <c r="AD756" s="11">
        <f t="shared" si="131"/>
        <v>0.17443773793763695</v>
      </c>
      <c r="AE756" t="s">
        <v>33</v>
      </c>
      <c r="AF756" t="s">
        <v>34</v>
      </c>
    </row>
    <row r="757" spans="1:32">
      <c r="A757" t="s">
        <v>2348</v>
      </c>
      <c r="B757" s="2" t="str">
        <f t="shared" si="121"/>
        <v>Unique</v>
      </c>
      <c r="C757" s="2" t="str">
        <f t="shared" si="125"/>
        <v>Jul</v>
      </c>
      <c r="D757" s="2">
        <f t="shared" si="126"/>
        <v>2025</v>
      </c>
      <c r="E757" s="4">
        <v>45858</v>
      </c>
      <c r="F757" s="4">
        <v>45862</v>
      </c>
      <c r="G757" s="6">
        <f t="shared" si="122"/>
        <v>4</v>
      </c>
      <c r="H757" s="6" t="str">
        <f t="shared" si="123"/>
        <v>Valid</v>
      </c>
      <c r="I757" t="s">
        <v>2349</v>
      </c>
      <c r="J757" t="s">
        <v>115</v>
      </c>
      <c r="K757" t="s">
        <v>96</v>
      </c>
      <c r="L757" t="s">
        <v>64</v>
      </c>
      <c r="M757" t="s">
        <v>73</v>
      </c>
      <c r="O757" t="s">
        <v>29</v>
      </c>
      <c r="P757" t="s">
        <v>125</v>
      </c>
      <c r="Q757" t="s">
        <v>2350</v>
      </c>
      <c r="R757" t="s">
        <v>32</v>
      </c>
      <c r="S757">
        <v>5</v>
      </c>
      <c r="T757">
        <v>2481.7399999999998</v>
      </c>
      <c r="U757" s="2">
        <f t="shared" si="127"/>
        <v>9926.9599999999991</v>
      </c>
      <c r="V757" s="13">
        <v>0.2</v>
      </c>
      <c r="W757" s="2">
        <f t="shared" si="128"/>
        <v>0.2</v>
      </c>
      <c r="X757" s="2" t="str">
        <f t="shared" si="129"/>
        <v>Valid</v>
      </c>
      <c r="Y757" s="2" t="str">
        <f t="shared" si="130"/>
        <v>Clean</v>
      </c>
      <c r="Z757">
        <v>9926.9599999999991</v>
      </c>
      <c r="AA757">
        <v>7994.98</v>
      </c>
      <c r="AB757" s="2">
        <f t="shared" si="124"/>
        <v>1931.9799999999996</v>
      </c>
      <c r="AC757">
        <v>1931.98</v>
      </c>
      <c r="AD757" s="11">
        <f t="shared" si="131"/>
        <v>0.19461950083409224</v>
      </c>
      <c r="AE757" t="s">
        <v>33</v>
      </c>
      <c r="AF757" t="s">
        <v>34</v>
      </c>
    </row>
    <row r="758" spans="1:32">
      <c r="A758" t="s">
        <v>2351</v>
      </c>
      <c r="B758" s="2" t="str">
        <f t="shared" si="121"/>
        <v>Unique</v>
      </c>
      <c r="C758" s="2" t="str">
        <f t="shared" si="125"/>
        <v>Oct</v>
      </c>
      <c r="D758" s="2">
        <f t="shared" si="126"/>
        <v>2024</v>
      </c>
      <c r="E758" s="4">
        <v>45592</v>
      </c>
      <c r="F758" s="4">
        <v>45597</v>
      </c>
      <c r="G758" s="6">
        <f t="shared" si="122"/>
        <v>5</v>
      </c>
      <c r="H758" s="6" t="str">
        <f t="shared" si="123"/>
        <v>Valid</v>
      </c>
      <c r="I758" t="s">
        <v>2352</v>
      </c>
      <c r="J758" t="s">
        <v>142</v>
      </c>
      <c r="K758" t="s">
        <v>25</v>
      </c>
      <c r="L758" t="s">
        <v>26</v>
      </c>
      <c r="M758" t="s">
        <v>27</v>
      </c>
      <c r="O758" t="s">
        <v>75</v>
      </c>
      <c r="P758" t="s">
        <v>76</v>
      </c>
      <c r="Q758" t="s">
        <v>2353</v>
      </c>
      <c r="R758" t="s">
        <v>45</v>
      </c>
      <c r="S758">
        <v>7</v>
      </c>
      <c r="T758">
        <v>2177.1</v>
      </c>
      <c r="U758" s="2">
        <f t="shared" si="127"/>
        <v>12191.76</v>
      </c>
      <c r="V758" s="13">
        <v>0.2</v>
      </c>
      <c r="W758" s="2">
        <f t="shared" si="128"/>
        <v>0.2</v>
      </c>
      <c r="X758" s="2" t="str">
        <f t="shared" si="129"/>
        <v>Valid</v>
      </c>
      <c r="Y758" s="2" t="str">
        <f t="shared" si="130"/>
        <v>Clean</v>
      </c>
      <c r="Z758">
        <v>12191.76</v>
      </c>
      <c r="AA758">
        <v>10457.49</v>
      </c>
      <c r="AB758" s="2">
        <f t="shared" si="124"/>
        <v>1734.2700000000004</v>
      </c>
      <c r="AC758">
        <v>1734.27</v>
      </c>
      <c r="AD758" s="11">
        <f t="shared" si="131"/>
        <v>0.14224935530226973</v>
      </c>
      <c r="AE758" t="s">
        <v>33</v>
      </c>
      <c r="AF758" t="s">
        <v>104</v>
      </c>
    </row>
    <row r="759" spans="1:32">
      <c r="A759" t="s">
        <v>2354</v>
      </c>
      <c r="B759" s="2" t="str">
        <f t="shared" si="121"/>
        <v>Unique</v>
      </c>
      <c r="C759" s="2" t="str">
        <f t="shared" si="125"/>
        <v>Aug</v>
      </c>
      <c r="D759" s="2">
        <f t="shared" si="126"/>
        <v>2025</v>
      </c>
      <c r="E759" s="4">
        <v>45870</v>
      </c>
      <c r="F759" s="4">
        <v>45872</v>
      </c>
      <c r="G759" s="6">
        <f t="shared" si="122"/>
        <v>2</v>
      </c>
      <c r="H759" s="6" t="str">
        <f t="shared" si="123"/>
        <v>Valid</v>
      </c>
      <c r="I759" t="s">
        <v>2355</v>
      </c>
      <c r="J759" t="s">
        <v>90</v>
      </c>
      <c r="K759" t="s">
        <v>38</v>
      </c>
      <c r="L759" t="s">
        <v>55</v>
      </c>
      <c r="M759" t="s">
        <v>186</v>
      </c>
      <c r="O759" t="s">
        <v>42</v>
      </c>
      <c r="P759" t="s">
        <v>159</v>
      </c>
      <c r="Q759" t="s">
        <v>2356</v>
      </c>
      <c r="R759" t="s">
        <v>60</v>
      </c>
      <c r="S759">
        <v>3</v>
      </c>
      <c r="T759">
        <v>1904.78</v>
      </c>
      <c r="U759" s="2">
        <f t="shared" si="127"/>
        <v>4285.7550000000001</v>
      </c>
      <c r="V759" s="13">
        <v>0.25</v>
      </c>
      <c r="W759" s="2">
        <f t="shared" si="128"/>
        <v>0.25</v>
      </c>
      <c r="X759" s="2" t="str">
        <f t="shared" si="129"/>
        <v>Valid</v>
      </c>
      <c r="Y759" s="2" t="str">
        <f t="shared" si="130"/>
        <v>Clean</v>
      </c>
      <c r="Z759">
        <v>4285.76</v>
      </c>
      <c r="AA759">
        <v>2386.33</v>
      </c>
      <c r="AB759" s="2">
        <f t="shared" si="124"/>
        <v>1899.4250000000002</v>
      </c>
      <c r="AC759">
        <v>1899.43</v>
      </c>
      <c r="AD759" s="11">
        <f t="shared" si="131"/>
        <v>0.44319560591353691</v>
      </c>
      <c r="AE759" t="s">
        <v>156</v>
      </c>
      <c r="AF759" t="s">
        <v>69</v>
      </c>
    </row>
    <row r="760" spans="1:32">
      <c r="A760" t="s">
        <v>2357</v>
      </c>
      <c r="B760" s="2" t="str">
        <f t="shared" si="121"/>
        <v>Unique</v>
      </c>
      <c r="C760" s="2" t="str">
        <f t="shared" si="125"/>
        <v>May</v>
      </c>
      <c r="D760" s="2">
        <f t="shared" si="126"/>
        <v>2024</v>
      </c>
      <c r="E760" s="4">
        <v>45414</v>
      </c>
      <c r="F760" s="4">
        <v>45422</v>
      </c>
      <c r="G760" s="6">
        <f t="shared" si="122"/>
        <v>8</v>
      </c>
      <c r="H760" s="6" t="str">
        <f t="shared" si="123"/>
        <v>Valid</v>
      </c>
      <c r="I760" t="s">
        <v>2358</v>
      </c>
      <c r="J760" t="s">
        <v>129</v>
      </c>
      <c r="K760" t="s">
        <v>38</v>
      </c>
      <c r="L760" t="s">
        <v>55</v>
      </c>
      <c r="M760" t="s">
        <v>176</v>
      </c>
      <c r="O760" t="s">
        <v>42</v>
      </c>
      <c r="P760" t="s">
        <v>67</v>
      </c>
      <c r="Q760" t="s">
        <v>2359</v>
      </c>
      <c r="R760" t="s">
        <v>60</v>
      </c>
      <c r="S760">
        <v>1</v>
      </c>
      <c r="T760">
        <v>4166.91</v>
      </c>
      <c r="U760" s="2">
        <f t="shared" si="127"/>
        <v>4166.91</v>
      </c>
      <c r="V760" s="13">
        <v>0</v>
      </c>
      <c r="W760" s="2">
        <f t="shared" si="128"/>
        <v>0</v>
      </c>
      <c r="X760" s="2" t="str">
        <f t="shared" si="129"/>
        <v>Valid</v>
      </c>
      <c r="Y760" s="2" t="str">
        <f t="shared" si="130"/>
        <v>Clean</v>
      </c>
      <c r="Z760">
        <v>4166.91</v>
      </c>
      <c r="AA760">
        <v>3412.63</v>
      </c>
      <c r="AB760" s="2">
        <f t="shared" si="124"/>
        <v>754.27999999999975</v>
      </c>
      <c r="AC760">
        <v>754.28</v>
      </c>
      <c r="AD760" s="11">
        <f t="shared" si="131"/>
        <v>0.18101662862888807</v>
      </c>
      <c r="AE760" t="s">
        <v>33</v>
      </c>
      <c r="AF760" t="s">
        <v>34</v>
      </c>
    </row>
    <row r="761" spans="1:32">
      <c r="A761" t="s">
        <v>2360</v>
      </c>
      <c r="B761" s="2" t="str">
        <f t="shared" si="121"/>
        <v>Unique</v>
      </c>
      <c r="C761" s="2" t="str">
        <f t="shared" si="125"/>
        <v>Jul</v>
      </c>
      <c r="D761" s="2">
        <f t="shared" si="126"/>
        <v>2024</v>
      </c>
      <c r="E761" s="4">
        <v>45492</v>
      </c>
      <c r="F761" s="4">
        <v>45499</v>
      </c>
      <c r="G761" s="6">
        <f t="shared" si="122"/>
        <v>7</v>
      </c>
      <c r="H761" s="6" t="str">
        <f t="shared" si="123"/>
        <v>Valid</v>
      </c>
      <c r="I761" t="s">
        <v>2361</v>
      </c>
      <c r="J761" t="s">
        <v>54</v>
      </c>
      <c r="K761" t="s">
        <v>96</v>
      </c>
      <c r="L761" t="s">
        <v>55</v>
      </c>
      <c r="M761" t="s">
        <v>176</v>
      </c>
      <c r="O761" t="s">
        <v>42</v>
      </c>
      <c r="P761" t="s">
        <v>43</v>
      </c>
      <c r="Q761" t="s">
        <v>2362</v>
      </c>
      <c r="R761" t="s">
        <v>32</v>
      </c>
      <c r="S761">
        <v>5</v>
      </c>
      <c r="T761">
        <v>3986.01</v>
      </c>
      <c r="U761" s="2">
        <f t="shared" si="127"/>
        <v>14947.537500000002</v>
      </c>
      <c r="V761" s="13">
        <v>0.25</v>
      </c>
      <c r="W761" s="2">
        <f t="shared" si="128"/>
        <v>0.25</v>
      </c>
      <c r="X761" s="2" t="str">
        <f t="shared" si="129"/>
        <v>Valid</v>
      </c>
      <c r="Y761" s="2" t="str">
        <f t="shared" si="130"/>
        <v>Clean</v>
      </c>
      <c r="Z761">
        <v>14947.54</v>
      </c>
      <c r="AA761">
        <v>9438.4599999999991</v>
      </c>
      <c r="AB761" s="2">
        <f t="shared" si="124"/>
        <v>5509.0775000000031</v>
      </c>
      <c r="AC761">
        <v>5509.08</v>
      </c>
      <c r="AD761" s="11">
        <f t="shared" si="131"/>
        <v>0.36856098060282827</v>
      </c>
      <c r="AE761" t="s">
        <v>33</v>
      </c>
      <c r="AF761" t="s">
        <v>34</v>
      </c>
    </row>
    <row r="762" spans="1:32">
      <c r="A762" t="s">
        <v>2363</v>
      </c>
      <c r="B762" s="2" t="str">
        <f t="shared" si="121"/>
        <v>Unique</v>
      </c>
      <c r="C762" s="2" t="str">
        <f t="shared" si="125"/>
        <v>Aug</v>
      </c>
      <c r="D762" s="2">
        <f t="shared" si="126"/>
        <v>2024</v>
      </c>
      <c r="E762" s="4">
        <v>45532</v>
      </c>
      <c r="F762" s="4">
        <v>45537</v>
      </c>
      <c r="G762" s="6">
        <f t="shared" si="122"/>
        <v>5</v>
      </c>
      <c r="H762" s="6" t="str">
        <f t="shared" si="123"/>
        <v>Valid</v>
      </c>
      <c r="I762" t="s">
        <v>2364</v>
      </c>
      <c r="J762" t="s">
        <v>90</v>
      </c>
      <c r="K762" t="s">
        <v>96</v>
      </c>
      <c r="L762" t="s">
        <v>39</v>
      </c>
      <c r="M762" t="s">
        <v>167</v>
      </c>
      <c r="O762" t="s">
        <v>29</v>
      </c>
      <c r="P762" t="s">
        <v>49</v>
      </c>
      <c r="Q762" t="s">
        <v>2365</v>
      </c>
      <c r="R762" t="s">
        <v>32</v>
      </c>
      <c r="S762">
        <v>4</v>
      </c>
      <c r="T762">
        <v>3365.53</v>
      </c>
      <c r="U762" s="2">
        <f t="shared" si="127"/>
        <v>13462.12</v>
      </c>
      <c r="V762" s="13">
        <v>0</v>
      </c>
      <c r="W762" s="2">
        <f t="shared" si="128"/>
        <v>0</v>
      </c>
      <c r="X762" s="2" t="str">
        <f t="shared" si="129"/>
        <v>Valid</v>
      </c>
      <c r="Y762" s="2" t="str">
        <f t="shared" si="130"/>
        <v>Clean</v>
      </c>
      <c r="Z762">
        <v>13462.12</v>
      </c>
      <c r="AA762">
        <v>7600.63</v>
      </c>
      <c r="AB762" s="2">
        <f t="shared" si="124"/>
        <v>5861.4900000000007</v>
      </c>
      <c r="AC762">
        <v>5861.49</v>
      </c>
      <c r="AD762" s="11">
        <f t="shared" si="131"/>
        <v>0.43540616188237807</v>
      </c>
      <c r="AE762" t="s">
        <v>112</v>
      </c>
      <c r="AF762" t="s">
        <v>104</v>
      </c>
    </row>
    <row r="763" spans="1:32">
      <c r="A763" t="s">
        <v>2366</v>
      </c>
      <c r="B763" s="2" t="str">
        <f t="shared" si="121"/>
        <v>Unique</v>
      </c>
      <c r="C763" s="2" t="str">
        <f t="shared" si="125"/>
        <v>Aug</v>
      </c>
      <c r="D763" s="2">
        <f t="shared" si="126"/>
        <v>2025</v>
      </c>
      <c r="E763" s="4">
        <v>45896</v>
      </c>
      <c r="F763" s="4">
        <v>45900</v>
      </c>
      <c r="G763" s="6">
        <f t="shared" si="122"/>
        <v>4</v>
      </c>
      <c r="H763" s="6" t="str">
        <f t="shared" si="123"/>
        <v>Valid</v>
      </c>
      <c r="I763" t="s">
        <v>2367</v>
      </c>
      <c r="J763" t="s">
        <v>48</v>
      </c>
      <c r="K763" t="s">
        <v>25</v>
      </c>
      <c r="L763" t="s">
        <v>55</v>
      </c>
      <c r="M763" t="s">
        <v>176</v>
      </c>
      <c r="O763" t="s">
        <v>75</v>
      </c>
      <c r="P763" t="s">
        <v>275</v>
      </c>
      <c r="Q763" t="s">
        <v>2368</v>
      </c>
      <c r="R763" t="s">
        <v>51</v>
      </c>
      <c r="S763">
        <v>3</v>
      </c>
      <c r="T763">
        <v>2489.12</v>
      </c>
      <c r="U763" s="2">
        <f t="shared" si="127"/>
        <v>7467.36</v>
      </c>
      <c r="V763" s="13">
        <v>0</v>
      </c>
      <c r="W763" s="2">
        <f t="shared" si="128"/>
        <v>0</v>
      </c>
      <c r="X763" s="2" t="str">
        <f t="shared" si="129"/>
        <v>Valid</v>
      </c>
      <c r="Y763" s="2" t="str">
        <f t="shared" si="130"/>
        <v>Clean</v>
      </c>
      <c r="Z763">
        <v>7467.36</v>
      </c>
      <c r="AA763">
        <v>5010.6099999999997</v>
      </c>
      <c r="AB763" s="2">
        <f t="shared" si="124"/>
        <v>2456.75</v>
      </c>
      <c r="AC763">
        <v>2456.75</v>
      </c>
      <c r="AD763" s="11">
        <f t="shared" si="131"/>
        <v>0.32899846799940008</v>
      </c>
      <c r="AE763" t="s">
        <v>33</v>
      </c>
      <c r="AF763" t="s">
        <v>34</v>
      </c>
    </row>
    <row r="764" spans="1:32">
      <c r="A764" t="s">
        <v>2369</v>
      </c>
      <c r="B764" s="2" t="str">
        <f t="shared" si="121"/>
        <v>Unique</v>
      </c>
      <c r="C764" s="2" t="str">
        <f t="shared" si="125"/>
        <v>Jan</v>
      </c>
      <c r="D764" s="2">
        <f t="shared" si="126"/>
        <v>2024</v>
      </c>
      <c r="E764" s="4">
        <v>45292</v>
      </c>
      <c r="F764" s="4">
        <v>45296</v>
      </c>
      <c r="G764" s="6">
        <f t="shared" si="122"/>
        <v>4</v>
      </c>
      <c r="H764" s="6" t="str">
        <f t="shared" si="123"/>
        <v>Valid</v>
      </c>
      <c r="I764" t="s">
        <v>2370</v>
      </c>
      <c r="J764" t="s">
        <v>163</v>
      </c>
      <c r="K764" t="s">
        <v>91</v>
      </c>
      <c r="L764" t="s">
        <v>64</v>
      </c>
      <c r="M764" t="s">
        <v>73</v>
      </c>
      <c r="O764" t="s">
        <v>75</v>
      </c>
      <c r="P764" t="s">
        <v>275</v>
      </c>
      <c r="Q764" t="s">
        <v>2371</v>
      </c>
      <c r="R764" t="s">
        <v>32</v>
      </c>
      <c r="S764">
        <v>2</v>
      </c>
      <c r="T764">
        <v>3694.12</v>
      </c>
      <c r="U764" s="2">
        <f t="shared" si="127"/>
        <v>5910.5920000000006</v>
      </c>
      <c r="V764" s="13">
        <v>0.2</v>
      </c>
      <c r="W764" s="2">
        <f t="shared" si="128"/>
        <v>0.2</v>
      </c>
      <c r="X764" s="2" t="str">
        <f t="shared" si="129"/>
        <v>Valid</v>
      </c>
      <c r="Y764" s="2" t="str">
        <f t="shared" si="130"/>
        <v>Clean</v>
      </c>
      <c r="Z764">
        <v>5910.59</v>
      </c>
      <c r="AA764">
        <v>4775.4399999999996</v>
      </c>
      <c r="AB764" s="2">
        <f t="shared" si="124"/>
        <v>1135.152000000001</v>
      </c>
      <c r="AC764">
        <v>1135.1500000000001</v>
      </c>
      <c r="AD764" s="11">
        <f t="shared" si="131"/>
        <v>0.19205358517508406</v>
      </c>
      <c r="AE764" t="s">
        <v>103</v>
      </c>
      <c r="AF764" t="s">
        <v>104</v>
      </c>
    </row>
    <row r="765" spans="1:32">
      <c r="A765" t="s">
        <v>2372</v>
      </c>
      <c r="B765" s="2" t="str">
        <f t="shared" si="121"/>
        <v>Unique</v>
      </c>
      <c r="C765" s="2" t="str">
        <f t="shared" si="125"/>
        <v>Aug</v>
      </c>
      <c r="D765" s="2">
        <f t="shared" si="126"/>
        <v>2025</v>
      </c>
      <c r="E765" s="4">
        <v>45892</v>
      </c>
      <c r="F765" s="4">
        <v>45894</v>
      </c>
      <c r="G765" s="6">
        <f t="shared" si="122"/>
        <v>2</v>
      </c>
      <c r="H765" s="6" t="str">
        <f t="shared" si="123"/>
        <v>Valid</v>
      </c>
      <c r="I765" t="s">
        <v>2373</v>
      </c>
      <c r="J765" t="s">
        <v>163</v>
      </c>
      <c r="K765" t="s">
        <v>25</v>
      </c>
      <c r="L765" t="s">
        <v>26</v>
      </c>
      <c r="M765" t="s">
        <v>27</v>
      </c>
      <c r="O765" t="s">
        <v>42</v>
      </c>
      <c r="P765" t="s">
        <v>58</v>
      </c>
      <c r="Q765" t="s">
        <v>2374</v>
      </c>
      <c r="R765" t="s">
        <v>45</v>
      </c>
      <c r="S765">
        <v>6</v>
      </c>
      <c r="T765">
        <v>2742.48</v>
      </c>
      <c r="U765" s="2">
        <f t="shared" si="127"/>
        <v>16454.88</v>
      </c>
      <c r="V765" s="13">
        <v>0</v>
      </c>
      <c r="W765" s="2">
        <f t="shared" si="128"/>
        <v>0</v>
      </c>
      <c r="X765" s="2" t="str">
        <f t="shared" si="129"/>
        <v>Valid</v>
      </c>
      <c r="Y765" s="2" t="str">
        <f t="shared" si="130"/>
        <v>Clean</v>
      </c>
      <c r="Z765">
        <v>16454.88</v>
      </c>
      <c r="AA765">
        <v>12081.54</v>
      </c>
      <c r="AB765" s="2">
        <f t="shared" si="124"/>
        <v>4373.34</v>
      </c>
      <c r="AC765">
        <v>4373.34</v>
      </c>
      <c r="AD765" s="11">
        <f t="shared" si="131"/>
        <v>0.26577769026574488</v>
      </c>
      <c r="AE765" t="s">
        <v>33</v>
      </c>
      <c r="AF765" t="s">
        <v>34</v>
      </c>
    </row>
    <row r="766" spans="1:32">
      <c r="A766" t="s">
        <v>2375</v>
      </c>
      <c r="B766" s="2" t="str">
        <f t="shared" si="121"/>
        <v>Unique</v>
      </c>
      <c r="C766" s="2" t="str">
        <f t="shared" si="125"/>
        <v>Apr</v>
      </c>
      <c r="D766" s="2">
        <f t="shared" si="126"/>
        <v>2025</v>
      </c>
      <c r="E766" s="4">
        <v>45760</v>
      </c>
      <c r="F766" s="4">
        <v>45760</v>
      </c>
      <c r="G766" s="6">
        <f t="shared" si="122"/>
        <v>0</v>
      </c>
      <c r="H766" s="6" t="str">
        <f t="shared" si="123"/>
        <v>Valid</v>
      </c>
      <c r="I766" t="s">
        <v>887</v>
      </c>
      <c r="J766" t="s">
        <v>115</v>
      </c>
      <c r="K766" t="s">
        <v>91</v>
      </c>
      <c r="L766" t="s">
        <v>55</v>
      </c>
      <c r="M766" t="s">
        <v>186</v>
      </c>
      <c r="O766" t="s">
        <v>42</v>
      </c>
      <c r="P766" t="s">
        <v>159</v>
      </c>
      <c r="Q766" t="s">
        <v>2376</v>
      </c>
      <c r="R766" t="s">
        <v>51</v>
      </c>
      <c r="S766">
        <v>6</v>
      </c>
      <c r="T766">
        <v>4414</v>
      </c>
      <c r="U766" s="2">
        <f t="shared" si="127"/>
        <v>25159.8</v>
      </c>
      <c r="V766" s="13">
        <v>0.05</v>
      </c>
      <c r="W766" s="2">
        <f t="shared" si="128"/>
        <v>0.05</v>
      </c>
      <c r="X766" s="2" t="str">
        <f t="shared" si="129"/>
        <v>Valid</v>
      </c>
      <c r="Y766" s="2" t="str">
        <f t="shared" si="130"/>
        <v>Clean</v>
      </c>
      <c r="Z766">
        <v>25159.8</v>
      </c>
      <c r="AA766">
        <v>21606.83</v>
      </c>
      <c r="AB766" s="2">
        <f t="shared" si="124"/>
        <v>3552.9699999999975</v>
      </c>
      <c r="AC766">
        <v>3552.97</v>
      </c>
      <c r="AD766" s="11">
        <f t="shared" si="131"/>
        <v>0.14121614639226066</v>
      </c>
      <c r="AE766" t="s">
        <v>33</v>
      </c>
      <c r="AF766" t="s">
        <v>34</v>
      </c>
    </row>
    <row r="767" spans="1:32">
      <c r="A767" t="s">
        <v>2377</v>
      </c>
      <c r="B767" s="2" t="str">
        <f t="shared" si="121"/>
        <v>Unique</v>
      </c>
      <c r="C767" s="2" t="str">
        <f t="shared" si="125"/>
        <v>Jun</v>
      </c>
      <c r="D767" s="2">
        <f t="shared" si="126"/>
        <v>2025</v>
      </c>
      <c r="E767" s="4">
        <v>45837</v>
      </c>
      <c r="F767" s="4">
        <v>45841</v>
      </c>
      <c r="G767" s="6">
        <f t="shared" si="122"/>
        <v>4</v>
      </c>
      <c r="H767" s="6" t="str">
        <f t="shared" si="123"/>
        <v>Valid</v>
      </c>
      <c r="I767" t="s">
        <v>2378</v>
      </c>
      <c r="J767" t="s">
        <v>72</v>
      </c>
      <c r="K767" t="s">
        <v>91</v>
      </c>
      <c r="L767" t="s">
        <v>39</v>
      </c>
      <c r="M767" t="s">
        <v>229</v>
      </c>
      <c r="O767" t="s">
        <v>29</v>
      </c>
      <c r="P767" t="s">
        <v>92</v>
      </c>
      <c r="Q767" t="s">
        <v>2379</v>
      </c>
      <c r="R767" t="s">
        <v>51</v>
      </c>
      <c r="S767">
        <v>3</v>
      </c>
      <c r="T767">
        <v>608.14</v>
      </c>
      <c r="U767" s="2">
        <f t="shared" si="127"/>
        <v>1824.42</v>
      </c>
      <c r="V767" s="13">
        <v>0</v>
      </c>
      <c r="W767" s="2">
        <f t="shared" si="128"/>
        <v>0</v>
      </c>
      <c r="X767" s="2" t="str">
        <f t="shared" si="129"/>
        <v>Valid</v>
      </c>
      <c r="Y767" s="2" t="str">
        <f t="shared" si="130"/>
        <v>Clean</v>
      </c>
      <c r="Z767">
        <v>1824.42</v>
      </c>
      <c r="AA767">
        <v>1214.8699999999999</v>
      </c>
      <c r="AB767" s="2">
        <f t="shared" si="124"/>
        <v>609.55000000000018</v>
      </c>
      <c r="AC767">
        <v>609.54999999999995</v>
      </c>
      <c r="AD767" s="11">
        <f t="shared" si="131"/>
        <v>0.33410618169061945</v>
      </c>
      <c r="AE767" t="s">
        <v>33</v>
      </c>
      <c r="AF767" t="s">
        <v>34</v>
      </c>
    </row>
    <row r="768" spans="1:32">
      <c r="A768" t="s">
        <v>2380</v>
      </c>
      <c r="B768" s="2" t="str">
        <f t="shared" si="121"/>
        <v>Unique</v>
      </c>
      <c r="C768" s="2" t="str">
        <f t="shared" si="125"/>
        <v>Sep</v>
      </c>
      <c r="D768" s="2">
        <f t="shared" si="126"/>
        <v>2024</v>
      </c>
      <c r="E768" s="4">
        <v>45552</v>
      </c>
      <c r="F768" s="4">
        <v>45559</v>
      </c>
      <c r="G768" s="6">
        <f t="shared" si="122"/>
        <v>7</v>
      </c>
      <c r="H768" s="6" t="str">
        <f t="shared" si="123"/>
        <v>Valid</v>
      </c>
      <c r="I768" t="s">
        <v>2381</v>
      </c>
      <c r="J768" t="s">
        <v>37</v>
      </c>
      <c r="K768" t="s">
        <v>91</v>
      </c>
      <c r="L768" t="s">
        <v>64</v>
      </c>
      <c r="M768" t="s">
        <v>181</v>
      </c>
      <c r="O768" t="s">
        <v>29</v>
      </c>
      <c r="P768" t="s">
        <v>49</v>
      </c>
      <c r="Q768" t="s">
        <v>2382</v>
      </c>
      <c r="R768" t="s">
        <v>32</v>
      </c>
      <c r="S768">
        <v>9</v>
      </c>
      <c r="T768">
        <v>2307.96</v>
      </c>
      <c r="U768" s="2">
        <f t="shared" si="127"/>
        <v>16617.312000000002</v>
      </c>
      <c r="V768" s="13">
        <v>0.2</v>
      </c>
      <c r="W768" s="2">
        <f t="shared" si="128"/>
        <v>0.2</v>
      </c>
      <c r="X768" s="2" t="str">
        <f t="shared" si="129"/>
        <v>Valid</v>
      </c>
      <c r="Y768" s="2" t="str">
        <f t="shared" si="130"/>
        <v>Clean</v>
      </c>
      <c r="Z768">
        <v>16617.310000000001</v>
      </c>
      <c r="AA768">
        <v>9195.73</v>
      </c>
      <c r="AB768" s="2">
        <f t="shared" si="124"/>
        <v>7421.5820000000022</v>
      </c>
      <c r="AC768">
        <v>7421.58</v>
      </c>
      <c r="AD768" s="11">
        <f t="shared" si="131"/>
        <v>0.44661741280628448</v>
      </c>
      <c r="AE768" t="s">
        <v>33</v>
      </c>
      <c r="AF768" t="s">
        <v>69</v>
      </c>
    </row>
    <row r="769" spans="1:32">
      <c r="A769" t="s">
        <v>2383</v>
      </c>
      <c r="B769" s="2" t="str">
        <f t="shared" si="121"/>
        <v>Unique</v>
      </c>
      <c r="C769" s="2" t="str">
        <f t="shared" si="125"/>
        <v>May</v>
      </c>
      <c r="D769" s="2">
        <f t="shared" si="126"/>
        <v>2024</v>
      </c>
      <c r="E769" s="4">
        <v>45415</v>
      </c>
      <c r="F769" s="4">
        <v>45418</v>
      </c>
      <c r="G769" s="6">
        <f t="shared" si="122"/>
        <v>3</v>
      </c>
      <c r="H769" s="6" t="str">
        <f t="shared" si="123"/>
        <v>Valid</v>
      </c>
      <c r="I769" t="s">
        <v>2384</v>
      </c>
      <c r="J769" t="s">
        <v>63</v>
      </c>
      <c r="K769" t="s">
        <v>96</v>
      </c>
      <c r="L769" t="s">
        <v>26</v>
      </c>
      <c r="M769" t="s">
        <v>137</v>
      </c>
      <c r="O769" t="s">
        <v>29</v>
      </c>
      <c r="P769" t="s">
        <v>154</v>
      </c>
      <c r="Q769" t="s">
        <v>2385</v>
      </c>
      <c r="R769" t="s">
        <v>60</v>
      </c>
      <c r="S769">
        <v>1</v>
      </c>
      <c r="T769">
        <v>1244.58</v>
      </c>
      <c r="U769" s="2">
        <f t="shared" si="127"/>
        <v>933.43499999999995</v>
      </c>
      <c r="V769" s="13">
        <v>0.25</v>
      </c>
      <c r="W769" s="2">
        <f t="shared" si="128"/>
        <v>0.25</v>
      </c>
      <c r="X769" s="2" t="str">
        <f t="shared" si="129"/>
        <v>Valid</v>
      </c>
      <c r="Y769" s="2" t="str">
        <f t="shared" si="130"/>
        <v>Clean</v>
      </c>
      <c r="Z769">
        <v>933.43</v>
      </c>
      <c r="AA769">
        <v>583.09</v>
      </c>
      <c r="AB769" s="2">
        <f t="shared" si="124"/>
        <v>350.34499999999991</v>
      </c>
      <c r="AC769">
        <v>350.34</v>
      </c>
      <c r="AD769" s="11">
        <f t="shared" si="131"/>
        <v>0.37532541272511061</v>
      </c>
      <c r="AE769" t="s">
        <v>33</v>
      </c>
      <c r="AF769" t="s">
        <v>34</v>
      </c>
    </row>
    <row r="770" spans="1:32">
      <c r="A770" t="s">
        <v>2386</v>
      </c>
      <c r="B770" s="2" t="str">
        <f t="shared" ref="B770:B833" si="132">IF(COUNTIF($A:$A,A770)&gt;1,"Duplicate Order ID","Unique")</f>
        <v>Unique</v>
      </c>
      <c r="C770" s="2" t="str">
        <f t="shared" si="125"/>
        <v>Apr</v>
      </c>
      <c r="D770" s="2">
        <f t="shared" si="126"/>
        <v>2025</v>
      </c>
      <c r="E770" s="4">
        <v>45749</v>
      </c>
      <c r="F770" s="4">
        <v>45751</v>
      </c>
      <c r="G770" s="6">
        <f t="shared" ref="G770:G833" si="133">F770-E770</f>
        <v>2</v>
      </c>
      <c r="H770" s="6" t="str">
        <f t="shared" ref="H770:H833" si="134">IF(G770&lt;0,"Invalid: Ship Date Before Order Date","Valid")</f>
        <v>Valid</v>
      </c>
      <c r="I770" t="s">
        <v>2387</v>
      </c>
      <c r="J770" t="s">
        <v>133</v>
      </c>
      <c r="K770" t="s">
        <v>96</v>
      </c>
      <c r="L770" t="s">
        <v>39</v>
      </c>
      <c r="M770" t="s">
        <v>229</v>
      </c>
      <c r="O770" t="s">
        <v>29</v>
      </c>
      <c r="P770" t="s">
        <v>30</v>
      </c>
      <c r="Q770" t="s">
        <v>2388</v>
      </c>
      <c r="R770" t="s">
        <v>45</v>
      </c>
      <c r="S770">
        <v>5</v>
      </c>
      <c r="T770">
        <v>3234.24</v>
      </c>
      <c r="U770" s="2">
        <f t="shared" si="127"/>
        <v>14554.08</v>
      </c>
      <c r="V770" s="13">
        <v>0.1</v>
      </c>
      <c r="W770" s="2">
        <f t="shared" si="128"/>
        <v>0.1</v>
      </c>
      <c r="X770" s="2" t="str">
        <f t="shared" si="129"/>
        <v>Valid</v>
      </c>
      <c r="Y770" s="2" t="str">
        <f t="shared" si="130"/>
        <v>Clean</v>
      </c>
      <c r="Z770">
        <v>14554.08</v>
      </c>
      <c r="AA770">
        <v>11166.84</v>
      </c>
      <c r="AB770" s="2">
        <f t="shared" ref="AB770:AB833" si="135">IF(ISNUMBER(U770),U770-AA770,"Invalid")</f>
        <v>3387.24</v>
      </c>
      <c r="AC770">
        <v>3387.24</v>
      </c>
      <c r="AD770" s="11">
        <f t="shared" si="131"/>
        <v>0.23273473830018798</v>
      </c>
      <c r="AE770" t="s">
        <v>33</v>
      </c>
      <c r="AF770" t="s">
        <v>34</v>
      </c>
    </row>
    <row r="771" spans="1:32">
      <c r="A771" t="s">
        <v>2389</v>
      </c>
      <c r="B771" s="2" t="str">
        <f t="shared" si="132"/>
        <v>Unique</v>
      </c>
      <c r="C771" s="2" t="str">
        <f t="shared" ref="C771:C834" si="136">TEXT(E771,"mmm")</f>
        <v>May</v>
      </c>
      <c r="D771" s="2">
        <f t="shared" ref="D771:D834" si="137">YEAR(E771)</f>
        <v>2024</v>
      </c>
      <c r="E771" s="4">
        <v>45423</v>
      </c>
      <c r="F771" s="4">
        <v>45425</v>
      </c>
      <c r="G771" s="6">
        <f t="shared" si="133"/>
        <v>2</v>
      </c>
      <c r="H771" s="6" t="str">
        <f t="shared" si="134"/>
        <v>Valid</v>
      </c>
      <c r="I771" t="s">
        <v>2390</v>
      </c>
      <c r="J771" t="s">
        <v>115</v>
      </c>
      <c r="K771" t="s">
        <v>96</v>
      </c>
      <c r="L771" t="s">
        <v>64</v>
      </c>
      <c r="M771" t="s">
        <v>191</v>
      </c>
      <c r="O771" t="s">
        <v>42</v>
      </c>
      <c r="P771" t="s">
        <v>159</v>
      </c>
      <c r="Q771" t="s">
        <v>2391</v>
      </c>
      <c r="R771" t="s">
        <v>45</v>
      </c>
      <c r="S771">
        <v>3</v>
      </c>
      <c r="T771">
        <v>3612.75</v>
      </c>
      <c r="U771" s="2">
        <f t="shared" ref="U771:U834" si="138">IF(ISNUMBER(W771),S771*T771*(1-W771),"Invalid")</f>
        <v>8128.6875</v>
      </c>
      <c r="V771" s="13">
        <v>0.25</v>
      </c>
      <c r="W771" s="2">
        <f t="shared" ref="W771:W804" si="139">IF(OR(V771&lt;0,V771&gt;1),"Invalid",V771)</f>
        <v>0.25</v>
      </c>
      <c r="X771" s="2" t="str">
        <f t="shared" ref="X771:X834" si="140">IF(OR(V771&lt;0,V771&gt;1),"Invalid","Valid")</f>
        <v>Valid</v>
      </c>
      <c r="Y771" s="2" t="str">
        <f t="shared" ref="Y771:Y834" si="141">IF(AND(H771="Valid",X771="Valid"),"Clean","Invalid")</f>
        <v>Clean</v>
      </c>
      <c r="Z771">
        <v>8128.69</v>
      </c>
      <c r="AA771">
        <v>5071.66</v>
      </c>
      <c r="AB771" s="2">
        <f t="shared" si="135"/>
        <v>3057.0275000000001</v>
      </c>
      <c r="AC771">
        <v>3057.03</v>
      </c>
      <c r="AD771" s="11">
        <f t="shared" ref="AD771:AD834" si="142">AC771/Z771</f>
        <v>0.37607904840755402</v>
      </c>
      <c r="AE771" t="s">
        <v>33</v>
      </c>
      <c r="AF771" t="s">
        <v>34</v>
      </c>
    </row>
    <row r="772" spans="1:32">
      <c r="A772" t="s">
        <v>2392</v>
      </c>
      <c r="B772" s="2" t="str">
        <f t="shared" si="132"/>
        <v>Unique</v>
      </c>
      <c r="C772" s="2" t="str">
        <f t="shared" si="136"/>
        <v>Feb</v>
      </c>
      <c r="D772" s="2">
        <f t="shared" si="137"/>
        <v>2024</v>
      </c>
      <c r="E772" s="4">
        <v>45337</v>
      </c>
      <c r="F772" s="4">
        <v>45339</v>
      </c>
      <c r="G772" s="6">
        <f t="shared" si="133"/>
        <v>2</v>
      </c>
      <c r="H772" s="6" t="str">
        <f t="shared" si="134"/>
        <v>Valid</v>
      </c>
      <c r="I772" t="s">
        <v>2393</v>
      </c>
      <c r="J772" t="s">
        <v>80</v>
      </c>
      <c r="K772" t="s">
        <v>25</v>
      </c>
      <c r="L772" t="s">
        <v>26</v>
      </c>
      <c r="M772" t="s">
        <v>137</v>
      </c>
      <c r="O772" t="s">
        <v>75</v>
      </c>
      <c r="P772" t="s">
        <v>81</v>
      </c>
      <c r="Q772" t="s">
        <v>2394</v>
      </c>
      <c r="R772" t="s">
        <v>51</v>
      </c>
      <c r="S772">
        <v>4</v>
      </c>
      <c r="T772">
        <v>863</v>
      </c>
      <c r="U772" s="2">
        <f t="shared" si="138"/>
        <v>3452</v>
      </c>
      <c r="V772" s="13">
        <v>0</v>
      </c>
      <c r="W772" s="2">
        <f t="shared" si="139"/>
        <v>0</v>
      </c>
      <c r="X772" s="2" t="str">
        <f t="shared" si="140"/>
        <v>Valid</v>
      </c>
      <c r="Y772" s="2" t="str">
        <f t="shared" si="141"/>
        <v>Clean</v>
      </c>
      <c r="Z772">
        <v>3106.8</v>
      </c>
      <c r="AA772">
        <v>2376.62</v>
      </c>
      <c r="AB772" s="2">
        <f t="shared" si="135"/>
        <v>1075.3800000000001</v>
      </c>
      <c r="AC772">
        <v>730.18</v>
      </c>
      <c r="AD772" s="11">
        <f t="shared" si="142"/>
        <v>0.23502639371700781</v>
      </c>
      <c r="AE772" t="s">
        <v>33</v>
      </c>
      <c r="AF772" t="s">
        <v>34</v>
      </c>
    </row>
    <row r="773" spans="1:32">
      <c r="A773" t="s">
        <v>2395</v>
      </c>
      <c r="B773" s="2" t="str">
        <f t="shared" si="132"/>
        <v>Unique</v>
      </c>
      <c r="C773" s="2" t="str">
        <f t="shared" si="136"/>
        <v>Jul</v>
      </c>
      <c r="D773" s="2">
        <f t="shared" si="137"/>
        <v>2024</v>
      </c>
      <c r="E773" s="4">
        <v>45485</v>
      </c>
      <c r="F773" s="4">
        <v>45487</v>
      </c>
      <c r="G773" s="6">
        <f t="shared" si="133"/>
        <v>2</v>
      </c>
      <c r="H773" s="6" t="str">
        <f t="shared" si="134"/>
        <v>Valid</v>
      </c>
      <c r="I773" t="s">
        <v>469</v>
      </c>
      <c r="J773" t="s">
        <v>63</v>
      </c>
      <c r="K773" t="s">
        <v>25</v>
      </c>
      <c r="L773" t="s">
        <v>26</v>
      </c>
      <c r="M773" t="s">
        <v>237</v>
      </c>
      <c r="O773" t="s">
        <v>75</v>
      </c>
      <c r="P773" t="s">
        <v>275</v>
      </c>
      <c r="Q773" t="s">
        <v>2396</v>
      </c>
      <c r="R773" t="s">
        <v>32</v>
      </c>
      <c r="S773">
        <v>4</v>
      </c>
      <c r="T773">
        <v>2131.41</v>
      </c>
      <c r="U773" s="2">
        <f t="shared" si="138"/>
        <v>8525.64</v>
      </c>
      <c r="V773" s="13">
        <v>0</v>
      </c>
      <c r="W773" s="2">
        <f t="shared" si="139"/>
        <v>0</v>
      </c>
      <c r="X773" s="2" t="str">
        <f t="shared" si="140"/>
        <v>Valid</v>
      </c>
      <c r="Y773" s="2" t="str">
        <f t="shared" si="141"/>
        <v>Clean</v>
      </c>
      <c r="Z773">
        <v>6394.23</v>
      </c>
      <c r="AA773">
        <v>3520.69</v>
      </c>
      <c r="AB773" s="2">
        <f t="shared" si="135"/>
        <v>5004.9499999999989</v>
      </c>
      <c r="AC773">
        <v>2873.54</v>
      </c>
      <c r="AD773" s="11">
        <f t="shared" si="142"/>
        <v>0.44939578338595892</v>
      </c>
      <c r="AE773" t="s">
        <v>33</v>
      </c>
      <c r="AF773" t="s">
        <v>34</v>
      </c>
    </row>
    <row r="774" spans="1:32">
      <c r="A774" t="s">
        <v>2397</v>
      </c>
      <c r="B774" s="2" t="str">
        <f t="shared" si="132"/>
        <v>Unique</v>
      </c>
      <c r="C774" s="2" t="str">
        <f t="shared" si="136"/>
        <v>Jul</v>
      </c>
      <c r="D774" s="2">
        <f t="shared" si="137"/>
        <v>2025</v>
      </c>
      <c r="E774" s="4">
        <v>45853</v>
      </c>
      <c r="F774" s="4">
        <v>45857</v>
      </c>
      <c r="G774" s="6">
        <f t="shared" si="133"/>
        <v>4</v>
      </c>
      <c r="H774" s="6" t="str">
        <f t="shared" si="134"/>
        <v>Valid</v>
      </c>
      <c r="I774" t="s">
        <v>2398</v>
      </c>
      <c r="J774" t="s">
        <v>163</v>
      </c>
      <c r="K774" t="s">
        <v>25</v>
      </c>
      <c r="L774" t="s">
        <v>55</v>
      </c>
      <c r="M774" t="s">
        <v>248</v>
      </c>
      <c r="O774" t="s">
        <v>42</v>
      </c>
      <c r="P774" t="s">
        <v>67</v>
      </c>
      <c r="Q774" t="s">
        <v>2399</v>
      </c>
      <c r="R774" t="s">
        <v>45</v>
      </c>
      <c r="S774">
        <v>1</v>
      </c>
      <c r="T774">
        <v>3903.22</v>
      </c>
      <c r="U774" s="2">
        <f t="shared" si="138"/>
        <v>3708.0589999999997</v>
      </c>
      <c r="V774" s="13">
        <v>0.05</v>
      </c>
      <c r="W774" s="2">
        <f t="shared" si="139"/>
        <v>0.05</v>
      </c>
      <c r="X774" s="2" t="str">
        <f t="shared" si="140"/>
        <v>Valid</v>
      </c>
      <c r="Y774" s="2" t="str">
        <f t="shared" si="141"/>
        <v>Clean</v>
      </c>
      <c r="Z774">
        <v>3708.06</v>
      </c>
      <c r="AA774">
        <v>2760.29</v>
      </c>
      <c r="AB774" s="2">
        <f t="shared" si="135"/>
        <v>947.76899999999978</v>
      </c>
      <c r="AC774">
        <v>947.77</v>
      </c>
      <c r="AD774" s="11">
        <f t="shared" si="142"/>
        <v>0.25559726649514841</v>
      </c>
      <c r="AE774" t="s">
        <v>112</v>
      </c>
      <c r="AF774" t="s">
        <v>69</v>
      </c>
    </row>
    <row r="775" spans="1:32">
      <c r="A775" t="s">
        <v>2400</v>
      </c>
      <c r="B775" s="2" t="str">
        <f t="shared" si="132"/>
        <v>Unique</v>
      </c>
      <c r="C775" s="2" t="str">
        <f t="shared" si="136"/>
        <v>Feb</v>
      </c>
      <c r="D775" s="2">
        <f t="shared" si="137"/>
        <v>2025</v>
      </c>
      <c r="E775" s="4">
        <v>45709</v>
      </c>
      <c r="F775" s="4">
        <v>45709</v>
      </c>
      <c r="G775" s="6">
        <f t="shared" si="133"/>
        <v>0</v>
      </c>
      <c r="H775" s="6" t="str">
        <f t="shared" si="134"/>
        <v>Valid</v>
      </c>
      <c r="I775" t="s">
        <v>2401</v>
      </c>
      <c r="J775" t="s">
        <v>24</v>
      </c>
      <c r="K775" t="s">
        <v>96</v>
      </c>
      <c r="L775" t="s">
        <v>64</v>
      </c>
      <c r="M775" t="s">
        <v>181</v>
      </c>
      <c r="O775" t="s">
        <v>75</v>
      </c>
      <c r="P775" t="s">
        <v>172</v>
      </c>
      <c r="Q775" t="s">
        <v>2402</v>
      </c>
      <c r="R775" s="2" t="s">
        <v>2793</v>
      </c>
      <c r="S775">
        <v>4</v>
      </c>
      <c r="T775">
        <v>2945.07</v>
      </c>
      <c r="U775" s="2">
        <f t="shared" si="138"/>
        <v>9424.2240000000002</v>
      </c>
      <c r="V775" s="13">
        <v>0.2</v>
      </c>
      <c r="W775" s="2">
        <f t="shared" si="139"/>
        <v>0.2</v>
      </c>
      <c r="X775" s="2" t="str">
        <f t="shared" si="140"/>
        <v>Valid</v>
      </c>
      <c r="Y775" s="2" t="str">
        <f t="shared" si="141"/>
        <v>Clean</v>
      </c>
      <c r="Z775">
        <v>9424.2199999999993</v>
      </c>
      <c r="AA775">
        <v>6178.92</v>
      </c>
      <c r="AB775" s="2">
        <f t="shared" si="135"/>
        <v>3245.3040000000001</v>
      </c>
      <c r="AC775">
        <v>3245.3</v>
      </c>
      <c r="AD775" s="11">
        <f t="shared" si="142"/>
        <v>0.3443574110112031</v>
      </c>
      <c r="AE775" t="s">
        <v>33</v>
      </c>
      <c r="AF775" t="s">
        <v>34</v>
      </c>
    </row>
    <row r="776" spans="1:32">
      <c r="A776" t="s">
        <v>2403</v>
      </c>
      <c r="B776" s="2" t="str">
        <f t="shared" si="132"/>
        <v>Unique</v>
      </c>
      <c r="C776" s="2" t="str">
        <f t="shared" si="136"/>
        <v>Aug</v>
      </c>
      <c r="D776" s="2">
        <f t="shared" si="137"/>
        <v>2025</v>
      </c>
      <c r="E776" s="4">
        <v>45876</v>
      </c>
      <c r="F776" s="4">
        <v>45876</v>
      </c>
      <c r="G776" s="6">
        <f t="shared" si="133"/>
        <v>0</v>
      </c>
      <c r="H776" s="6" t="str">
        <f t="shared" si="134"/>
        <v>Valid</v>
      </c>
      <c r="I776" t="s">
        <v>2404</v>
      </c>
      <c r="J776" t="s">
        <v>265</v>
      </c>
      <c r="K776" t="s">
        <v>25</v>
      </c>
      <c r="L776" t="s">
        <v>64</v>
      </c>
      <c r="M776" t="s">
        <v>27</v>
      </c>
      <c r="O776" t="s">
        <v>75</v>
      </c>
      <c r="P776" t="s">
        <v>275</v>
      </c>
      <c r="Q776" t="s">
        <v>2405</v>
      </c>
      <c r="R776" s="2" t="s">
        <v>2793</v>
      </c>
      <c r="S776">
        <v>9</v>
      </c>
      <c r="T776">
        <v>1076.75</v>
      </c>
      <c r="U776" s="2">
        <f t="shared" si="138"/>
        <v>7752.6</v>
      </c>
      <c r="V776" s="13">
        <v>0.2</v>
      </c>
      <c r="W776" s="2">
        <f t="shared" si="139"/>
        <v>0.2</v>
      </c>
      <c r="X776" s="2" t="str">
        <f t="shared" si="140"/>
        <v>Valid</v>
      </c>
      <c r="Y776" s="2" t="str">
        <f t="shared" si="141"/>
        <v>Clean</v>
      </c>
      <c r="Z776">
        <v>7752.6</v>
      </c>
      <c r="AA776">
        <v>4689.3</v>
      </c>
      <c r="AB776" s="2">
        <f t="shared" si="135"/>
        <v>3063.3</v>
      </c>
      <c r="AC776">
        <v>3063.3</v>
      </c>
      <c r="AD776" s="11">
        <f t="shared" si="142"/>
        <v>0.39513195573098059</v>
      </c>
      <c r="AE776" t="s">
        <v>33</v>
      </c>
      <c r="AF776" t="s">
        <v>34</v>
      </c>
    </row>
    <row r="777" spans="1:32">
      <c r="A777" t="s">
        <v>2406</v>
      </c>
      <c r="B777" s="2" t="str">
        <f t="shared" si="132"/>
        <v>Unique</v>
      </c>
      <c r="C777" s="2" t="str">
        <f t="shared" si="136"/>
        <v>Apr</v>
      </c>
      <c r="D777" s="2">
        <f t="shared" si="137"/>
        <v>2024</v>
      </c>
      <c r="E777" s="4">
        <v>45396</v>
      </c>
      <c r="F777" s="4">
        <v>45404</v>
      </c>
      <c r="G777" s="6">
        <f t="shared" si="133"/>
        <v>8</v>
      </c>
      <c r="H777" s="6" t="str">
        <f t="shared" si="134"/>
        <v>Valid</v>
      </c>
      <c r="I777" t="s">
        <v>2407</v>
      </c>
      <c r="J777" t="s">
        <v>54</v>
      </c>
      <c r="K777" t="s">
        <v>25</v>
      </c>
      <c r="L777" t="s">
        <v>26</v>
      </c>
      <c r="M777" t="s">
        <v>237</v>
      </c>
      <c r="O777" t="s">
        <v>75</v>
      </c>
      <c r="P777" t="s">
        <v>76</v>
      </c>
      <c r="Q777" t="s">
        <v>2408</v>
      </c>
      <c r="R777" t="s">
        <v>60</v>
      </c>
      <c r="S777">
        <v>8</v>
      </c>
      <c r="T777">
        <v>3956.12</v>
      </c>
      <c r="U777" s="2">
        <f t="shared" si="138"/>
        <v>23736.720000000001</v>
      </c>
      <c r="V777" s="13">
        <v>0.25</v>
      </c>
      <c r="W777" s="2">
        <f t="shared" si="139"/>
        <v>0.25</v>
      </c>
      <c r="X777" s="2" t="str">
        <f t="shared" si="140"/>
        <v>Valid</v>
      </c>
      <c r="Y777" s="2" t="str">
        <f t="shared" si="141"/>
        <v>Clean</v>
      </c>
      <c r="Z777">
        <v>23736.720000000001</v>
      </c>
      <c r="AA777">
        <v>13890.9</v>
      </c>
      <c r="AB777" s="2">
        <f t="shared" si="135"/>
        <v>9845.8200000000015</v>
      </c>
      <c r="AC777">
        <v>9845.82</v>
      </c>
      <c r="AD777" s="11">
        <f t="shared" si="142"/>
        <v>0.4147927767610689</v>
      </c>
      <c r="AE777" t="s">
        <v>33</v>
      </c>
      <c r="AF777" t="s">
        <v>34</v>
      </c>
    </row>
    <row r="778" spans="1:32">
      <c r="A778" t="s">
        <v>2409</v>
      </c>
      <c r="B778" s="2" t="str">
        <f t="shared" si="132"/>
        <v>Unique</v>
      </c>
      <c r="C778" s="2" t="str">
        <f t="shared" si="136"/>
        <v>Jun</v>
      </c>
      <c r="D778" s="2">
        <f t="shared" si="137"/>
        <v>2025</v>
      </c>
      <c r="E778" s="4">
        <v>45816</v>
      </c>
      <c r="F778" s="4">
        <v>45821</v>
      </c>
      <c r="G778" s="6">
        <f t="shared" si="133"/>
        <v>5</v>
      </c>
      <c r="H778" s="6" t="str">
        <f t="shared" si="134"/>
        <v>Valid</v>
      </c>
      <c r="I778" t="s">
        <v>2410</v>
      </c>
      <c r="J778" t="s">
        <v>90</v>
      </c>
      <c r="K778" t="s">
        <v>38</v>
      </c>
      <c r="L778" t="s">
        <v>26</v>
      </c>
      <c r="M778" t="s">
        <v>27</v>
      </c>
      <c r="O778" t="s">
        <v>75</v>
      </c>
      <c r="P778" t="s">
        <v>81</v>
      </c>
      <c r="Q778" t="s">
        <v>2411</v>
      </c>
      <c r="R778" t="s">
        <v>32</v>
      </c>
      <c r="S778">
        <v>7</v>
      </c>
      <c r="T778">
        <v>3857.13</v>
      </c>
      <c r="U778" s="2">
        <f t="shared" si="138"/>
        <v>26999.91</v>
      </c>
      <c r="V778" s="13">
        <v>0</v>
      </c>
      <c r="W778" s="2">
        <f t="shared" si="139"/>
        <v>0</v>
      </c>
      <c r="X778" s="2" t="str">
        <f t="shared" si="140"/>
        <v>Valid</v>
      </c>
      <c r="Y778" s="2" t="str">
        <f t="shared" si="141"/>
        <v>Clean</v>
      </c>
      <c r="Z778">
        <v>26999.91</v>
      </c>
      <c r="AA778">
        <v>17815.98</v>
      </c>
      <c r="AB778" s="2">
        <f t="shared" si="135"/>
        <v>9183.93</v>
      </c>
      <c r="AC778">
        <v>9183.93</v>
      </c>
      <c r="AD778" s="11">
        <f t="shared" si="142"/>
        <v>0.34014668937785347</v>
      </c>
      <c r="AE778" t="s">
        <v>33</v>
      </c>
      <c r="AF778" t="s">
        <v>34</v>
      </c>
    </row>
    <row r="779" spans="1:32">
      <c r="A779" t="s">
        <v>2412</v>
      </c>
      <c r="B779" s="2" t="str">
        <f t="shared" si="132"/>
        <v>Unique</v>
      </c>
      <c r="C779" s="2" t="str">
        <f t="shared" si="136"/>
        <v>Feb</v>
      </c>
      <c r="D779" s="2">
        <f t="shared" si="137"/>
        <v>2024</v>
      </c>
      <c r="E779" s="4">
        <v>45326</v>
      </c>
      <c r="F779" s="4">
        <v>45328</v>
      </c>
      <c r="G779" s="6">
        <f t="shared" si="133"/>
        <v>2</v>
      </c>
      <c r="H779" s="6" t="str">
        <f t="shared" si="134"/>
        <v>Valid</v>
      </c>
      <c r="I779" t="s">
        <v>2413</v>
      </c>
      <c r="J779" t="s">
        <v>265</v>
      </c>
      <c r="K779" t="s">
        <v>38</v>
      </c>
      <c r="L779" t="s">
        <v>64</v>
      </c>
      <c r="M779" t="s">
        <v>73</v>
      </c>
      <c r="O779" t="s">
        <v>75</v>
      </c>
      <c r="P779" t="s">
        <v>76</v>
      </c>
      <c r="Q779" t="s">
        <v>2414</v>
      </c>
      <c r="R779" t="s">
        <v>32</v>
      </c>
      <c r="S779">
        <v>4</v>
      </c>
      <c r="T779">
        <v>1489.74</v>
      </c>
      <c r="U779" s="2">
        <f t="shared" si="138"/>
        <v>5065.116</v>
      </c>
      <c r="V779" s="13">
        <v>0.15</v>
      </c>
      <c r="W779" s="2">
        <f t="shared" si="139"/>
        <v>0.15</v>
      </c>
      <c r="X779" s="2" t="str">
        <f t="shared" si="140"/>
        <v>Valid</v>
      </c>
      <c r="Y779" s="2" t="str">
        <f t="shared" si="141"/>
        <v>Clean</v>
      </c>
      <c r="Z779">
        <v>5065.12</v>
      </c>
      <c r="AA779">
        <v>3530.12</v>
      </c>
      <c r="AB779" s="2">
        <f t="shared" si="135"/>
        <v>1534.9960000000001</v>
      </c>
      <c r="AC779">
        <v>1535</v>
      </c>
      <c r="AD779" s="11">
        <f t="shared" si="142"/>
        <v>0.30305303724294785</v>
      </c>
      <c r="AE779" t="s">
        <v>156</v>
      </c>
      <c r="AF779" t="s">
        <v>69</v>
      </c>
    </row>
    <row r="780" spans="1:32">
      <c r="A780" t="s">
        <v>2415</v>
      </c>
      <c r="B780" s="2" t="str">
        <f t="shared" si="132"/>
        <v>Unique</v>
      </c>
      <c r="C780" s="2" t="str">
        <f t="shared" si="136"/>
        <v>Jul</v>
      </c>
      <c r="D780" s="2">
        <f t="shared" si="137"/>
        <v>2024</v>
      </c>
      <c r="E780" s="4">
        <v>45497</v>
      </c>
      <c r="F780" s="4">
        <v>45497</v>
      </c>
      <c r="G780" s="6">
        <f t="shared" si="133"/>
        <v>0</v>
      </c>
      <c r="H780" s="6" t="str">
        <f t="shared" si="134"/>
        <v>Valid</v>
      </c>
      <c r="I780" t="s">
        <v>2416</v>
      </c>
      <c r="J780" t="s">
        <v>24</v>
      </c>
      <c r="K780" t="s">
        <v>38</v>
      </c>
      <c r="L780" t="s">
        <v>26</v>
      </c>
      <c r="M780" t="s">
        <v>237</v>
      </c>
      <c r="O780" t="s">
        <v>75</v>
      </c>
      <c r="P780" t="s">
        <v>81</v>
      </c>
      <c r="Q780" t="s">
        <v>2417</v>
      </c>
      <c r="R780" t="s">
        <v>32</v>
      </c>
      <c r="S780">
        <v>4</v>
      </c>
      <c r="T780">
        <v>1676.88</v>
      </c>
      <c r="U780" s="2">
        <f t="shared" si="138"/>
        <v>6707.52</v>
      </c>
      <c r="V780" s="13">
        <v>0</v>
      </c>
      <c r="W780" s="2">
        <f t="shared" si="139"/>
        <v>0</v>
      </c>
      <c r="X780" s="2" t="str">
        <f t="shared" si="140"/>
        <v>Valid</v>
      </c>
      <c r="Y780" s="2" t="str">
        <f t="shared" si="141"/>
        <v>Clean</v>
      </c>
      <c r="Z780">
        <v>6707.52</v>
      </c>
      <c r="AA780">
        <v>5672.57</v>
      </c>
      <c r="AB780" s="2">
        <f t="shared" si="135"/>
        <v>1034.9500000000007</v>
      </c>
      <c r="AC780">
        <v>1034.95</v>
      </c>
      <c r="AD780" s="11">
        <f t="shared" si="142"/>
        <v>0.1542969681789991</v>
      </c>
      <c r="AE780" t="s">
        <v>33</v>
      </c>
      <c r="AF780" t="s">
        <v>34</v>
      </c>
    </row>
    <row r="781" spans="1:32">
      <c r="A781" t="s">
        <v>2418</v>
      </c>
      <c r="B781" s="2" t="str">
        <f t="shared" si="132"/>
        <v>Unique</v>
      </c>
      <c r="C781" s="2" t="str">
        <f t="shared" si="136"/>
        <v>Jan</v>
      </c>
      <c r="D781" s="2">
        <f t="shared" si="137"/>
        <v>2024</v>
      </c>
      <c r="E781" s="4">
        <v>45306</v>
      </c>
      <c r="F781" s="4">
        <v>45311</v>
      </c>
      <c r="G781" s="6">
        <f t="shared" si="133"/>
        <v>5</v>
      </c>
      <c r="H781" s="6" t="str">
        <f t="shared" si="134"/>
        <v>Valid</v>
      </c>
      <c r="I781" t="s">
        <v>2419</v>
      </c>
      <c r="J781" t="s">
        <v>115</v>
      </c>
      <c r="K781" t="s">
        <v>38</v>
      </c>
      <c r="L781" t="s">
        <v>55</v>
      </c>
      <c r="M781" t="s">
        <v>85</v>
      </c>
      <c r="O781" t="s">
        <v>42</v>
      </c>
      <c r="P781" t="s">
        <v>67</v>
      </c>
      <c r="Q781" t="s">
        <v>2420</v>
      </c>
      <c r="R781" t="s">
        <v>60</v>
      </c>
      <c r="S781">
        <v>4</v>
      </c>
      <c r="T781">
        <v>3153.54</v>
      </c>
      <c r="U781" s="2">
        <f t="shared" si="138"/>
        <v>11983.451999999999</v>
      </c>
      <c r="V781" s="13">
        <v>0.05</v>
      </c>
      <c r="W781" s="2">
        <f t="shared" si="139"/>
        <v>0.05</v>
      </c>
      <c r="X781" s="2" t="str">
        <f t="shared" si="140"/>
        <v>Valid</v>
      </c>
      <c r="Y781" s="2" t="str">
        <f t="shared" si="141"/>
        <v>Clean</v>
      </c>
      <c r="Z781">
        <v>11983.45</v>
      </c>
      <c r="AA781">
        <v>8572.9</v>
      </c>
      <c r="AB781" s="2">
        <f t="shared" si="135"/>
        <v>3410.5519999999997</v>
      </c>
      <c r="AC781">
        <v>3410.55</v>
      </c>
      <c r="AD781" s="11">
        <f t="shared" si="142"/>
        <v>0.28460501775365193</v>
      </c>
      <c r="AE781" t="s">
        <v>33</v>
      </c>
      <c r="AF781" t="s">
        <v>34</v>
      </c>
    </row>
    <row r="782" spans="1:32">
      <c r="A782" t="s">
        <v>2421</v>
      </c>
      <c r="B782" s="2" t="str">
        <f t="shared" si="132"/>
        <v>Unique</v>
      </c>
      <c r="C782" s="2" t="str">
        <f t="shared" si="136"/>
        <v>Aug</v>
      </c>
      <c r="D782" s="2">
        <f t="shared" si="137"/>
        <v>2024</v>
      </c>
      <c r="E782" s="4">
        <v>45508</v>
      </c>
      <c r="F782" s="4">
        <v>45514</v>
      </c>
      <c r="G782" s="6">
        <f t="shared" si="133"/>
        <v>6</v>
      </c>
      <c r="H782" s="6" t="str">
        <f t="shared" si="134"/>
        <v>Valid</v>
      </c>
      <c r="I782" t="s">
        <v>2422</v>
      </c>
      <c r="J782" t="s">
        <v>163</v>
      </c>
      <c r="K782" t="s">
        <v>38</v>
      </c>
      <c r="L782" t="s">
        <v>64</v>
      </c>
      <c r="M782" t="s">
        <v>27</v>
      </c>
      <c r="O782" t="s">
        <v>42</v>
      </c>
      <c r="P782" t="s">
        <v>67</v>
      </c>
      <c r="Q782" t="s">
        <v>2423</v>
      </c>
      <c r="R782" t="s">
        <v>45</v>
      </c>
      <c r="S782">
        <v>4</v>
      </c>
      <c r="T782">
        <v>426.43</v>
      </c>
      <c r="U782" s="2">
        <f t="shared" si="138"/>
        <v>1364.576</v>
      </c>
      <c r="V782" s="13">
        <v>0.2</v>
      </c>
      <c r="W782" s="2">
        <f t="shared" si="139"/>
        <v>0.2</v>
      </c>
      <c r="X782" s="2" t="str">
        <f t="shared" si="140"/>
        <v>Valid</v>
      </c>
      <c r="Y782" s="2" t="str">
        <f t="shared" si="141"/>
        <v>Clean</v>
      </c>
      <c r="Z782">
        <v>1364.58</v>
      </c>
      <c r="AA782">
        <v>978.16</v>
      </c>
      <c r="AB782" s="2">
        <f t="shared" si="135"/>
        <v>386.41600000000005</v>
      </c>
      <c r="AC782">
        <v>386.42</v>
      </c>
      <c r="AD782" s="11">
        <f t="shared" si="142"/>
        <v>0.28317870700142173</v>
      </c>
      <c r="AE782" t="s">
        <v>33</v>
      </c>
      <c r="AF782" t="s">
        <v>34</v>
      </c>
    </row>
    <row r="783" spans="1:32">
      <c r="A783" t="s">
        <v>2424</v>
      </c>
      <c r="B783" s="2" t="str">
        <f t="shared" si="132"/>
        <v>Unique</v>
      </c>
      <c r="C783" s="2" t="str">
        <f t="shared" si="136"/>
        <v>Feb</v>
      </c>
      <c r="D783" s="2">
        <f t="shared" si="137"/>
        <v>2024</v>
      </c>
      <c r="E783" s="4">
        <v>45324</v>
      </c>
      <c r="F783" s="4">
        <v>45332</v>
      </c>
      <c r="G783" s="6">
        <f t="shared" si="133"/>
        <v>8</v>
      </c>
      <c r="H783" s="6" t="str">
        <f t="shared" si="134"/>
        <v>Valid</v>
      </c>
      <c r="I783" t="s">
        <v>2425</v>
      </c>
      <c r="J783" t="s">
        <v>24</v>
      </c>
      <c r="K783" t="s">
        <v>96</v>
      </c>
      <c r="L783" t="s">
        <v>64</v>
      </c>
      <c r="M783" t="s">
        <v>27</v>
      </c>
      <c r="O783" t="s">
        <v>29</v>
      </c>
      <c r="P783" t="s">
        <v>92</v>
      </c>
      <c r="Q783" t="s">
        <v>2426</v>
      </c>
      <c r="R783" t="s">
        <v>51</v>
      </c>
      <c r="S783">
        <v>3</v>
      </c>
      <c r="T783">
        <v>383.4</v>
      </c>
      <c r="U783" s="2">
        <f t="shared" si="138"/>
        <v>862.64999999999986</v>
      </c>
      <c r="V783" s="13">
        <v>0.25</v>
      </c>
      <c r="W783" s="2">
        <f t="shared" si="139"/>
        <v>0.25</v>
      </c>
      <c r="X783" s="2" t="str">
        <f t="shared" si="140"/>
        <v>Valid</v>
      </c>
      <c r="Y783" s="2" t="str">
        <f t="shared" si="141"/>
        <v>Clean</v>
      </c>
      <c r="Z783">
        <v>862.65</v>
      </c>
      <c r="AA783">
        <v>603.73</v>
      </c>
      <c r="AB783" s="2">
        <f t="shared" si="135"/>
        <v>258.91999999999985</v>
      </c>
      <c r="AC783">
        <v>258.92</v>
      </c>
      <c r="AD783" s="11">
        <f t="shared" si="142"/>
        <v>0.30014490233582569</v>
      </c>
      <c r="AE783" t="s">
        <v>112</v>
      </c>
      <c r="AF783" t="s">
        <v>104</v>
      </c>
    </row>
    <row r="784" spans="1:32">
      <c r="A784" t="s">
        <v>2427</v>
      </c>
      <c r="B784" s="2" t="str">
        <f t="shared" si="132"/>
        <v>Unique</v>
      </c>
      <c r="C784" s="2" t="str">
        <f t="shared" si="136"/>
        <v>Mar</v>
      </c>
      <c r="D784" s="2">
        <f t="shared" si="137"/>
        <v>2025</v>
      </c>
      <c r="E784" s="4">
        <v>45730</v>
      </c>
      <c r="F784" s="4">
        <v>45738</v>
      </c>
      <c r="G784" s="6">
        <f t="shared" si="133"/>
        <v>8</v>
      </c>
      <c r="H784" s="6" t="str">
        <f t="shared" si="134"/>
        <v>Valid</v>
      </c>
      <c r="I784" t="s">
        <v>2428</v>
      </c>
      <c r="J784" t="s">
        <v>37</v>
      </c>
      <c r="K784" t="s">
        <v>91</v>
      </c>
      <c r="L784" t="s">
        <v>39</v>
      </c>
      <c r="M784" t="s">
        <v>100</v>
      </c>
      <c r="O784" t="s">
        <v>75</v>
      </c>
      <c r="P784" t="s">
        <v>81</v>
      </c>
      <c r="Q784" t="s">
        <v>2429</v>
      </c>
      <c r="R784" t="s">
        <v>60</v>
      </c>
      <c r="S784">
        <v>2</v>
      </c>
      <c r="T784">
        <v>669.63</v>
      </c>
      <c r="U784" s="2">
        <f t="shared" si="138"/>
        <v>1138.3709999999999</v>
      </c>
      <c r="V784" s="13">
        <v>0.15</v>
      </c>
      <c r="W784" s="2">
        <f t="shared" si="139"/>
        <v>0.15</v>
      </c>
      <c r="X784" s="2" t="str">
        <f t="shared" si="140"/>
        <v>Valid</v>
      </c>
      <c r="Y784" s="2" t="str">
        <f t="shared" si="141"/>
        <v>Clean</v>
      </c>
      <c r="Z784">
        <v>1138.3699999999999</v>
      </c>
      <c r="AA784">
        <v>797.34</v>
      </c>
      <c r="AB784" s="2">
        <f t="shared" si="135"/>
        <v>341.03099999999984</v>
      </c>
      <c r="AC784">
        <v>341.03</v>
      </c>
      <c r="AD784" s="11">
        <f t="shared" si="142"/>
        <v>0.29957746602598451</v>
      </c>
      <c r="AE784" t="s">
        <v>33</v>
      </c>
      <c r="AF784" t="s">
        <v>34</v>
      </c>
    </row>
    <row r="785" spans="1:32">
      <c r="A785" t="s">
        <v>2430</v>
      </c>
      <c r="B785" s="2" t="str">
        <f t="shared" si="132"/>
        <v>Unique</v>
      </c>
      <c r="C785" s="2" t="str">
        <f t="shared" si="136"/>
        <v>Jun</v>
      </c>
      <c r="D785" s="2">
        <f t="shared" si="137"/>
        <v>2024</v>
      </c>
      <c r="E785" s="4">
        <v>45450</v>
      </c>
      <c r="F785" s="4">
        <v>45450</v>
      </c>
      <c r="G785" s="6">
        <f t="shared" si="133"/>
        <v>0</v>
      </c>
      <c r="H785" s="6" t="str">
        <f t="shared" si="134"/>
        <v>Valid</v>
      </c>
      <c r="I785" t="s">
        <v>2431</v>
      </c>
      <c r="J785" t="s">
        <v>129</v>
      </c>
      <c r="K785" t="s">
        <v>38</v>
      </c>
      <c r="L785" t="s">
        <v>39</v>
      </c>
      <c r="M785" t="s">
        <v>146</v>
      </c>
      <c r="O785" t="s">
        <v>29</v>
      </c>
      <c r="P785" t="s">
        <v>49</v>
      </c>
      <c r="Q785" t="s">
        <v>2432</v>
      </c>
      <c r="R785" t="s">
        <v>32</v>
      </c>
      <c r="S785">
        <v>1</v>
      </c>
      <c r="T785">
        <v>2581.9299999999998</v>
      </c>
      <c r="U785" s="2">
        <f t="shared" si="138"/>
        <v>2452.8334999999997</v>
      </c>
      <c r="V785" s="13">
        <v>0.05</v>
      </c>
      <c r="W785" s="2">
        <f t="shared" si="139"/>
        <v>0.05</v>
      </c>
      <c r="X785" s="2" t="str">
        <f t="shared" si="140"/>
        <v>Valid</v>
      </c>
      <c r="Y785" s="2" t="str">
        <f t="shared" si="141"/>
        <v>Clean</v>
      </c>
      <c r="Z785">
        <v>2452.83</v>
      </c>
      <c r="AA785">
        <v>1906.7</v>
      </c>
      <c r="AB785" s="2">
        <f t="shared" si="135"/>
        <v>546.13349999999969</v>
      </c>
      <c r="AC785">
        <v>546.13</v>
      </c>
      <c r="AD785" s="11">
        <f t="shared" si="142"/>
        <v>0.22265301712715516</v>
      </c>
      <c r="AE785" t="s">
        <v>33</v>
      </c>
      <c r="AF785" t="s">
        <v>34</v>
      </c>
    </row>
    <row r="786" spans="1:32">
      <c r="A786" t="s">
        <v>2433</v>
      </c>
      <c r="B786" s="2" t="str">
        <f t="shared" si="132"/>
        <v>Unique</v>
      </c>
      <c r="C786" s="2" t="str">
        <f t="shared" si="136"/>
        <v>Oct</v>
      </c>
      <c r="D786" s="2">
        <f t="shared" si="137"/>
        <v>2025</v>
      </c>
      <c r="E786" s="4">
        <v>45934</v>
      </c>
      <c r="F786" s="4">
        <v>45935</v>
      </c>
      <c r="G786" s="6">
        <f t="shared" si="133"/>
        <v>1</v>
      </c>
      <c r="H786" s="6" t="str">
        <f t="shared" si="134"/>
        <v>Valid</v>
      </c>
      <c r="I786" t="s">
        <v>2434</v>
      </c>
      <c r="J786" t="s">
        <v>115</v>
      </c>
      <c r="K786" t="s">
        <v>91</v>
      </c>
      <c r="L786" t="s">
        <v>26</v>
      </c>
      <c r="M786" t="s">
        <v>123</v>
      </c>
      <c r="O786" t="s">
        <v>75</v>
      </c>
      <c r="P786" t="s">
        <v>81</v>
      </c>
      <c r="Q786" t="s">
        <v>2435</v>
      </c>
      <c r="R786" t="s">
        <v>51</v>
      </c>
      <c r="S786">
        <v>4</v>
      </c>
      <c r="T786">
        <v>418.18</v>
      </c>
      <c r="U786" s="2">
        <f t="shared" si="138"/>
        <v>1589.0840000000001</v>
      </c>
      <c r="V786" s="13">
        <v>0.05</v>
      </c>
      <c r="W786" s="2">
        <f t="shared" si="139"/>
        <v>0.05</v>
      </c>
      <c r="X786" s="2" t="str">
        <f t="shared" si="140"/>
        <v>Valid</v>
      </c>
      <c r="Y786" s="2" t="str">
        <f t="shared" si="141"/>
        <v>Clean</v>
      </c>
      <c r="Z786">
        <v>1589.08</v>
      </c>
      <c r="AA786">
        <v>1084.6600000000001</v>
      </c>
      <c r="AB786" s="2">
        <f t="shared" si="135"/>
        <v>504.42399999999998</v>
      </c>
      <c r="AC786">
        <v>504.42</v>
      </c>
      <c r="AD786" s="11">
        <f t="shared" si="142"/>
        <v>0.31742895260150528</v>
      </c>
      <c r="AE786" t="s">
        <v>33</v>
      </c>
      <c r="AF786" t="s">
        <v>34</v>
      </c>
    </row>
    <row r="787" spans="1:32">
      <c r="A787" t="s">
        <v>2436</v>
      </c>
      <c r="B787" s="2" t="str">
        <f t="shared" si="132"/>
        <v>Unique</v>
      </c>
      <c r="C787" s="2" t="str">
        <f t="shared" si="136"/>
        <v>May</v>
      </c>
      <c r="D787" s="2">
        <f t="shared" si="137"/>
        <v>2024</v>
      </c>
      <c r="E787" s="4">
        <v>45435</v>
      </c>
      <c r="F787" s="4">
        <v>45441</v>
      </c>
      <c r="G787" s="6">
        <f t="shared" si="133"/>
        <v>6</v>
      </c>
      <c r="H787" s="6" t="str">
        <f t="shared" si="134"/>
        <v>Valid</v>
      </c>
      <c r="I787" t="s">
        <v>2437</v>
      </c>
      <c r="J787" t="s">
        <v>163</v>
      </c>
      <c r="K787" t="s">
        <v>38</v>
      </c>
      <c r="L787" t="s">
        <v>26</v>
      </c>
      <c r="M787" t="s">
        <v>237</v>
      </c>
      <c r="O787" t="s">
        <v>29</v>
      </c>
      <c r="P787" t="s">
        <v>125</v>
      </c>
      <c r="Q787" t="s">
        <v>2438</v>
      </c>
      <c r="R787" t="s">
        <v>45</v>
      </c>
      <c r="S787">
        <v>2</v>
      </c>
      <c r="T787">
        <v>3012.94</v>
      </c>
      <c r="U787" s="2">
        <f t="shared" si="138"/>
        <v>4519.41</v>
      </c>
      <c r="V787" s="13">
        <v>0.25</v>
      </c>
      <c r="W787" s="2">
        <f t="shared" si="139"/>
        <v>0.25</v>
      </c>
      <c r="X787" s="2" t="str">
        <f t="shared" si="140"/>
        <v>Valid</v>
      </c>
      <c r="Y787" s="2" t="str">
        <f t="shared" si="141"/>
        <v>Clean</v>
      </c>
      <c r="Z787">
        <v>4519.41</v>
      </c>
      <c r="AA787">
        <v>3504.16</v>
      </c>
      <c r="AB787" s="2">
        <f t="shared" si="135"/>
        <v>1015.25</v>
      </c>
      <c r="AC787">
        <v>1275.55</v>
      </c>
      <c r="AD787" s="11">
        <f t="shared" si="142"/>
        <v>0.28223816825647596</v>
      </c>
      <c r="AE787" t="s">
        <v>156</v>
      </c>
      <c r="AF787" t="s">
        <v>69</v>
      </c>
    </row>
    <row r="788" spans="1:32">
      <c r="A788" t="s">
        <v>2439</v>
      </c>
      <c r="B788" s="2" t="str">
        <f t="shared" si="132"/>
        <v>Unique</v>
      </c>
      <c r="C788" s="2" t="str">
        <f t="shared" si="136"/>
        <v>Jul</v>
      </c>
      <c r="D788" s="2">
        <f t="shared" si="137"/>
        <v>2025</v>
      </c>
      <c r="E788" s="4">
        <v>45844</v>
      </c>
      <c r="F788" s="4">
        <v>45846</v>
      </c>
      <c r="G788" s="6">
        <f t="shared" si="133"/>
        <v>2</v>
      </c>
      <c r="H788" s="6" t="str">
        <f t="shared" si="134"/>
        <v>Valid</v>
      </c>
      <c r="I788" t="s">
        <v>2440</v>
      </c>
      <c r="J788" t="s">
        <v>63</v>
      </c>
      <c r="K788" t="s">
        <v>91</v>
      </c>
      <c r="L788" t="s">
        <v>26</v>
      </c>
      <c r="M788" t="s">
        <v>27</v>
      </c>
      <c r="O788" t="s">
        <v>42</v>
      </c>
      <c r="P788" t="s">
        <v>58</v>
      </c>
      <c r="Q788" t="s">
        <v>2441</v>
      </c>
      <c r="R788" s="2" t="s">
        <v>2793</v>
      </c>
      <c r="S788">
        <v>4</v>
      </c>
      <c r="T788">
        <v>715.45</v>
      </c>
      <c r="U788" s="2">
        <f t="shared" si="138"/>
        <v>2718.71</v>
      </c>
      <c r="V788" s="13">
        <v>0.05</v>
      </c>
      <c r="W788" s="2">
        <f t="shared" si="139"/>
        <v>0.05</v>
      </c>
      <c r="X788" s="2" t="str">
        <f t="shared" si="140"/>
        <v>Valid</v>
      </c>
      <c r="Y788" s="2" t="str">
        <f t="shared" si="141"/>
        <v>Clean</v>
      </c>
      <c r="Z788">
        <v>2718.71</v>
      </c>
      <c r="AA788">
        <v>2065.0500000000002</v>
      </c>
      <c r="AB788" s="2">
        <f t="shared" si="135"/>
        <v>653.65999999999985</v>
      </c>
      <c r="AC788">
        <v>653.66</v>
      </c>
      <c r="AD788" s="11">
        <f t="shared" si="142"/>
        <v>0.24043020403058801</v>
      </c>
      <c r="AE788" t="s">
        <v>103</v>
      </c>
      <c r="AF788" t="s">
        <v>104</v>
      </c>
    </row>
    <row r="789" spans="1:32">
      <c r="A789" t="s">
        <v>2442</v>
      </c>
      <c r="B789" s="2" t="str">
        <f t="shared" si="132"/>
        <v>Unique</v>
      </c>
      <c r="C789" s="2" t="str">
        <f t="shared" si="136"/>
        <v>Sep</v>
      </c>
      <c r="D789" s="2">
        <f t="shared" si="137"/>
        <v>2024</v>
      </c>
      <c r="E789" s="4">
        <v>45547</v>
      </c>
      <c r="F789" s="4">
        <v>45553</v>
      </c>
      <c r="G789" s="6">
        <f t="shared" si="133"/>
        <v>6</v>
      </c>
      <c r="H789" s="6" t="str">
        <f t="shared" si="134"/>
        <v>Valid</v>
      </c>
      <c r="I789" t="s">
        <v>2443</v>
      </c>
      <c r="J789" t="s">
        <v>63</v>
      </c>
      <c r="K789" t="s">
        <v>96</v>
      </c>
      <c r="L789" t="s">
        <v>39</v>
      </c>
      <c r="M789" t="s">
        <v>146</v>
      </c>
      <c r="O789" t="s">
        <v>29</v>
      </c>
      <c r="P789" t="s">
        <v>30</v>
      </c>
      <c r="Q789" t="s">
        <v>2444</v>
      </c>
      <c r="R789" t="s">
        <v>32</v>
      </c>
      <c r="S789">
        <v>2</v>
      </c>
      <c r="T789">
        <v>3718.77</v>
      </c>
      <c r="U789" s="2">
        <f t="shared" si="138"/>
        <v>7065.6629999999996</v>
      </c>
      <c r="V789" s="13">
        <v>0.05</v>
      </c>
      <c r="W789" s="2">
        <f t="shared" si="139"/>
        <v>0.05</v>
      </c>
      <c r="X789" s="2" t="str">
        <f t="shared" si="140"/>
        <v>Valid</v>
      </c>
      <c r="Y789" s="2" t="str">
        <f t="shared" si="141"/>
        <v>Clean</v>
      </c>
      <c r="Z789">
        <v>7065.66</v>
      </c>
      <c r="AA789">
        <v>4915.2700000000004</v>
      </c>
      <c r="AB789" s="2">
        <f t="shared" si="135"/>
        <v>2150.3929999999991</v>
      </c>
      <c r="AC789">
        <v>2150.39</v>
      </c>
      <c r="AD789" s="11">
        <f t="shared" si="142"/>
        <v>0.30434382633752544</v>
      </c>
      <c r="AE789" t="s">
        <v>33</v>
      </c>
      <c r="AF789" t="s">
        <v>34</v>
      </c>
    </row>
    <row r="790" spans="1:32">
      <c r="A790" t="s">
        <v>2445</v>
      </c>
      <c r="B790" s="2" t="str">
        <f t="shared" si="132"/>
        <v>Unique</v>
      </c>
      <c r="C790" s="2" t="str">
        <f t="shared" si="136"/>
        <v>Aug</v>
      </c>
      <c r="D790" s="2">
        <f t="shared" si="137"/>
        <v>2024</v>
      </c>
      <c r="E790" s="4">
        <v>45505</v>
      </c>
      <c r="F790" s="4">
        <v>45506</v>
      </c>
      <c r="G790" s="6">
        <f t="shared" si="133"/>
        <v>1</v>
      </c>
      <c r="H790" s="6" t="str">
        <f t="shared" si="134"/>
        <v>Valid</v>
      </c>
      <c r="I790" t="s">
        <v>2446</v>
      </c>
      <c r="J790" t="s">
        <v>48</v>
      </c>
      <c r="K790" t="s">
        <v>91</v>
      </c>
      <c r="L790" t="s">
        <v>26</v>
      </c>
      <c r="M790" t="s">
        <v>137</v>
      </c>
      <c r="O790" t="s">
        <v>42</v>
      </c>
      <c r="P790" t="s">
        <v>67</v>
      </c>
      <c r="Q790" t="s">
        <v>2447</v>
      </c>
      <c r="R790" t="s">
        <v>60</v>
      </c>
      <c r="S790">
        <v>8</v>
      </c>
      <c r="T790">
        <v>2487.64</v>
      </c>
      <c r="U790" s="2">
        <f t="shared" si="138"/>
        <v>17911.007999999998</v>
      </c>
      <c r="V790" s="13">
        <v>0.1</v>
      </c>
      <c r="W790" s="2">
        <f t="shared" si="139"/>
        <v>0.1</v>
      </c>
      <c r="X790" s="2" t="str">
        <f t="shared" si="140"/>
        <v>Valid</v>
      </c>
      <c r="Y790" s="2" t="str">
        <f t="shared" si="141"/>
        <v>Clean</v>
      </c>
      <c r="Z790">
        <v>17911.009999999998</v>
      </c>
      <c r="AA790">
        <v>11546.05</v>
      </c>
      <c r="AB790" s="2">
        <f t="shared" si="135"/>
        <v>6364.9579999999987</v>
      </c>
      <c r="AC790">
        <v>6364.96</v>
      </c>
      <c r="AD790" s="11">
        <f t="shared" si="142"/>
        <v>0.35536577780929163</v>
      </c>
      <c r="AE790" t="s">
        <v>156</v>
      </c>
      <c r="AF790" t="s">
        <v>104</v>
      </c>
    </row>
    <row r="791" spans="1:32">
      <c r="A791" t="s">
        <v>2448</v>
      </c>
      <c r="B791" s="2" t="str">
        <f t="shared" si="132"/>
        <v>Unique</v>
      </c>
      <c r="C791" s="2" t="str">
        <f t="shared" si="136"/>
        <v>Mar</v>
      </c>
      <c r="D791" s="2">
        <f t="shared" si="137"/>
        <v>2025</v>
      </c>
      <c r="E791" s="4">
        <v>45723</v>
      </c>
      <c r="F791" s="4">
        <v>45724</v>
      </c>
      <c r="G791" s="6">
        <f t="shared" si="133"/>
        <v>1</v>
      </c>
      <c r="H791" s="6" t="str">
        <f t="shared" si="134"/>
        <v>Valid</v>
      </c>
      <c r="I791" t="s">
        <v>2449</v>
      </c>
      <c r="J791" t="s">
        <v>115</v>
      </c>
      <c r="K791" t="s">
        <v>96</v>
      </c>
      <c r="L791" s="2" t="s">
        <v>2793</v>
      </c>
      <c r="M791" t="s">
        <v>27</v>
      </c>
      <c r="O791" t="s">
        <v>75</v>
      </c>
      <c r="P791" t="s">
        <v>81</v>
      </c>
      <c r="Q791" t="s">
        <v>2450</v>
      </c>
      <c r="R791" t="s">
        <v>45</v>
      </c>
      <c r="S791">
        <v>4</v>
      </c>
      <c r="T791">
        <v>3537.48</v>
      </c>
      <c r="U791" s="2">
        <f t="shared" si="138"/>
        <v>14149.92</v>
      </c>
      <c r="V791" s="13">
        <v>0</v>
      </c>
      <c r="W791" s="2">
        <f t="shared" si="139"/>
        <v>0</v>
      </c>
      <c r="X791" s="2" t="str">
        <f t="shared" si="140"/>
        <v>Valid</v>
      </c>
      <c r="Y791" s="2" t="str">
        <f t="shared" si="141"/>
        <v>Clean</v>
      </c>
      <c r="Z791">
        <v>14149.92</v>
      </c>
      <c r="AA791">
        <v>9466.51</v>
      </c>
      <c r="AB791" s="2">
        <f t="shared" si="135"/>
        <v>4683.41</v>
      </c>
      <c r="AC791">
        <v>4683.41</v>
      </c>
      <c r="AD791" s="11">
        <f t="shared" si="142"/>
        <v>0.33098491016203624</v>
      </c>
      <c r="AE791" t="s">
        <v>33</v>
      </c>
      <c r="AF791" t="s">
        <v>34</v>
      </c>
    </row>
    <row r="792" spans="1:32">
      <c r="A792" t="s">
        <v>2451</v>
      </c>
      <c r="B792" s="2" t="str">
        <f t="shared" si="132"/>
        <v>Unique</v>
      </c>
      <c r="C792" s="2" t="str">
        <f t="shared" si="136"/>
        <v>May</v>
      </c>
      <c r="D792" s="2">
        <f t="shared" si="137"/>
        <v>2024</v>
      </c>
      <c r="E792" s="4">
        <v>45443</v>
      </c>
      <c r="F792" s="4">
        <v>45445</v>
      </c>
      <c r="G792" s="6">
        <f t="shared" si="133"/>
        <v>2</v>
      </c>
      <c r="H792" s="6" t="str">
        <f t="shared" si="134"/>
        <v>Valid</v>
      </c>
      <c r="I792" t="s">
        <v>2452</v>
      </c>
      <c r="J792" t="s">
        <v>119</v>
      </c>
      <c r="K792" t="s">
        <v>91</v>
      </c>
      <c r="L792" t="s">
        <v>55</v>
      </c>
      <c r="M792" t="s">
        <v>85</v>
      </c>
      <c r="O792" t="s">
        <v>29</v>
      </c>
      <c r="P792" t="s">
        <v>49</v>
      </c>
      <c r="Q792" t="s">
        <v>2453</v>
      </c>
      <c r="R792" t="s">
        <v>60</v>
      </c>
      <c r="S792">
        <v>8</v>
      </c>
      <c r="T792">
        <v>667.59</v>
      </c>
      <c r="U792" s="2">
        <f t="shared" si="138"/>
        <v>4272.576</v>
      </c>
      <c r="V792" s="13">
        <v>0.2</v>
      </c>
      <c r="W792" s="2">
        <f t="shared" si="139"/>
        <v>0.2</v>
      </c>
      <c r="X792" s="2" t="str">
        <f t="shared" si="140"/>
        <v>Valid</v>
      </c>
      <c r="Y792" s="2" t="str">
        <f t="shared" si="141"/>
        <v>Clean</v>
      </c>
      <c r="Z792">
        <v>4272.58</v>
      </c>
      <c r="AA792">
        <v>3328.92</v>
      </c>
      <c r="AB792" s="2">
        <f t="shared" si="135"/>
        <v>943.65599999999995</v>
      </c>
      <c r="AC792">
        <v>943.66</v>
      </c>
      <c r="AD792" s="11">
        <f t="shared" si="142"/>
        <v>0.22086420851101676</v>
      </c>
      <c r="AE792" t="s">
        <v>33</v>
      </c>
      <c r="AF792" t="s">
        <v>34</v>
      </c>
    </row>
    <row r="793" spans="1:32">
      <c r="A793" t="s">
        <v>2454</v>
      </c>
      <c r="B793" s="2" t="str">
        <f t="shared" si="132"/>
        <v>Unique</v>
      </c>
      <c r="C793" s="2" t="str">
        <f t="shared" si="136"/>
        <v>Oct</v>
      </c>
      <c r="D793" s="2">
        <f t="shared" si="137"/>
        <v>2024</v>
      </c>
      <c r="E793" s="4">
        <v>45567</v>
      </c>
      <c r="F793" s="4">
        <v>45571</v>
      </c>
      <c r="G793" s="6">
        <f t="shared" si="133"/>
        <v>4</v>
      </c>
      <c r="H793" s="6" t="str">
        <f t="shared" si="134"/>
        <v>Valid</v>
      </c>
      <c r="I793" t="s">
        <v>2455</v>
      </c>
      <c r="J793" t="s">
        <v>119</v>
      </c>
      <c r="K793" t="s">
        <v>96</v>
      </c>
      <c r="L793" t="s">
        <v>55</v>
      </c>
      <c r="M793" t="s">
        <v>176</v>
      </c>
      <c r="O793" t="s">
        <v>42</v>
      </c>
      <c r="P793" t="s">
        <v>159</v>
      </c>
      <c r="Q793" t="s">
        <v>2456</v>
      </c>
      <c r="R793" t="s">
        <v>45</v>
      </c>
      <c r="S793">
        <v>8</v>
      </c>
      <c r="T793">
        <v>1558.77</v>
      </c>
      <c r="U793" s="2">
        <f t="shared" si="138"/>
        <v>9352.619999999999</v>
      </c>
      <c r="V793" s="13">
        <v>0.25</v>
      </c>
      <c r="W793" s="2">
        <f t="shared" si="139"/>
        <v>0.25</v>
      </c>
      <c r="X793" s="2" t="str">
        <f t="shared" si="140"/>
        <v>Valid</v>
      </c>
      <c r="Y793" s="2" t="str">
        <f t="shared" si="141"/>
        <v>Clean</v>
      </c>
      <c r="Z793">
        <v>9352.6200000000008</v>
      </c>
      <c r="AA793">
        <v>5269.41</v>
      </c>
      <c r="AB793" s="2">
        <f t="shared" si="135"/>
        <v>4083.2099999999991</v>
      </c>
      <c r="AC793">
        <v>4083.21</v>
      </c>
      <c r="AD793" s="11">
        <f t="shared" si="142"/>
        <v>0.43658461479243243</v>
      </c>
      <c r="AE793" t="s">
        <v>33</v>
      </c>
      <c r="AF793" t="s">
        <v>34</v>
      </c>
    </row>
    <row r="794" spans="1:32">
      <c r="A794" t="s">
        <v>2457</v>
      </c>
      <c r="B794" s="2" t="str">
        <f t="shared" si="132"/>
        <v>Unique</v>
      </c>
      <c r="C794" s="2" t="str">
        <f t="shared" si="136"/>
        <v>Jun</v>
      </c>
      <c r="D794" s="2">
        <f t="shared" si="137"/>
        <v>2025</v>
      </c>
      <c r="E794" s="4">
        <v>45812</v>
      </c>
      <c r="F794" s="4">
        <v>45816</v>
      </c>
      <c r="G794" s="6">
        <f t="shared" si="133"/>
        <v>4</v>
      </c>
      <c r="H794" s="6" t="str">
        <f t="shared" si="134"/>
        <v>Valid</v>
      </c>
      <c r="I794" t="s">
        <v>2458</v>
      </c>
      <c r="J794" t="s">
        <v>54</v>
      </c>
      <c r="K794" t="s">
        <v>38</v>
      </c>
      <c r="L794" t="s">
        <v>39</v>
      </c>
      <c r="M794" t="s">
        <v>167</v>
      </c>
      <c r="O794" t="s">
        <v>42</v>
      </c>
      <c r="P794" t="s">
        <v>58</v>
      </c>
      <c r="Q794" t="s">
        <v>2459</v>
      </c>
      <c r="R794" t="s">
        <v>32</v>
      </c>
      <c r="S794">
        <v>1</v>
      </c>
      <c r="T794">
        <v>3501.12</v>
      </c>
      <c r="U794" s="2">
        <f t="shared" si="138"/>
        <v>2800.8960000000002</v>
      </c>
      <c r="V794" s="13">
        <v>0.2</v>
      </c>
      <c r="W794" s="2">
        <f t="shared" si="139"/>
        <v>0.2</v>
      </c>
      <c r="X794" s="2" t="str">
        <f t="shared" si="140"/>
        <v>Valid</v>
      </c>
      <c r="Y794" s="2" t="str">
        <f t="shared" si="141"/>
        <v>Clean</v>
      </c>
      <c r="Z794">
        <v>2800.9</v>
      </c>
      <c r="AA794">
        <v>1735.98</v>
      </c>
      <c r="AB794" s="2">
        <f t="shared" si="135"/>
        <v>1064.9160000000002</v>
      </c>
      <c r="AC794">
        <v>1064.92</v>
      </c>
      <c r="AD794" s="11">
        <f t="shared" si="142"/>
        <v>0.38020636224070836</v>
      </c>
      <c r="AE794" t="s">
        <v>33</v>
      </c>
      <c r="AF794" t="s">
        <v>104</v>
      </c>
    </row>
    <row r="795" spans="1:32">
      <c r="A795" t="s">
        <v>2460</v>
      </c>
      <c r="B795" s="2" t="str">
        <f t="shared" si="132"/>
        <v>Unique</v>
      </c>
      <c r="C795" s="2" t="str">
        <f t="shared" si="136"/>
        <v>May</v>
      </c>
      <c r="D795" s="2">
        <f t="shared" si="137"/>
        <v>2024</v>
      </c>
      <c r="E795" s="4">
        <v>45440</v>
      </c>
      <c r="F795" s="4">
        <v>45446</v>
      </c>
      <c r="G795" s="6">
        <f t="shared" si="133"/>
        <v>6</v>
      </c>
      <c r="H795" s="6" t="str">
        <f t="shared" si="134"/>
        <v>Valid</v>
      </c>
      <c r="I795" t="s">
        <v>2461</v>
      </c>
      <c r="J795" t="s">
        <v>72</v>
      </c>
      <c r="K795" t="s">
        <v>91</v>
      </c>
      <c r="L795" t="s">
        <v>26</v>
      </c>
      <c r="M795" t="s">
        <v>27</v>
      </c>
      <c r="O795" t="s">
        <v>75</v>
      </c>
      <c r="P795" t="s">
        <v>81</v>
      </c>
      <c r="Q795" t="s">
        <v>2462</v>
      </c>
      <c r="R795" t="s">
        <v>32</v>
      </c>
      <c r="S795">
        <v>5</v>
      </c>
      <c r="T795">
        <v>4302.32</v>
      </c>
      <c r="U795" s="2">
        <f t="shared" si="138"/>
        <v>21511.599999999999</v>
      </c>
      <c r="V795" s="13">
        <v>0</v>
      </c>
      <c r="W795" s="2">
        <f t="shared" si="139"/>
        <v>0</v>
      </c>
      <c r="X795" s="2" t="str">
        <f t="shared" si="140"/>
        <v>Valid</v>
      </c>
      <c r="Y795" s="2" t="str">
        <f t="shared" si="141"/>
        <v>Clean</v>
      </c>
      <c r="Z795">
        <v>21511.599999999999</v>
      </c>
      <c r="AA795">
        <v>15408.47</v>
      </c>
      <c r="AB795" s="2">
        <f t="shared" si="135"/>
        <v>6103.1299999999992</v>
      </c>
      <c r="AC795">
        <v>6103.13</v>
      </c>
      <c r="AD795" s="11">
        <f t="shared" si="142"/>
        <v>0.28371343833094703</v>
      </c>
      <c r="AE795" t="s">
        <v>33</v>
      </c>
      <c r="AF795" t="s">
        <v>34</v>
      </c>
    </row>
    <row r="796" spans="1:32">
      <c r="A796" t="s">
        <v>2463</v>
      </c>
      <c r="B796" s="2" t="str">
        <f t="shared" si="132"/>
        <v>Unique</v>
      </c>
      <c r="C796" s="2" t="str">
        <f t="shared" si="136"/>
        <v>Jun</v>
      </c>
      <c r="D796" s="2">
        <f t="shared" si="137"/>
        <v>2025</v>
      </c>
      <c r="E796" s="4">
        <v>45830</v>
      </c>
      <c r="F796" s="4">
        <v>45832</v>
      </c>
      <c r="G796" s="6">
        <f t="shared" si="133"/>
        <v>2</v>
      </c>
      <c r="H796" s="6" t="str">
        <f t="shared" si="134"/>
        <v>Valid</v>
      </c>
      <c r="I796" t="s">
        <v>2464</v>
      </c>
      <c r="J796" t="s">
        <v>133</v>
      </c>
      <c r="K796" t="s">
        <v>91</v>
      </c>
      <c r="L796" t="s">
        <v>39</v>
      </c>
      <c r="M796" t="s">
        <v>167</v>
      </c>
      <c r="O796" t="s">
        <v>29</v>
      </c>
      <c r="P796" t="s">
        <v>30</v>
      </c>
      <c r="Q796" t="s">
        <v>2465</v>
      </c>
      <c r="R796" t="s">
        <v>60</v>
      </c>
      <c r="S796">
        <v>9</v>
      </c>
      <c r="T796">
        <v>951.55</v>
      </c>
      <c r="U796" s="2">
        <f t="shared" si="138"/>
        <v>7279.3574999999992</v>
      </c>
      <c r="V796" s="13">
        <v>0.15</v>
      </c>
      <c r="W796" s="2">
        <f t="shared" si="139"/>
        <v>0.15</v>
      </c>
      <c r="X796" s="2" t="str">
        <f t="shared" si="140"/>
        <v>Valid</v>
      </c>
      <c r="Y796" s="2" t="str">
        <f t="shared" si="141"/>
        <v>Clean</v>
      </c>
      <c r="Z796">
        <v>7279.36</v>
      </c>
      <c r="AA796">
        <v>4870.3900000000003</v>
      </c>
      <c r="AB796" s="2">
        <f t="shared" si="135"/>
        <v>2408.9674999999988</v>
      </c>
      <c r="AC796">
        <v>2408.9699999999998</v>
      </c>
      <c r="AD796" s="11">
        <f t="shared" si="142"/>
        <v>0.33093156541234392</v>
      </c>
      <c r="AE796" t="s">
        <v>33</v>
      </c>
      <c r="AF796" t="s">
        <v>34</v>
      </c>
    </row>
    <row r="797" spans="1:32">
      <c r="A797" t="s">
        <v>2466</v>
      </c>
      <c r="B797" s="2" t="str">
        <f t="shared" si="132"/>
        <v>Unique</v>
      </c>
      <c r="C797" s="2" t="str">
        <f t="shared" si="136"/>
        <v>Jul</v>
      </c>
      <c r="D797" s="2">
        <f t="shared" si="137"/>
        <v>2024</v>
      </c>
      <c r="E797" s="4">
        <v>45503</v>
      </c>
      <c r="F797" s="4">
        <v>45503</v>
      </c>
      <c r="G797" s="6">
        <f t="shared" si="133"/>
        <v>0</v>
      </c>
      <c r="H797" s="6" t="str">
        <f t="shared" si="134"/>
        <v>Valid</v>
      </c>
      <c r="I797" t="s">
        <v>2467</v>
      </c>
      <c r="J797" t="s">
        <v>163</v>
      </c>
      <c r="K797" t="s">
        <v>96</v>
      </c>
      <c r="L797" t="s">
        <v>39</v>
      </c>
      <c r="M797" t="s">
        <v>40</v>
      </c>
      <c r="O797" t="s">
        <v>75</v>
      </c>
      <c r="P797" t="s">
        <v>81</v>
      </c>
      <c r="Q797" t="s">
        <v>2468</v>
      </c>
      <c r="R797" t="s">
        <v>45</v>
      </c>
      <c r="S797">
        <v>9</v>
      </c>
      <c r="T797">
        <v>2894.66</v>
      </c>
      <c r="U797" s="2">
        <f t="shared" si="138"/>
        <v>26051.94</v>
      </c>
      <c r="V797" s="13">
        <v>0</v>
      </c>
      <c r="W797" s="2">
        <f t="shared" si="139"/>
        <v>0</v>
      </c>
      <c r="X797" s="2" t="str">
        <f t="shared" si="140"/>
        <v>Valid</v>
      </c>
      <c r="Y797" s="2" t="str">
        <f t="shared" si="141"/>
        <v>Clean</v>
      </c>
      <c r="Z797">
        <v>26051.94</v>
      </c>
      <c r="AA797">
        <v>16883.59</v>
      </c>
      <c r="AB797" s="2">
        <f t="shared" si="135"/>
        <v>9168.3499999999985</v>
      </c>
      <c r="AC797">
        <v>9168.35</v>
      </c>
      <c r="AD797" s="11">
        <f t="shared" si="142"/>
        <v>0.35192580667696921</v>
      </c>
      <c r="AE797" t="s">
        <v>103</v>
      </c>
      <c r="AF797" t="s">
        <v>69</v>
      </c>
    </row>
    <row r="798" spans="1:32">
      <c r="A798" t="s">
        <v>2469</v>
      </c>
      <c r="B798" s="2" t="str">
        <f t="shared" si="132"/>
        <v>Unique</v>
      </c>
      <c r="C798" s="2" t="str">
        <f t="shared" si="136"/>
        <v>Mar</v>
      </c>
      <c r="D798" s="2">
        <f t="shared" si="137"/>
        <v>2024</v>
      </c>
      <c r="E798" s="4">
        <v>45374</v>
      </c>
      <c r="F798" s="4">
        <v>45381</v>
      </c>
      <c r="G798" s="6">
        <f t="shared" si="133"/>
        <v>7</v>
      </c>
      <c r="H798" s="6" t="str">
        <f t="shared" si="134"/>
        <v>Valid</v>
      </c>
      <c r="I798" t="s">
        <v>2470</v>
      </c>
      <c r="J798" t="s">
        <v>142</v>
      </c>
      <c r="K798" t="s">
        <v>38</v>
      </c>
      <c r="L798" t="s">
        <v>55</v>
      </c>
      <c r="M798" t="s">
        <v>85</v>
      </c>
      <c r="O798" t="s">
        <v>75</v>
      </c>
      <c r="P798" t="s">
        <v>275</v>
      </c>
      <c r="Q798" t="s">
        <v>2471</v>
      </c>
      <c r="R798" t="s">
        <v>51</v>
      </c>
      <c r="S798">
        <v>6</v>
      </c>
      <c r="T798">
        <v>1894.44</v>
      </c>
      <c r="U798" s="2">
        <f t="shared" si="138"/>
        <v>9661.6439999999984</v>
      </c>
      <c r="V798" s="13">
        <v>0.15</v>
      </c>
      <c r="W798" s="2">
        <f t="shared" si="139"/>
        <v>0.15</v>
      </c>
      <c r="X798" s="2" t="str">
        <f t="shared" si="140"/>
        <v>Valid</v>
      </c>
      <c r="Y798" s="2" t="str">
        <f t="shared" si="141"/>
        <v>Clean</v>
      </c>
      <c r="Z798">
        <v>9661.64</v>
      </c>
      <c r="AA798">
        <v>6303.77</v>
      </c>
      <c r="AB798" s="2">
        <f t="shared" si="135"/>
        <v>3357.873999999998</v>
      </c>
      <c r="AC798">
        <v>3357.87</v>
      </c>
      <c r="AD798" s="11">
        <f t="shared" si="142"/>
        <v>0.34754658629383833</v>
      </c>
      <c r="AE798" t="s">
        <v>33</v>
      </c>
      <c r="AF798" t="s">
        <v>34</v>
      </c>
    </row>
    <row r="799" spans="1:32">
      <c r="A799" t="s">
        <v>2472</v>
      </c>
      <c r="B799" s="2" t="str">
        <f t="shared" si="132"/>
        <v>Unique</v>
      </c>
      <c r="C799" s="2" t="str">
        <f t="shared" si="136"/>
        <v>Apr</v>
      </c>
      <c r="D799" s="2">
        <f t="shared" si="137"/>
        <v>2024</v>
      </c>
      <c r="E799" s="4">
        <v>45400</v>
      </c>
      <c r="F799" s="4">
        <v>45404</v>
      </c>
      <c r="G799" s="6">
        <f t="shared" si="133"/>
        <v>4</v>
      </c>
      <c r="H799" s="6" t="str">
        <f t="shared" si="134"/>
        <v>Valid</v>
      </c>
      <c r="I799" t="s">
        <v>2473</v>
      </c>
      <c r="J799" t="s">
        <v>129</v>
      </c>
      <c r="K799" t="s">
        <v>25</v>
      </c>
      <c r="L799" t="s">
        <v>39</v>
      </c>
      <c r="M799" t="s">
        <v>40</v>
      </c>
      <c r="O799" t="s">
        <v>29</v>
      </c>
      <c r="P799" t="s">
        <v>154</v>
      </c>
      <c r="Q799" t="s">
        <v>2474</v>
      </c>
      <c r="R799" t="s">
        <v>51</v>
      </c>
      <c r="S799">
        <v>8</v>
      </c>
      <c r="T799">
        <v>1714.37</v>
      </c>
      <c r="U799" s="2">
        <f t="shared" si="138"/>
        <v>13714.96</v>
      </c>
      <c r="V799" s="13">
        <v>0</v>
      </c>
      <c r="W799" s="2">
        <f t="shared" si="139"/>
        <v>0</v>
      </c>
      <c r="X799" s="2" t="str">
        <f t="shared" si="140"/>
        <v>Valid</v>
      </c>
      <c r="Y799" s="2" t="str">
        <f t="shared" si="141"/>
        <v>Clean</v>
      </c>
      <c r="Z799">
        <v>13714.96</v>
      </c>
      <c r="AA799">
        <v>10550.47</v>
      </c>
      <c r="AB799" s="2">
        <f t="shared" si="135"/>
        <v>3164.49</v>
      </c>
      <c r="AC799">
        <v>3164.49</v>
      </c>
      <c r="AD799" s="11">
        <f t="shared" si="142"/>
        <v>0.23073271814135804</v>
      </c>
      <c r="AE799" t="s">
        <v>156</v>
      </c>
      <c r="AF799" t="s">
        <v>69</v>
      </c>
    </row>
    <row r="800" spans="1:32">
      <c r="A800" t="s">
        <v>2475</v>
      </c>
      <c r="B800" s="2" t="str">
        <f t="shared" si="132"/>
        <v>Unique</v>
      </c>
      <c r="C800" s="2" t="str">
        <f t="shared" si="136"/>
        <v>Jul</v>
      </c>
      <c r="D800" s="2">
        <f t="shared" si="137"/>
        <v>2025</v>
      </c>
      <c r="E800" s="4">
        <v>45849</v>
      </c>
      <c r="F800" s="4">
        <v>45847</v>
      </c>
      <c r="G800" s="6">
        <f t="shared" si="133"/>
        <v>-2</v>
      </c>
      <c r="H800" s="6" t="str">
        <f t="shared" si="134"/>
        <v>Invalid: Ship Date Before Order Date</v>
      </c>
      <c r="I800" t="s">
        <v>2476</v>
      </c>
      <c r="J800" t="s">
        <v>90</v>
      </c>
      <c r="K800" t="s">
        <v>91</v>
      </c>
      <c r="L800" t="s">
        <v>26</v>
      </c>
      <c r="M800" t="s">
        <v>351</v>
      </c>
      <c r="O800" t="s">
        <v>42</v>
      </c>
      <c r="P800" t="s">
        <v>58</v>
      </c>
      <c r="Q800" t="s">
        <v>2477</v>
      </c>
      <c r="R800" t="s">
        <v>60</v>
      </c>
      <c r="S800">
        <v>9</v>
      </c>
      <c r="T800">
        <v>1706.05</v>
      </c>
      <c r="U800" s="2">
        <f t="shared" si="138"/>
        <v>15354.449999999999</v>
      </c>
      <c r="V800" s="13">
        <v>0</v>
      </c>
      <c r="W800" s="2">
        <f t="shared" si="139"/>
        <v>0</v>
      </c>
      <c r="X800" s="2" t="str">
        <f t="shared" si="140"/>
        <v>Valid</v>
      </c>
      <c r="Y800" s="2" t="str">
        <f t="shared" si="141"/>
        <v>Invalid</v>
      </c>
      <c r="Z800">
        <v>15354.45</v>
      </c>
      <c r="AA800">
        <v>9656.5</v>
      </c>
      <c r="AB800" s="2">
        <f t="shared" si="135"/>
        <v>5697.9499999999989</v>
      </c>
      <c r="AC800">
        <v>5697.95</v>
      </c>
      <c r="AD800" s="11">
        <f t="shared" si="142"/>
        <v>0.37109437329243311</v>
      </c>
      <c r="AE800" t="s">
        <v>33</v>
      </c>
      <c r="AF800" t="s">
        <v>34</v>
      </c>
    </row>
    <row r="801" spans="1:32">
      <c r="A801" t="s">
        <v>2478</v>
      </c>
      <c r="B801" s="2" t="str">
        <f t="shared" si="132"/>
        <v>Unique</v>
      </c>
      <c r="C801" s="2" t="str">
        <f t="shared" si="136"/>
        <v>Oct</v>
      </c>
      <c r="D801" s="2">
        <f t="shared" si="137"/>
        <v>2024</v>
      </c>
      <c r="E801" s="4">
        <v>45575</v>
      </c>
      <c r="F801" s="4">
        <v>45582</v>
      </c>
      <c r="G801" s="6">
        <f t="shared" si="133"/>
        <v>7</v>
      </c>
      <c r="H801" s="6" t="str">
        <f t="shared" si="134"/>
        <v>Valid</v>
      </c>
      <c r="I801" t="s">
        <v>2479</v>
      </c>
      <c r="J801" t="s">
        <v>48</v>
      </c>
      <c r="K801" t="s">
        <v>96</v>
      </c>
      <c r="L801" t="s">
        <v>26</v>
      </c>
      <c r="M801" t="s">
        <v>237</v>
      </c>
      <c r="O801" t="s">
        <v>75</v>
      </c>
      <c r="P801" t="s">
        <v>76</v>
      </c>
      <c r="Q801" t="s">
        <v>2480</v>
      </c>
      <c r="R801" s="2" t="s">
        <v>2793</v>
      </c>
      <c r="S801">
        <v>5</v>
      </c>
      <c r="T801">
        <v>967.41</v>
      </c>
      <c r="U801" s="2">
        <f t="shared" si="138"/>
        <v>4595.1975000000002</v>
      </c>
      <c r="V801" s="13">
        <v>0.05</v>
      </c>
      <c r="W801" s="2">
        <f t="shared" si="139"/>
        <v>0.05</v>
      </c>
      <c r="X801" s="2" t="str">
        <f t="shared" si="140"/>
        <v>Valid</v>
      </c>
      <c r="Y801" s="2" t="str">
        <f t="shared" si="141"/>
        <v>Clean</v>
      </c>
      <c r="Z801">
        <v>4595.2</v>
      </c>
      <c r="AA801">
        <v>3887.41</v>
      </c>
      <c r="AB801" s="2">
        <f t="shared" si="135"/>
        <v>707.78750000000036</v>
      </c>
      <c r="AC801">
        <v>707.79</v>
      </c>
      <c r="AD801" s="11">
        <f t="shared" si="142"/>
        <v>0.15402811629526461</v>
      </c>
      <c r="AE801" t="s">
        <v>33</v>
      </c>
      <c r="AF801" t="s">
        <v>104</v>
      </c>
    </row>
    <row r="802" spans="1:32">
      <c r="A802" t="s">
        <v>2481</v>
      </c>
      <c r="B802" s="2" t="str">
        <f t="shared" si="132"/>
        <v>Unique</v>
      </c>
      <c r="C802" s="2" t="str">
        <f t="shared" si="136"/>
        <v>Mar</v>
      </c>
      <c r="D802" s="2">
        <f t="shared" si="137"/>
        <v>2024</v>
      </c>
      <c r="E802" s="4">
        <v>45352</v>
      </c>
      <c r="F802" s="4">
        <v>45358</v>
      </c>
      <c r="G802" s="6">
        <f t="shared" si="133"/>
        <v>6</v>
      </c>
      <c r="H802" s="6" t="str">
        <f t="shared" si="134"/>
        <v>Valid</v>
      </c>
      <c r="I802" t="s">
        <v>2482</v>
      </c>
      <c r="J802" t="s">
        <v>72</v>
      </c>
      <c r="K802" t="s">
        <v>38</v>
      </c>
      <c r="L802" t="s">
        <v>64</v>
      </c>
      <c r="M802" t="s">
        <v>65</v>
      </c>
      <c r="O802" t="s">
        <v>29</v>
      </c>
      <c r="P802" t="s">
        <v>125</v>
      </c>
      <c r="Q802" t="s">
        <v>2483</v>
      </c>
      <c r="R802" t="s">
        <v>32</v>
      </c>
      <c r="S802">
        <v>6</v>
      </c>
      <c r="T802">
        <v>4163.72</v>
      </c>
      <c r="U802" s="2">
        <f t="shared" si="138"/>
        <v>21234.971999999998</v>
      </c>
      <c r="V802" s="13">
        <v>0.15</v>
      </c>
      <c r="W802" s="2">
        <f t="shared" si="139"/>
        <v>0.15</v>
      </c>
      <c r="X802" s="2" t="str">
        <f t="shared" si="140"/>
        <v>Valid</v>
      </c>
      <c r="Y802" s="2" t="str">
        <f t="shared" si="141"/>
        <v>Clean</v>
      </c>
      <c r="Z802">
        <v>21234.97</v>
      </c>
      <c r="AA802">
        <v>16736.09</v>
      </c>
      <c r="AB802" s="2">
        <f t="shared" si="135"/>
        <v>4498.8819999999978</v>
      </c>
      <c r="AC802">
        <v>4498.88</v>
      </c>
      <c r="AD802" s="11">
        <f t="shared" si="142"/>
        <v>0.21186184863929641</v>
      </c>
      <c r="AE802" t="s">
        <v>33</v>
      </c>
      <c r="AF802" t="s">
        <v>34</v>
      </c>
    </row>
    <row r="803" spans="1:32">
      <c r="A803" t="s">
        <v>2484</v>
      </c>
      <c r="B803" s="2" t="str">
        <f t="shared" si="132"/>
        <v>Unique</v>
      </c>
      <c r="C803" s="2" t="str">
        <f t="shared" si="136"/>
        <v>Oct</v>
      </c>
      <c r="D803" s="2">
        <f t="shared" si="137"/>
        <v>2025</v>
      </c>
      <c r="E803" s="4">
        <v>45938</v>
      </c>
      <c r="F803" s="4">
        <v>45945</v>
      </c>
      <c r="G803" s="6">
        <f t="shared" si="133"/>
        <v>7</v>
      </c>
      <c r="H803" s="6" t="str">
        <f t="shared" si="134"/>
        <v>Valid</v>
      </c>
      <c r="I803" t="s">
        <v>2485</v>
      </c>
      <c r="J803" t="s">
        <v>129</v>
      </c>
      <c r="K803" t="s">
        <v>96</v>
      </c>
      <c r="L803" t="s">
        <v>39</v>
      </c>
      <c r="M803" t="s">
        <v>40</v>
      </c>
      <c r="O803" t="s">
        <v>75</v>
      </c>
      <c r="P803" t="s">
        <v>76</v>
      </c>
      <c r="Q803" t="s">
        <v>2486</v>
      </c>
      <c r="R803" t="s">
        <v>32</v>
      </c>
      <c r="S803">
        <v>3</v>
      </c>
      <c r="T803">
        <v>3372.21</v>
      </c>
      <c r="U803" s="2">
        <f t="shared" si="138"/>
        <v>8093.304000000001</v>
      </c>
      <c r="V803" s="13">
        <v>0.2</v>
      </c>
      <c r="W803" s="2">
        <f t="shared" si="139"/>
        <v>0.2</v>
      </c>
      <c r="X803" s="2" t="str">
        <f t="shared" si="140"/>
        <v>Valid</v>
      </c>
      <c r="Y803" s="2" t="str">
        <f t="shared" si="141"/>
        <v>Clean</v>
      </c>
      <c r="Z803">
        <v>8093.3</v>
      </c>
      <c r="AA803">
        <v>6052.43</v>
      </c>
      <c r="AB803" s="2">
        <f t="shared" si="135"/>
        <v>2040.8740000000007</v>
      </c>
      <c r="AC803">
        <v>2040.87</v>
      </c>
      <c r="AD803" s="11">
        <f t="shared" si="142"/>
        <v>0.252167842536419</v>
      </c>
      <c r="AE803" t="s">
        <v>112</v>
      </c>
      <c r="AF803" t="s">
        <v>69</v>
      </c>
    </row>
    <row r="804" spans="1:32">
      <c r="A804" t="s">
        <v>2487</v>
      </c>
      <c r="B804" s="2" t="str">
        <f t="shared" si="132"/>
        <v>Unique</v>
      </c>
      <c r="C804" s="2" t="str">
        <f t="shared" si="136"/>
        <v>Feb</v>
      </c>
      <c r="D804" s="2">
        <f t="shared" si="137"/>
        <v>2025</v>
      </c>
      <c r="E804" s="4">
        <v>45704</v>
      </c>
      <c r="F804" s="4">
        <v>45704</v>
      </c>
      <c r="G804" s="6">
        <f t="shared" si="133"/>
        <v>0</v>
      </c>
      <c r="H804" s="6" t="str">
        <f t="shared" si="134"/>
        <v>Valid</v>
      </c>
      <c r="I804" t="s">
        <v>2488</v>
      </c>
      <c r="J804" t="s">
        <v>142</v>
      </c>
      <c r="K804" t="s">
        <v>38</v>
      </c>
      <c r="L804" t="s">
        <v>39</v>
      </c>
      <c r="M804" t="s">
        <v>167</v>
      </c>
      <c r="O804" t="s">
        <v>42</v>
      </c>
      <c r="P804" t="s">
        <v>58</v>
      </c>
      <c r="Q804" t="s">
        <v>2489</v>
      </c>
      <c r="R804" t="s">
        <v>32</v>
      </c>
      <c r="S804">
        <v>6</v>
      </c>
      <c r="T804">
        <v>1441.91</v>
      </c>
      <c r="U804" s="2">
        <f t="shared" si="138"/>
        <v>8651.4600000000009</v>
      </c>
      <c r="V804" s="13">
        <v>0</v>
      </c>
      <c r="W804" s="2">
        <f t="shared" si="139"/>
        <v>0</v>
      </c>
      <c r="X804" s="2" t="str">
        <f t="shared" si="140"/>
        <v>Valid</v>
      </c>
      <c r="Y804" s="2" t="str">
        <f t="shared" si="141"/>
        <v>Clean</v>
      </c>
      <c r="Z804">
        <v>8651.4599999999991</v>
      </c>
      <c r="AA804">
        <v>5254.62</v>
      </c>
      <c r="AB804" s="2">
        <f t="shared" si="135"/>
        <v>3396.8400000000011</v>
      </c>
      <c r="AC804">
        <v>3396.84</v>
      </c>
      <c r="AD804" s="11">
        <f t="shared" si="142"/>
        <v>0.39263199506210517</v>
      </c>
      <c r="AE804" t="s">
        <v>156</v>
      </c>
      <c r="AF804" t="s">
        <v>104</v>
      </c>
    </row>
    <row r="805" spans="1:32">
      <c r="A805" t="s">
        <v>2490</v>
      </c>
      <c r="B805" s="2" t="str">
        <f t="shared" si="132"/>
        <v>Unique</v>
      </c>
      <c r="C805" s="2" t="str">
        <f t="shared" si="136"/>
        <v>Dec</v>
      </c>
      <c r="D805" s="2">
        <f t="shared" si="137"/>
        <v>2024</v>
      </c>
      <c r="E805" s="4">
        <v>45635</v>
      </c>
      <c r="F805" s="4">
        <v>45639</v>
      </c>
      <c r="G805" s="6">
        <f t="shared" si="133"/>
        <v>4</v>
      </c>
      <c r="H805" s="6" t="str">
        <f t="shared" si="134"/>
        <v>Valid</v>
      </c>
      <c r="I805" t="s">
        <v>2491</v>
      </c>
      <c r="J805" t="s">
        <v>142</v>
      </c>
      <c r="K805" t="s">
        <v>25</v>
      </c>
      <c r="L805" s="2" t="s">
        <v>2793</v>
      </c>
      <c r="M805" t="s">
        <v>229</v>
      </c>
      <c r="O805" t="s">
        <v>29</v>
      </c>
      <c r="P805" t="s">
        <v>92</v>
      </c>
      <c r="Q805" t="s">
        <v>2492</v>
      </c>
      <c r="R805" t="s">
        <v>51</v>
      </c>
      <c r="S805">
        <v>1</v>
      </c>
      <c r="T805">
        <v>4306.6499999999996</v>
      </c>
      <c r="U805" s="2">
        <f t="shared" si="138"/>
        <v>4306.6499999999996</v>
      </c>
      <c r="V805" s="13">
        <v>0</v>
      </c>
      <c r="W805" s="2">
        <f>IF(OR(V805&lt;0,V805&gt;1),"Invalid",V805)</f>
        <v>0</v>
      </c>
      <c r="X805" s="2" t="str">
        <f t="shared" si="140"/>
        <v>Valid</v>
      </c>
      <c r="Y805" s="2" t="str">
        <f t="shared" si="141"/>
        <v>Clean</v>
      </c>
      <c r="Z805">
        <v>4306.6499999999996</v>
      </c>
      <c r="AA805">
        <v>2568.8200000000002</v>
      </c>
      <c r="AB805" s="2">
        <f t="shared" si="135"/>
        <v>1737.8299999999995</v>
      </c>
      <c r="AC805">
        <v>1737.83</v>
      </c>
      <c r="AD805" s="11">
        <f t="shared" si="142"/>
        <v>0.40352245945224247</v>
      </c>
      <c r="AE805" t="s">
        <v>33</v>
      </c>
      <c r="AF805" t="s">
        <v>34</v>
      </c>
    </row>
    <row r="806" spans="1:32">
      <c r="A806" t="s">
        <v>2493</v>
      </c>
      <c r="B806" s="2" t="str">
        <f t="shared" si="132"/>
        <v>Unique</v>
      </c>
      <c r="C806" s="2" t="str">
        <f t="shared" si="136"/>
        <v>Sep</v>
      </c>
      <c r="D806" s="2">
        <f t="shared" si="137"/>
        <v>2025</v>
      </c>
      <c r="E806" s="4">
        <v>45910</v>
      </c>
      <c r="F806" s="4">
        <v>45918</v>
      </c>
      <c r="G806" s="6">
        <f t="shared" si="133"/>
        <v>8</v>
      </c>
      <c r="H806" s="6" t="str">
        <f t="shared" si="134"/>
        <v>Valid</v>
      </c>
      <c r="I806" t="s">
        <v>2494</v>
      </c>
      <c r="J806" t="s">
        <v>119</v>
      </c>
      <c r="K806" t="s">
        <v>96</v>
      </c>
      <c r="L806" t="s">
        <v>55</v>
      </c>
      <c r="M806" t="s">
        <v>56</v>
      </c>
      <c r="O806" t="s">
        <v>42</v>
      </c>
      <c r="P806" t="s">
        <v>58</v>
      </c>
      <c r="Q806" t="s">
        <v>2495</v>
      </c>
      <c r="R806" t="s">
        <v>60</v>
      </c>
      <c r="S806">
        <v>1</v>
      </c>
      <c r="T806">
        <v>2050.62</v>
      </c>
      <c r="U806" s="2">
        <f t="shared" si="138"/>
        <v>1948.0889999999997</v>
      </c>
      <c r="V806" s="13">
        <v>0.05</v>
      </c>
      <c r="W806" s="2">
        <f t="shared" ref="W806:W869" si="143">IF(OR(V806&lt;0,V806&gt;1),"Invalid",V806)</f>
        <v>0.05</v>
      </c>
      <c r="X806" s="2" t="str">
        <f t="shared" si="140"/>
        <v>Valid</v>
      </c>
      <c r="Y806" s="2" t="str">
        <f t="shared" si="141"/>
        <v>Clean</v>
      </c>
      <c r="Z806">
        <v>1948.09</v>
      </c>
      <c r="AA806">
        <v>1507.08</v>
      </c>
      <c r="AB806" s="2">
        <f t="shared" si="135"/>
        <v>441.00899999999979</v>
      </c>
      <c r="AC806">
        <v>441.01</v>
      </c>
      <c r="AD806" s="11">
        <f t="shared" si="142"/>
        <v>0.22638071136343804</v>
      </c>
      <c r="AE806" t="s">
        <v>33</v>
      </c>
      <c r="AF806" t="s">
        <v>34</v>
      </c>
    </row>
    <row r="807" spans="1:32">
      <c r="A807" t="s">
        <v>2496</v>
      </c>
      <c r="B807" s="2" t="str">
        <f t="shared" si="132"/>
        <v>Unique</v>
      </c>
      <c r="C807" s="2" t="str">
        <f t="shared" si="136"/>
        <v>Apr</v>
      </c>
      <c r="D807" s="2">
        <f t="shared" si="137"/>
        <v>2025</v>
      </c>
      <c r="E807" s="4">
        <v>45753</v>
      </c>
      <c r="F807" s="4">
        <v>45754</v>
      </c>
      <c r="G807" s="6">
        <f t="shared" si="133"/>
        <v>1</v>
      </c>
      <c r="H807" s="6" t="str">
        <f t="shared" si="134"/>
        <v>Valid</v>
      </c>
      <c r="I807" t="s">
        <v>2361</v>
      </c>
      <c r="J807" t="s">
        <v>115</v>
      </c>
      <c r="K807" t="s">
        <v>96</v>
      </c>
      <c r="L807" t="s">
        <v>39</v>
      </c>
      <c r="M807" t="s">
        <v>167</v>
      </c>
      <c r="O807" t="s">
        <v>29</v>
      </c>
      <c r="P807" t="s">
        <v>154</v>
      </c>
      <c r="Q807" t="s">
        <v>2497</v>
      </c>
      <c r="R807" t="s">
        <v>32</v>
      </c>
      <c r="S807">
        <v>2</v>
      </c>
      <c r="T807">
        <v>2030.06</v>
      </c>
      <c r="U807" s="2">
        <f t="shared" si="138"/>
        <v>3045.09</v>
      </c>
      <c r="V807" s="13">
        <v>0.25</v>
      </c>
      <c r="W807" s="2">
        <f t="shared" si="143"/>
        <v>0.25</v>
      </c>
      <c r="X807" s="2" t="str">
        <f t="shared" si="140"/>
        <v>Valid</v>
      </c>
      <c r="Y807" s="2" t="str">
        <f t="shared" si="141"/>
        <v>Clean</v>
      </c>
      <c r="Z807">
        <v>3045.09</v>
      </c>
      <c r="AA807">
        <v>2601.09</v>
      </c>
      <c r="AB807" s="2">
        <f t="shared" si="135"/>
        <v>444</v>
      </c>
      <c r="AC807">
        <v>444</v>
      </c>
      <c r="AD807" s="11">
        <f t="shared" si="142"/>
        <v>0.14580849827098705</v>
      </c>
      <c r="AE807" t="s">
        <v>33</v>
      </c>
      <c r="AF807" t="s">
        <v>34</v>
      </c>
    </row>
    <row r="808" spans="1:32">
      <c r="A808" t="s">
        <v>2498</v>
      </c>
      <c r="B808" s="2" t="str">
        <f t="shared" si="132"/>
        <v>Unique</v>
      </c>
      <c r="C808" s="2" t="str">
        <f t="shared" si="136"/>
        <v>Nov</v>
      </c>
      <c r="D808" s="2">
        <f t="shared" si="137"/>
        <v>2024</v>
      </c>
      <c r="E808" s="4">
        <v>45605</v>
      </c>
      <c r="F808" s="4">
        <v>45611</v>
      </c>
      <c r="G808" s="6">
        <f t="shared" si="133"/>
        <v>6</v>
      </c>
      <c r="H808" s="6" t="str">
        <f t="shared" si="134"/>
        <v>Valid</v>
      </c>
      <c r="I808" t="s">
        <v>2499</v>
      </c>
      <c r="J808" t="s">
        <v>48</v>
      </c>
      <c r="K808" t="s">
        <v>96</v>
      </c>
      <c r="L808" t="s">
        <v>26</v>
      </c>
      <c r="M808" t="s">
        <v>27</v>
      </c>
      <c r="O808" t="s">
        <v>75</v>
      </c>
      <c r="P808" t="s">
        <v>81</v>
      </c>
      <c r="Q808" t="s">
        <v>2500</v>
      </c>
      <c r="R808" t="s">
        <v>60</v>
      </c>
      <c r="S808">
        <v>1</v>
      </c>
      <c r="T808">
        <v>3665.97</v>
      </c>
      <c r="U808" s="2">
        <f t="shared" si="138"/>
        <v>2932.7759999999998</v>
      </c>
      <c r="V808" s="13">
        <v>0.2</v>
      </c>
      <c r="W808" s="2">
        <f t="shared" si="143"/>
        <v>0.2</v>
      </c>
      <c r="X808" s="2" t="str">
        <f t="shared" si="140"/>
        <v>Valid</v>
      </c>
      <c r="Y808" s="2" t="str">
        <f t="shared" si="141"/>
        <v>Clean</v>
      </c>
      <c r="Z808">
        <v>2932.78</v>
      </c>
      <c r="AA808">
        <v>1900.35</v>
      </c>
      <c r="AB808" s="2">
        <f t="shared" si="135"/>
        <v>1032.4259999999999</v>
      </c>
      <c r="AC808">
        <v>1032.43</v>
      </c>
      <c r="AD808" s="11">
        <f t="shared" si="142"/>
        <v>0.3520311786086921</v>
      </c>
      <c r="AE808" t="s">
        <v>156</v>
      </c>
      <c r="AF808" t="s">
        <v>69</v>
      </c>
    </row>
    <row r="809" spans="1:32">
      <c r="A809" t="s">
        <v>2501</v>
      </c>
      <c r="B809" s="2" t="str">
        <f t="shared" si="132"/>
        <v>Unique</v>
      </c>
      <c r="C809" s="2" t="str">
        <f t="shared" si="136"/>
        <v>Feb</v>
      </c>
      <c r="D809" s="2">
        <f t="shared" si="137"/>
        <v>2025</v>
      </c>
      <c r="E809" s="4">
        <v>45695</v>
      </c>
      <c r="F809" s="4">
        <v>45696</v>
      </c>
      <c r="G809" s="6">
        <f t="shared" si="133"/>
        <v>1</v>
      </c>
      <c r="H809" s="6" t="str">
        <f t="shared" si="134"/>
        <v>Valid</v>
      </c>
      <c r="I809" t="s">
        <v>2502</v>
      </c>
      <c r="J809" t="s">
        <v>24</v>
      </c>
      <c r="K809" t="s">
        <v>38</v>
      </c>
      <c r="L809" t="s">
        <v>55</v>
      </c>
      <c r="M809" t="s">
        <v>56</v>
      </c>
      <c r="O809" t="s">
        <v>29</v>
      </c>
      <c r="P809" t="s">
        <v>92</v>
      </c>
      <c r="Q809" t="s">
        <v>2503</v>
      </c>
      <c r="R809" t="s">
        <v>60</v>
      </c>
      <c r="S809">
        <v>2</v>
      </c>
      <c r="T809">
        <v>2432.98</v>
      </c>
      <c r="U809" s="2">
        <f t="shared" si="138"/>
        <v>4379.3640000000005</v>
      </c>
      <c r="V809" s="13">
        <v>0.1</v>
      </c>
      <c r="W809" s="2">
        <f t="shared" si="143"/>
        <v>0.1</v>
      </c>
      <c r="X809" s="2" t="str">
        <f t="shared" si="140"/>
        <v>Valid</v>
      </c>
      <c r="Y809" s="2" t="str">
        <f t="shared" si="141"/>
        <v>Clean</v>
      </c>
      <c r="Z809">
        <v>4379.3599999999997</v>
      </c>
      <c r="AA809">
        <v>3723.93</v>
      </c>
      <c r="AB809" s="2">
        <f t="shared" si="135"/>
        <v>655.43400000000065</v>
      </c>
      <c r="AC809">
        <v>655.43</v>
      </c>
      <c r="AD809" s="11">
        <f t="shared" si="142"/>
        <v>0.1496634211391619</v>
      </c>
      <c r="AE809" t="s">
        <v>33</v>
      </c>
      <c r="AF809" t="s">
        <v>34</v>
      </c>
    </row>
    <row r="810" spans="1:32">
      <c r="A810" t="s">
        <v>2504</v>
      </c>
      <c r="B810" s="2" t="str">
        <f t="shared" si="132"/>
        <v>Unique</v>
      </c>
      <c r="C810" s="2" t="str">
        <f t="shared" si="136"/>
        <v>Aug</v>
      </c>
      <c r="D810" s="2">
        <f t="shared" si="137"/>
        <v>2025</v>
      </c>
      <c r="E810" s="4">
        <v>45900</v>
      </c>
      <c r="F810" s="4">
        <v>45897</v>
      </c>
      <c r="G810" s="6">
        <f t="shared" si="133"/>
        <v>-3</v>
      </c>
      <c r="H810" s="6" t="str">
        <f t="shared" si="134"/>
        <v>Invalid: Ship Date Before Order Date</v>
      </c>
      <c r="I810" t="s">
        <v>2505</v>
      </c>
      <c r="J810" t="s">
        <v>129</v>
      </c>
      <c r="K810" t="s">
        <v>38</v>
      </c>
      <c r="L810" t="s">
        <v>55</v>
      </c>
      <c r="M810" t="s">
        <v>248</v>
      </c>
      <c r="O810" t="s">
        <v>42</v>
      </c>
      <c r="P810" t="s">
        <v>58</v>
      </c>
      <c r="Q810" t="s">
        <v>2506</v>
      </c>
      <c r="R810" t="s">
        <v>51</v>
      </c>
      <c r="S810">
        <v>7</v>
      </c>
      <c r="T810">
        <v>977.28</v>
      </c>
      <c r="U810" s="2">
        <f t="shared" si="138"/>
        <v>5472.768</v>
      </c>
      <c r="V810" s="13">
        <v>0.2</v>
      </c>
      <c r="W810" s="2">
        <f t="shared" si="143"/>
        <v>0.2</v>
      </c>
      <c r="X810" s="2" t="str">
        <f t="shared" si="140"/>
        <v>Valid</v>
      </c>
      <c r="Y810" s="2" t="str">
        <f t="shared" si="141"/>
        <v>Invalid</v>
      </c>
      <c r="Z810">
        <v>5472.77</v>
      </c>
      <c r="AA810">
        <v>4477.33</v>
      </c>
      <c r="AB810" s="2">
        <f t="shared" si="135"/>
        <v>995.4380000000001</v>
      </c>
      <c r="AC810">
        <v>995.44</v>
      </c>
      <c r="AD810" s="11">
        <f t="shared" si="142"/>
        <v>0.18188960983194982</v>
      </c>
      <c r="AE810" t="s">
        <v>33</v>
      </c>
      <c r="AF810" t="s">
        <v>34</v>
      </c>
    </row>
    <row r="811" spans="1:32">
      <c r="A811" t="s">
        <v>2507</v>
      </c>
      <c r="B811" s="2" t="str">
        <f t="shared" si="132"/>
        <v>Unique</v>
      </c>
      <c r="C811" s="2" t="str">
        <f t="shared" si="136"/>
        <v>Jun</v>
      </c>
      <c r="D811" s="2">
        <f t="shared" si="137"/>
        <v>2025</v>
      </c>
      <c r="E811" s="4">
        <v>45833</v>
      </c>
      <c r="F811" s="4">
        <v>45833</v>
      </c>
      <c r="G811" s="6">
        <f t="shared" si="133"/>
        <v>0</v>
      </c>
      <c r="H811" s="6" t="str">
        <f t="shared" si="134"/>
        <v>Valid</v>
      </c>
      <c r="I811" t="s">
        <v>2508</v>
      </c>
      <c r="J811" t="s">
        <v>54</v>
      </c>
      <c r="K811" t="s">
        <v>38</v>
      </c>
      <c r="L811" s="2" t="s">
        <v>2793</v>
      </c>
      <c r="M811" t="s">
        <v>123</v>
      </c>
      <c r="O811" t="s">
        <v>29</v>
      </c>
      <c r="P811" t="s">
        <v>154</v>
      </c>
      <c r="Q811" t="s">
        <v>2509</v>
      </c>
      <c r="R811" t="s">
        <v>32</v>
      </c>
      <c r="S811">
        <v>6</v>
      </c>
      <c r="T811">
        <v>1366.13</v>
      </c>
      <c r="U811" s="2">
        <f t="shared" si="138"/>
        <v>7377.1020000000008</v>
      </c>
      <c r="V811" s="13">
        <v>0.1</v>
      </c>
      <c r="W811" s="2">
        <f t="shared" si="143"/>
        <v>0.1</v>
      </c>
      <c r="X811" s="2" t="str">
        <f t="shared" si="140"/>
        <v>Valid</v>
      </c>
      <c r="Y811" s="2" t="str">
        <f t="shared" si="141"/>
        <v>Clean</v>
      </c>
      <c r="Z811">
        <v>7377.1</v>
      </c>
      <c r="AA811">
        <v>5085.21</v>
      </c>
      <c r="AB811" s="2">
        <f t="shared" si="135"/>
        <v>2291.8920000000007</v>
      </c>
      <c r="AC811">
        <v>2291.89</v>
      </c>
      <c r="AD811" s="11">
        <f t="shared" si="142"/>
        <v>0.31067628200783504</v>
      </c>
      <c r="AE811" t="s">
        <v>33</v>
      </c>
      <c r="AF811" t="s">
        <v>34</v>
      </c>
    </row>
    <row r="812" spans="1:32">
      <c r="A812" t="s">
        <v>2510</v>
      </c>
      <c r="B812" s="2" t="str">
        <f t="shared" si="132"/>
        <v>Unique</v>
      </c>
      <c r="C812" s="2" t="str">
        <f t="shared" si="136"/>
        <v>Apr</v>
      </c>
      <c r="D812" s="2">
        <f t="shared" si="137"/>
        <v>2024</v>
      </c>
      <c r="E812" s="4">
        <v>45385</v>
      </c>
      <c r="F812" s="4">
        <v>45390</v>
      </c>
      <c r="G812" s="6">
        <f t="shared" si="133"/>
        <v>5</v>
      </c>
      <c r="H812" s="6" t="str">
        <f t="shared" si="134"/>
        <v>Valid</v>
      </c>
      <c r="I812" t="s">
        <v>1672</v>
      </c>
      <c r="J812" t="s">
        <v>265</v>
      </c>
      <c r="K812" t="s">
        <v>96</v>
      </c>
      <c r="L812" t="s">
        <v>64</v>
      </c>
      <c r="M812" t="s">
        <v>181</v>
      </c>
      <c r="O812" t="s">
        <v>75</v>
      </c>
      <c r="P812" t="s">
        <v>81</v>
      </c>
      <c r="Q812" t="s">
        <v>2511</v>
      </c>
      <c r="R812" t="s">
        <v>51</v>
      </c>
      <c r="S812">
        <v>1</v>
      </c>
      <c r="T812">
        <v>3151.85</v>
      </c>
      <c r="U812" s="2">
        <f t="shared" si="138"/>
        <v>2363.8874999999998</v>
      </c>
      <c r="V812" s="13">
        <v>0.25</v>
      </c>
      <c r="W812" s="2">
        <f t="shared" si="143"/>
        <v>0.25</v>
      </c>
      <c r="X812" s="2" t="str">
        <f t="shared" si="140"/>
        <v>Valid</v>
      </c>
      <c r="Y812" s="2" t="str">
        <f t="shared" si="141"/>
        <v>Clean</v>
      </c>
      <c r="Z812">
        <v>2363.89</v>
      </c>
      <c r="AA812">
        <v>1471.51</v>
      </c>
      <c r="AB812" s="2">
        <f t="shared" si="135"/>
        <v>892.37749999999983</v>
      </c>
      <c r="AC812">
        <v>892.38</v>
      </c>
      <c r="AD812" s="11">
        <f t="shared" si="142"/>
        <v>0.37750487543836642</v>
      </c>
      <c r="AE812" t="s">
        <v>33</v>
      </c>
      <c r="AF812" t="s">
        <v>34</v>
      </c>
    </row>
    <row r="813" spans="1:32">
      <c r="A813" t="s">
        <v>2512</v>
      </c>
      <c r="B813" s="2" t="str">
        <f t="shared" si="132"/>
        <v>Unique</v>
      </c>
      <c r="C813" s="2" t="str">
        <f t="shared" si="136"/>
        <v>Dec</v>
      </c>
      <c r="D813" s="2">
        <f t="shared" si="137"/>
        <v>2024</v>
      </c>
      <c r="E813" s="4">
        <v>45638</v>
      </c>
      <c r="F813" s="4">
        <v>45645</v>
      </c>
      <c r="G813" s="6">
        <f t="shared" si="133"/>
        <v>7</v>
      </c>
      <c r="H813" s="6" t="str">
        <f t="shared" si="134"/>
        <v>Valid</v>
      </c>
      <c r="I813" t="s">
        <v>2513</v>
      </c>
      <c r="J813" t="s">
        <v>142</v>
      </c>
      <c r="K813" t="s">
        <v>96</v>
      </c>
      <c r="L813" t="s">
        <v>26</v>
      </c>
      <c r="M813" t="s">
        <v>237</v>
      </c>
      <c r="O813" t="s">
        <v>75</v>
      </c>
      <c r="P813" t="s">
        <v>76</v>
      </c>
      <c r="Q813" t="s">
        <v>2514</v>
      </c>
      <c r="R813" t="s">
        <v>51</v>
      </c>
      <c r="S813">
        <v>2</v>
      </c>
      <c r="T813">
        <v>1610.75</v>
      </c>
      <c r="U813" s="2">
        <f t="shared" si="138"/>
        <v>2577.2000000000003</v>
      </c>
      <c r="V813" s="13">
        <v>0.2</v>
      </c>
      <c r="W813" s="2">
        <f t="shared" si="143"/>
        <v>0.2</v>
      </c>
      <c r="X813" s="2" t="str">
        <f t="shared" si="140"/>
        <v>Valid</v>
      </c>
      <c r="Y813" s="2" t="str">
        <f t="shared" si="141"/>
        <v>Clean</v>
      </c>
      <c r="Z813">
        <v>2577.1999999999998</v>
      </c>
      <c r="AA813">
        <v>1475.87</v>
      </c>
      <c r="AB813" s="2">
        <f t="shared" si="135"/>
        <v>1101.3300000000004</v>
      </c>
      <c r="AC813">
        <v>1101.33</v>
      </c>
      <c r="AD813" s="11">
        <f t="shared" si="142"/>
        <v>0.42733586838429305</v>
      </c>
      <c r="AE813" t="s">
        <v>33</v>
      </c>
      <c r="AF813" t="s">
        <v>34</v>
      </c>
    </row>
    <row r="814" spans="1:32">
      <c r="A814" t="s">
        <v>2515</v>
      </c>
      <c r="B814" s="2" t="str">
        <f t="shared" si="132"/>
        <v>Unique</v>
      </c>
      <c r="C814" s="2" t="str">
        <f t="shared" si="136"/>
        <v>Jun</v>
      </c>
      <c r="D814" s="2">
        <f t="shared" si="137"/>
        <v>2024</v>
      </c>
      <c r="E814" s="4">
        <v>45458</v>
      </c>
      <c r="F814" s="4">
        <v>45463</v>
      </c>
      <c r="G814" s="6">
        <f t="shared" si="133"/>
        <v>5</v>
      </c>
      <c r="H814" s="6" t="str">
        <f t="shared" si="134"/>
        <v>Valid</v>
      </c>
      <c r="I814" t="s">
        <v>2516</v>
      </c>
      <c r="J814" t="s">
        <v>133</v>
      </c>
      <c r="K814" t="s">
        <v>38</v>
      </c>
      <c r="L814" t="s">
        <v>39</v>
      </c>
      <c r="M814" t="s">
        <v>229</v>
      </c>
      <c r="O814" t="s">
        <v>42</v>
      </c>
      <c r="P814" t="s">
        <v>43</v>
      </c>
      <c r="Q814" t="s">
        <v>2517</v>
      </c>
      <c r="R814" t="s">
        <v>51</v>
      </c>
      <c r="S814">
        <v>8</v>
      </c>
      <c r="T814">
        <v>2228.4699999999998</v>
      </c>
      <c r="U814" s="2">
        <f t="shared" si="138"/>
        <v>17827.759999999998</v>
      </c>
      <c r="V814" s="13">
        <v>0</v>
      </c>
      <c r="W814" s="2">
        <f t="shared" si="143"/>
        <v>0</v>
      </c>
      <c r="X814" s="2" t="str">
        <f t="shared" si="140"/>
        <v>Valid</v>
      </c>
      <c r="Y814" s="2" t="str">
        <f t="shared" si="141"/>
        <v>Clean</v>
      </c>
      <c r="Z814">
        <v>17827.759999999998</v>
      </c>
      <c r="AA814">
        <v>14122.13</v>
      </c>
      <c r="AB814" s="2">
        <f t="shared" si="135"/>
        <v>3705.6299999999992</v>
      </c>
      <c r="AC814">
        <v>3705.63</v>
      </c>
      <c r="AD814" s="11">
        <f t="shared" si="142"/>
        <v>0.20785729671029901</v>
      </c>
      <c r="AE814" t="s">
        <v>33</v>
      </c>
      <c r="AF814" t="s">
        <v>34</v>
      </c>
    </row>
    <row r="815" spans="1:32">
      <c r="A815" t="s">
        <v>2518</v>
      </c>
      <c r="B815" s="2" t="str">
        <f t="shared" si="132"/>
        <v>Unique</v>
      </c>
      <c r="C815" s="2" t="str">
        <f t="shared" si="136"/>
        <v>Apr</v>
      </c>
      <c r="D815" s="2">
        <f t="shared" si="137"/>
        <v>2025</v>
      </c>
      <c r="E815" s="4">
        <v>45753</v>
      </c>
      <c r="F815" s="4">
        <v>45757</v>
      </c>
      <c r="G815" s="6">
        <f t="shared" si="133"/>
        <v>4</v>
      </c>
      <c r="H815" s="6" t="str">
        <f t="shared" si="134"/>
        <v>Valid</v>
      </c>
      <c r="I815" t="s">
        <v>2519</v>
      </c>
      <c r="J815" t="s">
        <v>142</v>
      </c>
      <c r="K815" t="s">
        <v>25</v>
      </c>
      <c r="L815" t="s">
        <v>39</v>
      </c>
      <c r="M815" t="s">
        <v>40</v>
      </c>
      <c r="O815" t="s">
        <v>42</v>
      </c>
      <c r="P815" t="s">
        <v>159</v>
      </c>
      <c r="Q815" t="s">
        <v>1125</v>
      </c>
      <c r="R815" t="s">
        <v>60</v>
      </c>
      <c r="S815">
        <v>2</v>
      </c>
      <c r="T815">
        <v>1337.67</v>
      </c>
      <c r="U815" s="2">
        <f t="shared" si="138"/>
        <v>2675.34</v>
      </c>
      <c r="V815" s="13">
        <v>0</v>
      </c>
      <c r="W815" s="2">
        <f t="shared" si="143"/>
        <v>0</v>
      </c>
      <c r="X815" s="2" t="str">
        <f t="shared" si="140"/>
        <v>Valid</v>
      </c>
      <c r="Y815" s="2" t="str">
        <f t="shared" si="141"/>
        <v>Clean</v>
      </c>
      <c r="Z815">
        <v>2675.34</v>
      </c>
      <c r="AA815">
        <v>1595.87</v>
      </c>
      <c r="AB815" s="2">
        <f t="shared" si="135"/>
        <v>1079.4700000000003</v>
      </c>
      <c r="AC815">
        <v>1079.47</v>
      </c>
      <c r="AD815" s="11">
        <f t="shared" si="142"/>
        <v>0.40348890234512247</v>
      </c>
      <c r="AE815" t="s">
        <v>33</v>
      </c>
      <c r="AF815" t="s">
        <v>34</v>
      </c>
    </row>
    <row r="816" spans="1:32">
      <c r="A816" t="s">
        <v>2520</v>
      </c>
      <c r="B816" s="2" t="str">
        <f t="shared" si="132"/>
        <v>Unique</v>
      </c>
      <c r="C816" s="2" t="str">
        <f t="shared" si="136"/>
        <v>Aug</v>
      </c>
      <c r="D816" s="2">
        <f t="shared" si="137"/>
        <v>2025</v>
      </c>
      <c r="E816" s="4">
        <v>45875</v>
      </c>
      <c r="F816" s="4">
        <v>45880</v>
      </c>
      <c r="G816" s="6">
        <f t="shared" si="133"/>
        <v>5</v>
      </c>
      <c r="H816" s="6" t="str">
        <f t="shared" si="134"/>
        <v>Valid</v>
      </c>
      <c r="I816" t="s">
        <v>2521</v>
      </c>
      <c r="J816" t="s">
        <v>54</v>
      </c>
      <c r="K816" t="s">
        <v>25</v>
      </c>
      <c r="L816" t="s">
        <v>64</v>
      </c>
      <c r="M816" t="s">
        <v>73</v>
      </c>
      <c r="O816" t="s">
        <v>29</v>
      </c>
      <c r="P816" t="s">
        <v>92</v>
      </c>
      <c r="Q816" t="s">
        <v>2522</v>
      </c>
      <c r="R816" t="s">
        <v>51</v>
      </c>
      <c r="S816">
        <v>2</v>
      </c>
      <c r="T816">
        <v>2375.94</v>
      </c>
      <c r="U816" s="2">
        <f t="shared" si="138"/>
        <v>3563.91</v>
      </c>
      <c r="V816" s="13">
        <v>0.25</v>
      </c>
      <c r="W816" s="2">
        <f t="shared" si="143"/>
        <v>0.25</v>
      </c>
      <c r="X816" s="2" t="str">
        <f t="shared" si="140"/>
        <v>Valid</v>
      </c>
      <c r="Y816" s="2" t="str">
        <f t="shared" si="141"/>
        <v>Clean</v>
      </c>
      <c r="Z816">
        <v>3563.91</v>
      </c>
      <c r="AA816">
        <v>2639.7</v>
      </c>
      <c r="AB816" s="2">
        <f t="shared" si="135"/>
        <v>924.21</v>
      </c>
      <c r="AC816">
        <v>924.21</v>
      </c>
      <c r="AD816" s="11">
        <f t="shared" si="142"/>
        <v>0.25932473042248544</v>
      </c>
      <c r="AE816" t="s">
        <v>33</v>
      </c>
      <c r="AF816" t="s">
        <v>34</v>
      </c>
    </row>
    <row r="817" spans="1:32">
      <c r="A817" t="s">
        <v>2523</v>
      </c>
      <c r="B817" s="2" t="str">
        <f t="shared" si="132"/>
        <v>Unique</v>
      </c>
      <c r="C817" s="2" t="str">
        <f t="shared" si="136"/>
        <v>Apr</v>
      </c>
      <c r="D817" s="2">
        <f t="shared" si="137"/>
        <v>2024</v>
      </c>
      <c r="E817" s="4">
        <v>45383</v>
      </c>
      <c r="F817" s="4">
        <v>45390</v>
      </c>
      <c r="G817" s="6">
        <f t="shared" si="133"/>
        <v>7</v>
      </c>
      <c r="H817" s="6" t="str">
        <f t="shared" si="134"/>
        <v>Valid</v>
      </c>
      <c r="I817" t="s">
        <v>2524</v>
      </c>
      <c r="J817" t="s">
        <v>163</v>
      </c>
      <c r="K817" t="s">
        <v>25</v>
      </c>
      <c r="L817" t="s">
        <v>39</v>
      </c>
      <c r="M817" t="s">
        <v>40</v>
      </c>
      <c r="O817" t="s">
        <v>75</v>
      </c>
      <c r="P817" t="s">
        <v>275</v>
      </c>
      <c r="Q817" t="s">
        <v>2525</v>
      </c>
      <c r="R817" t="s">
        <v>60</v>
      </c>
      <c r="S817">
        <v>7</v>
      </c>
      <c r="T817">
        <v>715.81</v>
      </c>
      <c r="U817" s="2">
        <f t="shared" si="138"/>
        <v>4259.0694999999996</v>
      </c>
      <c r="V817" s="13">
        <v>0.15</v>
      </c>
      <c r="W817" s="2">
        <f t="shared" si="143"/>
        <v>0.15</v>
      </c>
      <c r="X817" s="2" t="str">
        <f t="shared" si="140"/>
        <v>Valid</v>
      </c>
      <c r="Y817" s="2" t="str">
        <f t="shared" si="141"/>
        <v>Clean</v>
      </c>
      <c r="Z817">
        <v>4259.07</v>
      </c>
      <c r="AA817">
        <v>3130.32</v>
      </c>
      <c r="AB817" s="2">
        <f t="shared" si="135"/>
        <v>1128.7494999999994</v>
      </c>
      <c r="AC817">
        <v>1128.75</v>
      </c>
      <c r="AD817" s="11">
        <f t="shared" si="142"/>
        <v>0.26502264578886942</v>
      </c>
      <c r="AE817" t="s">
        <v>112</v>
      </c>
      <c r="AF817" t="s">
        <v>69</v>
      </c>
    </row>
    <row r="818" spans="1:32">
      <c r="A818" t="s">
        <v>2526</v>
      </c>
      <c r="B818" s="2" t="str">
        <f t="shared" si="132"/>
        <v>Unique</v>
      </c>
      <c r="C818" s="2" t="str">
        <f t="shared" si="136"/>
        <v>Nov</v>
      </c>
      <c r="D818" s="2">
        <f t="shared" si="137"/>
        <v>2024</v>
      </c>
      <c r="E818" s="4">
        <v>45623</v>
      </c>
      <c r="F818" s="4">
        <v>45626</v>
      </c>
      <c r="G818" s="6">
        <f t="shared" si="133"/>
        <v>3</v>
      </c>
      <c r="H818" s="6" t="str">
        <f t="shared" si="134"/>
        <v>Valid</v>
      </c>
      <c r="I818" t="s">
        <v>2527</v>
      </c>
      <c r="J818" t="s">
        <v>119</v>
      </c>
      <c r="K818" t="s">
        <v>38</v>
      </c>
      <c r="L818" t="s">
        <v>39</v>
      </c>
      <c r="M818" t="s">
        <v>229</v>
      </c>
      <c r="O818" t="s">
        <v>42</v>
      </c>
      <c r="P818" t="s">
        <v>58</v>
      </c>
      <c r="Q818" t="s">
        <v>2528</v>
      </c>
      <c r="R818" t="s">
        <v>51</v>
      </c>
      <c r="S818">
        <v>1</v>
      </c>
      <c r="T818">
        <v>874.3</v>
      </c>
      <c r="U818" s="2">
        <f t="shared" si="138"/>
        <v>786.87</v>
      </c>
      <c r="V818" s="13">
        <v>0.1</v>
      </c>
      <c r="W818" s="2">
        <f t="shared" si="143"/>
        <v>0.1</v>
      </c>
      <c r="X818" s="2" t="str">
        <f t="shared" si="140"/>
        <v>Valid</v>
      </c>
      <c r="Y818" s="2" t="str">
        <f t="shared" si="141"/>
        <v>Clean</v>
      </c>
      <c r="Z818">
        <v>786.87</v>
      </c>
      <c r="AA818">
        <v>498.5</v>
      </c>
      <c r="AB818" s="2">
        <f t="shared" si="135"/>
        <v>288.37</v>
      </c>
      <c r="AC818">
        <v>288.37</v>
      </c>
      <c r="AD818" s="11">
        <f t="shared" si="142"/>
        <v>0.36647730883119195</v>
      </c>
      <c r="AE818" t="s">
        <v>33</v>
      </c>
      <c r="AF818" t="s">
        <v>34</v>
      </c>
    </row>
    <row r="819" spans="1:32">
      <c r="A819" t="s">
        <v>2529</v>
      </c>
      <c r="B819" s="2" t="str">
        <f t="shared" si="132"/>
        <v>Unique</v>
      </c>
      <c r="C819" s="2" t="str">
        <f t="shared" si="136"/>
        <v>Apr</v>
      </c>
      <c r="D819" s="2">
        <f t="shared" si="137"/>
        <v>2025</v>
      </c>
      <c r="E819" s="4">
        <v>45752</v>
      </c>
      <c r="F819" s="4">
        <v>45752</v>
      </c>
      <c r="G819" s="6">
        <f t="shared" si="133"/>
        <v>0</v>
      </c>
      <c r="H819" s="6" t="str">
        <f t="shared" si="134"/>
        <v>Valid</v>
      </c>
      <c r="I819" t="s">
        <v>2530</v>
      </c>
      <c r="J819" t="s">
        <v>133</v>
      </c>
      <c r="K819" t="s">
        <v>25</v>
      </c>
      <c r="L819" t="s">
        <v>39</v>
      </c>
      <c r="M819" t="s">
        <v>146</v>
      </c>
      <c r="O819" t="s">
        <v>29</v>
      </c>
      <c r="P819" t="s">
        <v>154</v>
      </c>
      <c r="Q819" t="s">
        <v>2531</v>
      </c>
      <c r="R819" t="s">
        <v>60</v>
      </c>
      <c r="S819">
        <v>6</v>
      </c>
      <c r="T819">
        <v>1829.69</v>
      </c>
      <c r="U819" s="2">
        <f t="shared" si="138"/>
        <v>8233.6049999999996</v>
      </c>
      <c r="V819" s="13">
        <v>0.25</v>
      </c>
      <c r="W819" s="2">
        <f t="shared" si="143"/>
        <v>0.25</v>
      </c>
      <c r="X819" s="2" t="str">
        <f t="shared" si="140"/>
        <v>Valid</v>
      </c>
      <c r="Y819" s="2" t="str">
        <f t="shared" si="141"/>
        <v>Clean</v>
      </c>
      <c r="Z819">
        <v>8233.6</v>
      </c>
      <c r="AA819">
        <v>4713.79</v>
      </c>
      <c r="AB819" s="2">
        <f t="shared" si="135"/>
        <v>3519.8149999999996</v>
      </c>
      <c r="AC819">
        <v>3519.81</v>
      </c>
      <c r="AD819" s="11">
        <f t="shared" si="142"/>
        <v>0.42749344150796731</v>
      </c>
      <c r="AE819" t="s">
        <v>33</v>
      </c>
      <c r="AF819" t="s">
        <v>34</v>
      </c>
    </row>
    <row r="820" spans="1:32">
      <c r="A820" t="s">
        <v>2532</v>
      </c>
      <c r="B820" s="2" t="str">
        <f t="shared" si="132"/>
        <v>Unique</v>
      </c>
      <c r="C820" s="2" t="str">
        <f t="shared" si="136"/>
        <v>Sep</v>
      </c>
      <c r="D820" s="2">
        <f t="shared" si="137"/>
        <v>2024</v>
      </c>
      <c r="E820" s="4">
        <v>45564</v>
      </c>
      <c r="F820" s="4">
        <v>45570</v>
      </c>
      <c r="G820" s="6">
        <f t="shared" si="133"/>
        <v>6</v>
      </c>
      <c r="H820" s="6" t="str">
        <f t="shared" si="134"/>
        <v>Valid</v>
      </c>
      <c r="I820" t="s">
        <v>2533</v>
      </c>
      <c r="J820" t="s">
        <v>115</v>
      </c>
      <c r="K820" t="s">
        <v>38</v>
      </c>
      <c r="L820" t="s">
        <v>64</v>
      </c>
      <c r="M820" t="s">
        <v>65</v>
      </c>
      <c r="O820" t="s">
        <v>29</v>
      </c>
      <c r="P820" t="s">
        <v>92</v>
      </c>
      <c r="Q820" t="s">
        <v>2534</v>
      </c>
      <c r="R820" t="s">
        <v>51</v>
      </c>
      <c r="S820">
        <v>8</v>
      </c>
      <c r="T820">
        <v>1981.04</v>
      </c>
      <c r="U820" s="2" t="str">
        <f t="shared" si="138"/>
        <v>Invalid</v>
      </c>
      <c r="V820" s="13">
        <v>-0.14000000000000001</v>
      </c>
      <c r="W820" s="2" t="str">
        <f t="shared" si="143"/>
        <v>Invalid</v>
      </c>
      <c r="X820" s="2" t="str">
        <f t="shared" si="140"/>
        <v>Invalid</v>
      </c>
      <c r="Y820" s="2" t="str">
        <f t="shared" si="141"/>
        <v>Invalid</v>
      </c>
      <c r="Z820">
        <v>12678.66</v>
      </c>
      <c r="AA820">
        <v>10088.65</v>
      </c>
      <c r="AB820" s="2" t="str">
        <f t="shared" si="135"/>
        <v>Invalid</v>
      </c>
      <c r="AC820">
        <v>2590.0100000000002</v>
      </c>
      <c r="AD820" s="11">
        <f t="shared" si="142"/>
        <v>0.20428105178307487</v>
      </c>
      <c r="AE820" t="s">
        <v>33</v>
      </c>
      <c r="AF820" t="s">
        <v>34</v>
      </c>
    </row>
    <row r="821" spans="1:32">
      <c r="A821" t="s">
        <v>2535</v>
      </c>
      <c r="B821" s="2" t="str">
        <f t="shared" si="132"/>
        <v>Unique</v>
      </c>
      <c r="C821" s="2" t="str">
        <f t="shared" si="136"/>
        <v>Jul</v>
      </c>
      <c r="D821" s="2">
        <f t="shared" si="137"/>
        <v>2024</v>
      </c>
      <c r="E821" s="4">
        <v>45504</v>
      </c>
      <c r="F821" s="4">
        <v>45504</v>
      </c>
      <c r="G821" s="6">
        <f t="shared" si="133"/>
        <v>0</v>
      </c>
      <c r="H821" s="6" t="str">
        <f t="shared" si="134"/>
        <v>Valid</v>
      </c>
      <c r="I821" t="s">
        <v>2536</v>
      </c>
      <c r="J821" t="s">
        <v>24</v>
      </c>
      <c r="K821" t="s">
        <v>96</v>
      </c>
      <c r="L821" t="s">
        <v>55</v>
      </c>
      <c r="M821" t="s">
        <v>186</v>
      </c>
      <c r="O821" t="s">
        <v>75</v>
      </c>
      <c r="P821" t="s">
        <v>2537</v>
      </c>
      <c r="Q821" t="s">
        <v>2538</v>
      </c>
      <c r="R821" t="s">
        <v>60</v>
      </c>
      <c r="S821">
        <v>8</v>
      </c>
      <c r="T821">
        <v>4246.01</v>
      </c>
      <c r="U821" s="2">
        <f t="shared" si="138"/>
        <v>33968.080000000002</v>
      </c>
      <c r="V821" s="13">
        <v>0</v>
      </c>
      <c r="W821" s="2">
        <f t="shared" si="143"/>
        <v>0</v>
      </c>
      <c r="X821" s="2" t="str">
        <f t="shared" si="140"/>
        <v>Valid</v>
      </c>
      <c r="Y821" s="2" t="str">
        <f t="shared" si="141"/>
        <v>Clean</v>
      </c>
      <c r="Z821">
        <v>33968.080000000002</v>
      </c>
      <c r="AA821">
        <v>26902.44</v>
      </c>
      <c r="AB821" s="2">
        <f t="shared" si="135"/>
        <v>7065.6400000000031</v>
      </c>
      <c r="AC821">
        <v>7065.64</v>
      </c>
      <c r="AD821" s="11">
        <f t="shared" si="142"/>
        <v>0.20800822419165288</v>
      </c>
      <c r="AE821" t="s">
        <v>156</v>
      </c>
      <c r="AF821" t="s">
        <v>69</v>
      </c>
    </row>
    <row r="822" spans="1:32">
      <c r="A822" t="s">
        <v>2539</v>
      </c>
      <c r="B822" s="2" t="str">
        <f t="shared" si="132"/>
        <v>Unique</v>
      </c>
      <c r="C822" s="2" t="str">
        <f t="shared" si="136"/>
        <v>Feb</v>
      </c>
      <c r="D822" s="2">
        <f t="shared" si="137"/>
        <v>2025</v>
      </c>
      <c r="E822" s="4">
        <v>45694</v>
      </c>
      <c r="F822" s="4">
        <v>45698</v>
      </c>
      <c r="G822" s="6">
        <f t="shared" si="133"/>
        <v>4</v>
      </c>
      <c r="H822" s="6" t="str">
        <f t="shared" si="134"/>
        <v>Valid</v>
      </c>
      <c r="I822" t="s">
        <v>2540</v>
      </c>
      <c r="J822" t="s">
        <v>63</v>
      </c>
      <c r="K822" t="s">
        <v>96</v>
      </c>
      <c r="L822" t="s">
        <v>26</v>
      </c>
      <c r="M822" t="s">
        <v>137</v>
      </c>
      <c r="O822" t="s">
        <v>42</v>
      </c>
      <c r="P822" t="s">
        <v>159</v>
      </c>
      <c r="Q822" t="s">
        <v>2541</v>
      </c>
      <c r="R822" t="s">
        <v>60</v>
      </c>
      <c r="S822">
        <v>2</v>
      </c>
      <c r="T822">
        <v>319.57</v>
      </c>
      <c r="U822" s="2">
        <f t="shared" si="138"/>
        <v>511.31200000000001</v>
      </c>
      <c r="V822" s="13">
        <v>0.2</v>
      </c>
      <c r="W822" s="2">
        <f t="shared" si="143"/>
        <v>0.2</v>
      </c>
      <c r="X822" s="2" t="str">
        <f t="shared" si="140"/>
        <v>Valid</v>
      </c>
      <c r="Y822" s="2" t="str">
        <f t="shared" si="141"/>
        <v>Clean</v>
      </c>
      <c r="Z822">
        <v>511.31</v>
      </c>
      <c r="AA822">
        <v>436.43</v>
      </c>
      <c r="AB822" s="2">
        <f t="shared" si="135"/>
        <v>74.882000000000005</v>
      </c>
      <c r="AC822">
        <v>74.88</v>
      </c>
      <c r="AD822" s="11">
        <f t="shared" si="142"/>
        <v>0.14644736070094463</v>
      </c>
      <c r="AE822" t="s">
        <v>33</v>
      </c>
      <c r="AF822" t="s">
        <v>34</v>
      </c>
    </row>
    <row r="823" spans="1:32">
      <c r="A823" t="s">
        <v>2542</v>
      </c>
      <c r="B823" s="2" t="str">
        <f t="shared" si="132"/>
        <v>Unique</v>
      </c>
      <c r="C823" s="2" t="str">
        <f t="shared" si="136"/>
        <v>Jul</v>
      </c>
      <c r="D823" s="2">
        <f t="shared" si="137"/>
        <v>2024</v>
      </c>
      <c r="E823" s="4">
        <v>45476</v>
      </c>
      <c r="F823" s="4">
        <v>45479</v>
      </c>
      <c r="G823" s="6">
        <f t="shared" si="133"/>
        <v>3</v>
      </c>
      <c r="H823" s="6" t="str">
        <f t="shared" si="134"/>
        <v>Valid</v>
      </c>
      <c r="I823" t="s">
        <v>2543</v>
      </c>
      <c r="J823" t="s">
        <v>129</v>
      </c>
      <c r="K823" t="s">
        <v>91</v>
      </c>
      <c r="L823" t="s">
        <v>55</v>
      </c>
      <c r="M823" t="s">
        <v>176</v>
      </c>
      <c r="O823" t="s">
        <v>75</v>
      </c>
      <c r="P823" t="s">
        <v>76</v>
      </c>
      <c r="Q823" t="s">
        <v>2544</v>
      </c>
      <c r="R823" t="s">
        <v>51</v>
      </c>
      <c r="S823">
        <v>7</v>
      </c>
      <c r="T823">
        <v>1942.49</v>
      </c>
      <c r="U823" s="2">
        <f t="shared" si="138"/>
        <v>10877.944000000001</v>
      </c>
      <c r="V823" s="13">
        <v>0.2</v>
      </c>
      <c r="W823" s="2">
        <f t="shared" si="143"/>
        <v>0.2</v>
      </c>
      <c r="X823" s="2" t="str">
        <f t="shared" si="140"/>
        <v>Valid</v>
      </c>
      <c r="Y823" s="2" t="str">
        <f t="shared" si="141"/>
        <v>Clean</v>
      </c>
      <c r="Z823">
        <v>10877.94</v>
      </c>
      <c r="AA823">
        <v>9110.14</v>
      </c>
      <c r="AB823" s="2">
        <f t="shared" si="135"/>
        <v>1767.8040000000019</v>
      </c>
      <c r="AC823">
        <v>1767.8</v>
      </c>
      <c r="AD823" s="11">
        <f t="shared" si="142"/>
        <v>0.16251238745571311</v>
      </c>
      <c r="AE823" t="s">
        <v>33</v>
      </c>
      <c r="AF823" t="s">
        <v>34</v>
      </c>
    </row>
    <row r="824" spans="1:32">
      <c r="A824" t="s">
        <v>2545</v>
      </c>
      <c r="B824" s="2" t="str">
        <f t="shared" si="132"/>
        <v>Unique</v>
      </c>
      <c r="C824" s="2" t="str">
        <f t="shared" si="136"/>
        <v>Oct</v>
      </c>
      <c r="D824" s="2">
        <f t="shared" si="137"/>
        <v>2024</v>
      </c>
      <c r="E824" s="4">
        <v>45577</v>
      </c>
      <c r="F824" s="4">
        <v>45573</v>
      </c>
      <c r="G824" s="6">
        <f t="shared" si="133"/>
        <v>-4</v>
      </c>
      <c r="H824" s="6" t="str">
        <f t="shared" si="134"/>
        <v>Invalid: Ship Date Before Order Date</v>
      </c>
      <c r="I824" t="s">
        <v>2546</v>
      </c>
      <c r="J824" t="s">
        <v>37</v>
      </c>
      <c r="K824" t="s">
        <v>91</v>
      </c>
      <c r="L824" t="s">
        <v>39</v>
      </c>
      <c r="M824" t="s">
        <v>167</v>
      </c>
      <c r="O824" t="s">
        <v>42</v>
      </c>
      <c r="P824" t="s">
        <v>58</v>
      </c>
      <c r="Q824" t="s">
        <v>2547</v>
      </c>
      <c r="R824" t="s">
        <v>32</v>
      </c>
      <c r="S824">
        <v>4</v>
      </c>
      <c r="T824">
        <v>3202.04</v>
      </c>
      <c r="U824" s="2">
        <f t="shared" si="138"/>
        <v>10246.528</v>
      </c>
      <c r="V824" s="13">
        <v>0.2</v>
      </c>
      <c r="W824" s="2">
        <f t="shared" si="143"/>
        <v>0.2</v>
      </c>
      <c r="X824" s="2" t="str">
        <f t="shared" si="140"/>
        <v>Valid</v>
      </c>
      <c r="Y824" s="2" t="str">
        <f t="shared" si="141"/>
        <v>Invalid</v>
      </c>
      <c r="Z824">
        <v>10246.530000000001</v>
      </c>
      <c r="AA824">
        <v>8634.42</v>
      </c>
      <c r="AB824" s="2">
        <f t="shared" si="135"/>
        <v>1612.1080000000002</v>
      </c>
      <c r="AC824">
        <v>1612.11</v>
      </c>
      <c r="AD824" s="11">
        <f t="shared" si="142"/>
        <v>0.15733228712549516</v>
      </c>
      <c r="AE824" t="s">
        <v>112</v>
      </c>
      <c r="AF824" t="s">
        <v>104</v>
      </c>
    </row>
    <row r="825" spans="1:32">
      <c r="A825" t="s">
        <v>2548</v>
      </c>
      <c r="B825" s="2" t="str">
        <f t="shared" si="132"/>
        <v>Unique</v>
      </c>
      <c r="C825" s="2" t="str">
        <f t="shared" si="136"/>
        <v>Jan</v>
      </c>
      <c r="D825" s="2">
        <f t="shared" si="137"/>
        <v>2025</v>
      </c>
      <c r="E825" s="4">
        <v>45663</v>
      </c>
      <c r="F825" s="4">
        <v>45669</v>
      </c>
      <c r="G825" s="6">
        <f t="shared" si="133"/>
        <v>6</v>
      </c>
      <c r="H825" s="6" t="str">
        <f t="shared" si="134"/>
        <v>Valid</v>
      </c>
      <c r="I825" t="s">
        <v>2549</v>
      </c>
      <c r="J825" t="s">
        <v>37</v>
      </c>
      <c r="K825" t="s">
        <v>96</v>
      </c>
      <c r="L825" t="s">
        <v>64</v>
      </c>
      <c r="M825" t="s">
        <v>191</v>
      </c>
      <c r="O825" t="s">
        <v>29</v>
      </c>
      <c r="P825" t="s">
        <v>30</v>
      </c>
      <c r="Q825" t="s">
        <v>2550</v>
      </c>
      <c r="R825" t="s">
        <v>45</v>
      </c>
      <c r="S825">
        <v>3</v>
      </c>
      <c r="T825">
        <v>668.33</v>
      </c>
      <c r="U825" s="2">
        <f t="shared" si="138"/>
        <v>1704.2415000000001</v>
      </c>
      <c r="V825" s="13">
        <v>0.15</v>
      </c>
      <c r="W825" s="2">
        <f t="shared" si="143"/>
        <v>0.15</v>
      </c>
      <c r="X825" s="2" t="str">
        <f t="shared" si="140"/>
        <v>Valid</v>
      </c>
      <c r="Y825" s="2" t="str">
        <f t="shared" si="141"/>
        <v>Clean</v>
      </c>
      <c r="Z825">
        <v>1704.24</v>
      </c>
      <c r="AA825">
        <v>957.55</v>
      </c>
      <c r="AB825" s="2">
        <f t="shared" si="135"/>
        <v>746.69150000000013</v>
      </c>
      <c r="AC825">
        <v>746.69</v>
      </c>
      <c r="AD825" s="11">
        <f t="shared" si="142"/>
        <v>0.43813664742055114</v>
      </c>
      <c r="AE825" t="s">
        <v>33</v>
      </c>
      <c r="AF825" t="s">
        <v>34</v>
      </c>
    </row>
    <row r="826" spans="1:32">
      <c r="A826" t="s">
        <v>2551</v>
      </c>
      <c r="B826" s="2" t="str">
        <f t="shared" si="132"/>
        <v>Unique</v>
      </c>
      <c r="C826" s="2" t="str">
        <f t="shared" si="136"/>
        <v>Mar</v>
      </c>
      <c r="D826" s="2">
        <f t="shared" si="137"/>
        <v>2025</v>
      </c>
      <c r="E826" s="4">
        <v>45737</v>
      </c>
      <c r="F826" s="4">
        <v>45738</v>
      </c>
      <c r="G826" s="6">
        <f t="shared" si="133"/>
        <v>1</v>
      </c>
      <c r="H826" s="6" t="str">
        <f t="shared" si="134"/>
        <v>Valid</v>
      </c>
      <c r="I826" t="s">
        <v>2552</v>
      </c>
      <c r="J826" t="s">
        <v>115</v>
      </c>
      <c r="K826" t="s">
        <v>25</v>
      </c>
      <c r="L826" t="s">
        <v>64</v>
      </c>
      <c r="M826" t="s">
        <v>191</v>
      </c>
      <c r="O826" t="s">
        <v>29</v>
      </c>
      <c r="P826" t="s">
        <v>30</v>
      </c>
      <c r="Q826" t="s">
        <v>2553</v>
      </c>
      <c r="R826" t="s">
        <v>51</v>
      </c>
      <c r="S826">
        <v>8</v>
      </c>
      <c r="T826">
        <v>4436.74</v>
      </c>
      <c r="U826" s="2">
        <f t="shared" si="138"/>
        <v>33719.223999999995</v>
      </c>
      <c r="V826" s="13">
        <v>0.05</v>
      </c>
      <c r="W826" s="2">
        <f t="shared" si="143"/>
        <v>0.05</v>
      </c>
      <c r="X826" s="2" t="str">
        <f t="shared" si="140"/>
        <v>Valid</v>
      </c>
      <c r="Y826" s="2" t="str">
        <f t="shared" si="141"/>
        <v>Clean</v>
      </c>
      <c r="Z826">
        <v>33719.22</v>
      </c>
      <c r="AA826">
        <v>28924.43</v>
      </c>
      <c r="AB826" s="2">
        <f t="shared" si="135"/>
        <v>4794.7939999999944</v>
      </c>
      <c r="AC826">
        <v>4794.79</v>
      </c>
      <c r="AD826" s="11">
        <f t="shared" si="142"/>
        <v>0.14219753600468812</v>
      </c>
      <c r="AE826" t="s">
        <v>33</v>
      </c>
      <c r="AF826" t="s">
        <v>34</v>
      </c>
    </row>
    <row r="827" spans="1:32">
      <c r="A827" t="s">
        <v>2554</v>
      </c>
      <c r="B827" s="2" t="str">
        <f t="shared" si="132"/>
        <v>Unique</v>
      </c>
      <c r="C827" s="2" t="str">
        <f t="shared" si="136"/>
        <v>Apr</v>
      </c>
      <c r="D827" s="2">
        <f t="shared" si="137"/>
        <v>2025</v>
      </c>
      <c r="E827" s="4">
        <v>45763</v>
      </c>
      <c r="F827" s="4">
        <v>45764</v>
      </c>
      <c r="G827" s="6">
        <f t="shared" si="133"/>
        <v>1</v>
      </c>
      <c r="H827" s="6" t="str">
        <f t="shared" si="134"/>
        <v>Valid</v>
      </c>
      <c r="I827" t="s">
        <v>2555</v>
      </c>
      <c r="J827" t="s">
        <v>72</v>
      </c>
      <c r="K827" t="s">
        <v>38</v>
      </c>
      <c r="L827" t="s">
        <v>26</v>
      </c>
      <c r="M827" t="s">
        <v>137</v>
      </c>
      <c r="O827" t="s">
        <v>75</v>
      </c>
      <c r="P827" t="s">
        <v>275</v>
      </c>
      <c r="Q827" t="s">
        <v>2556</v>
      </c>
      <c r="R827" t="s">
        <v>51</v>
      </c>
      <c r="S827">
        <v>1</v>
      </c>
      <c r="T827">
        <v>2720.17</v>
      </c>
      <c r="U827" s="2">
        <f t="shared" si="138"/>
        <v>2720.17</v>
      </c>
      <c r="V827" s="13">
        <v>0</v>
      </c>
      <c r="W827" s="2">
        <f t="shared" si="143"/>
        <v>0</v>
      </c>
      <c r="X827" s="2" t="str">
        <f t="shared" si="140"/>
        <v>Valid</v>
      </c>
      <c r="Y827" s="2" t="str">
        <f t="shared" si="141"/>
        <v>Clean</v>
      </c>
      <c r="Z827">
        <v>2720.17</v>
      </c>
      <c r="AA827">
        <v>1834.23</v>
      </c>
      <c r="AB827" s="2">
        <f t="shared" si="135"/>
        <v>885.94</v>
      </c>
      <c r="AC827">
        <v>885.94</v>
      </c>
      <c r="AD827" s="11">
        <f t="shared" si="142"/>
        <v>0.3256928794891496</v>
      </c>
      <c r="AE827" t="s">
        <v>33</v>
      </c>
      <c r="AF827" t="s">
        <v>34</v>
      </c>
    </row>
    <row r="828" spans="1:32">
      <c r="A828" t="s">
        <v>2557</v>
      </c>
      <c r="B828" s="2" t="str">
        <f t="shared" si="132"/>
        <v>Unique</v>
      </c>
      <c r="C828" s="2" t="str">
        <f t="shared" si="136"/>
        <v>Aug</v>
      </c>
      <c r="D828" s="2">
        <f t="shared" si="137"/>
        <v>2025</v>
      </c>
      <c r="E828" s="4">
        <v>45879</v>
      </c>
      <c r="F828" s="4">
        <v>45883</v>
      </c>
      <c r="G828" s="6">
        <f t="shared" si="133"/>
        <v>4</v>
      </c>
      <c r="H828" s="6" t="str">
        <f t="shared" si="134"/>
        <v>Valid</v>
      </c>
      <c r="I828" t="s">
        <v>2558</v>
      </c>
      <c r="J828" t="s">
        <v>90</v>
      </c>
      <c r="K828" t="s">
        <v>25</v>
      </c>
      <c r="L828" t="s">
        <v>64</v>
      </c>
      <c r="M828" t="s">
        <v>27</v>
      </c>
      <c r="O828" t="s">
        <v>75</v>
      </c>
      <c r="P828" t="s">
        <v>76</v>
      </c>
      <c r="Q828" t="s">
        <v>2559</v>
      </c>
      <c r="R828" t="s">
        <v>60</v>
      </c>
      <c r="S828">
        <v>5</v>
      </c>
      <c r="T828">
        <v>2190.14</v>
      </c>
      <c r="U828" s="2">
        <f t="shared" si="138"/>
        <v>8213.0249999999996</v>
      </c>
      <c r="V828" s="13">
        <v>0.25</v>
      </c>
      <c r="W828" s="2">
        <f t="shared" si="143"/>
        <v>0.25</v>
      </c>
      <c r="X828" s="2" t="str">
        <f t="shared" si="140"/>
        <v>Valid</v>
      </c>
      <c r="Y828" s="2" t="str">
        <f t="shared" si="141"/>
        <v>Clean</v>
      </c>
      <c r="Z828">
        <v>8213.02</v>
      </c>
      <c r="AA828">
        <v>5569.3</v>
      </c>
      <c r="AB828" s="2">
        <f t="shared" si="135"/>
        <v>2643.7249999999995</v>
      </c>
      <c r="AC828">
        <v>2643.72</v>
      </c>
      <c r="AD828" s="11">
        <f t="shared" si="142"/>
        <v>0.32189377354493226</v>
      </c>
      <c r="AE828" t="s">
        <v>33</v>
      </c>
      <c r="AF828" t="s">
        <v>34</v>
      </c>
    </row>
    <row r="829" spans="1:32">
      <c r="A829" t="s">
        <v>2560</v>
      </c>
      <c r="B829" s="2" t="str">
        <f t="shared" si="132"/>
        <v>Unique</v>
      </c>
      <c r="C829" s="2" t="str">
        <f t="shared" si="136"/>
        <v>Nov</v>
      </c>
      <c r="D829" s="2">
        <f t="shared" si="137"/>
        <v>2024</v>
      </c>
      <c r="E829" s="4">
        <v>45620</v>
      </c>
      <c r="F829" s="4">
        <v>45627</v>
      </c>
      <c r="G829" s="6">
        <f t="shared" si="133"/>
        <v>7</v>
      </c>
      <c r="H829" s="6" t="str">
        <f t="shared" si="134"/>
        <v>Valid</v>
      </c>
      <c r="I829" t="s">
        <v>2561</v>
      </c>
      <c r="J829" t="s">
        <v>115</v>
      </c>
      <c r="K829" t="s">
        <v>96</v>
      </c>
      <c r="L829" t="s">
        <v>55</v>
      </c>
      <c r="M829" t="s">
        <v>248</v>
      </c>
      <c r="O829" t="s">
        <v>29</v>
      </c>
      <c r="P829" t="s">
        <v>30</v>
      </c>
      <c r="Q829" t="s">
        <v>2562</v>
      </c>
      <c r="R829" t="s">
        <v>45</v>
      </c>
      <c r="S829">
        <v>1</v>
      </c>
      <c r="T829">
        <v>844.89</v>
      </c>
      <c r="U829" s="2">
        <f t="shared" si="138"/>
        <v>633.66750000000002</v>
      </c>
      <c r="V829" s="13">
        <v>0.25</v>
      </c>
      <c r="W829" s="2">
        <f t="shared" si="143"/>
        <v>0.25</v>
      </c>
      <c r="X829" s="2" t="str">
        <f t="shared" si="140"/>
        <v>Valid</v>
      </c>
      <c r="Y829" s="2" t="str">
        <f t="shared" si="141"/>
        <v>Clean</v>
      </c>
      <c r="Z829">
        <v>633.66999999999996</v>
      </c>
      <c r="AA829">
        <v>520.47</v>
      </c>
      <c r="AB829" s="2">
        <f t="shared" si="135"/>
        <v>113.19749999999999</v>
      </c>
      <c r="AC829">
        <v>113.2</v>
      </c>
      <c r="AD829" s="11">
        <f t="shared" si="142"/>
        <v>0.1786418798428204</v>
      </c>
      <c r="AE829" t="s">
        <v>33</v>
      </c>
      <c r="AF829" t="s">
        <v>69</v>
      </c>
    </row>
    <row r="830" spans="1:32">
      <c r="A830" t="s">
        <v>2563</v>
      </c>
      <c r="B830" s="2" t="str">
        <f t="shared" si="132"/>
        <v>Unique</v>
      </c>
      <c r="C830" s="2" t="str">
        <f t="shared" si="136"/>
        <v>Oct</v>
      </c>
      <c r="D830" s="2">
        <f t="shared" si="137"/>
        <v>2025</v>
      </c>
      <c r="E830" s="4">
        <v>45940</v>
      </c>
      <c r="F830" s="4">
        <v>45941</v>
      </c>
      <c r="G830" s="6">
        <f t="shared" si="133"/>
        <v>1</v>
      </c>
      <c r="H830" s="6" t="str">
        <f t="shared" si="134"/>
        <v>Valid</v>
      </c>
      <c r="I830" t="s">
        <v>2564</v>
      </c>
      <c r="J830" t="s">
        <v>24</v>
      </c>
      <c r="K830" t="s">
        <v>91</v>
      </c>
      <c r="L830" t="s">
        <v>39</v>
      </c>
      <c r="M830" t="s">
        <v>40</v>
      </c>
      <c r="O830" t="s">
        <v>42</v>
      </c>
      <c r="P830" t="s">
        <v>67</v>
      </c>
      <c r="Q830" t="s">
        <v>2565</v>
      </c>
      <c r="R830" t="s">
        <v>32</v>
      </c>
      <c r="S830">
        <v>7</v>
      </c>
      <c r="T830">
        <v>3791.96</v>
      </c>
      <c r="U830" s="2">
        <f t="shared" si="138"/>
        <v>25216.534</v>
      </c>
      <c r="V830" s="13">
        <v>0.05</v>
      </c>
      <c r="W830" s="2">
        <f t="shared" si="143"/>
        <v>0.05</v>
      </c>
      <c r="X830" s="2" t="str">
        <f t="shared" si="140"/>
        <v>Valid</v>
      </c>
      <c r="Y830" s="2" t="str">
        <f t="shared" si="141"/>
        <v>Clean</v>
      </c>
      <c r="Z830">
        <v>25216.53</v>
      </c>
      <c r="AA830">
        <v>14216.94</v>
      </c>
      <c r="AB830" s="2">
        <f t="shared" si="135"/>
        <v>10999.593999999999</v>
      </c>
      <c r="AC830">
        <v>10999.59</v>
      </c>
      <c r="AD830" s="11">
        <f t="shared" si="142"/>
        <v>0.43620553660634515</v>
      </c>
      <c r="AE830" t="s">
        <v>156</v>
      </c>
      <c r="AF830" t="s">
        <v>69</v>
      </c>
    </row>
    <row r="831" spans="1:32">
      <c r="A831" t="s">
        <v>2566</v>
      </c>
      <c r="B831" s="2" t="str">
        <f t="shared" si="132"/>
        <v>Unique</v>
      </c>
      <c r="C831" s="2" t="str">
        <f t="shared" si="136"/>
        <v>Feb</v>
      </c>
      <c r="D831" s="2">
        <f t="shared" si="137"/>
        <v>2024</v>
      </c>
      <c r="E831" s="4">
        <v>45348</v>
      </c>
      <c r="F831" s="4">
        <v>45350</v>
      </c>
      <c r="G831" s="6">
        <f t="shared" si="133"/>
        <v>2</v>
      </c>
      <c r="H831" s="6" t="str">
        <f t="shared" si="134"/>
        <v>Valid</v>
      </c>
      <c r="I831" t="s">
        <v>2567</v>
      </c>
      <c r="J831" t="s">
        <v>90</v>
      </c>
      <c r="K831" t="s">
        <v>38</v>
      </c>
      <c r="L831" t="s">
        <v>64</v>
      </c>
      <c r="M831" t="s">
        <v>191</v>
      </c>
      <c r="O831" t="s">
        <v>42</v>
      </c>
      <c r="P831" t="s">
        <v>58</v>
      </c>
      <c r="Q831" t="s">
        <v>2568</v>
      </c>
      <c r="R831" t="s">
        <v>32</v>
      </c>
      <c r="S831">
        <v>7</v>
      </c>
      <c r="T831">
        <v>1035.1400000000001</v>
      </c>
      <c r="U831" s="2">
        <f t="shared" si="138"/>
        <v>6521.3820000000005</v>
      </c>
      <c r="V831" s="13">
        <v>0.1</v>
      </c>
      <c r="W831" s="2">
        <f t="shared" si="143"/>
        <v>0.1</v>
      </c>
      <c r="X831" s="2" t="str">
        <f t="shared" si="140"/>
        <v>Valid</v>
      </c>
      <c r="Y831" s="2" t="str">
        <f t="shared" si="141"/>
        <v>Clean</v>
      </c>
      <c r="Z831">
        <v>6521.38</v>
      </c>
      <c r="AA831">
        <v>4511.1000000000004</v>
      </c>
      <c r="AB831" s="2">
        <f t="shared" si="135"/>
        <v>2010.2820000000002</v>
      </c>
      <c r="AC831">
        <v>2010.28</v>
      </c>
      <c r="AD831" s="11">
        <f t="shared" si="142"/>
        <v>0.30825990817894372</v>
      </c>
      <c r="AE831" t="s">
        <v>33</v>
      </c>
      <c r="AF831" t="s">
        <v>34</v>
      </c>
    </row>
    <row r="832" spans="1:32">
      <c r="A832" t="s">
        <v>2569</v>
      </c>
      <c r="B832" s="2" t="str">
        <f t="shared" si="132"/>
        <v>Unique</v>
      </c>
      <c r="C832" s="2" t="str">
        <f t="shared" si="136"/>
        <v>Jul</v>
      </c>
      <c r="D832" s="2">
        <f t="shared" si="137"/>
        <v>2025</v>
      </c>
      <c r="E832" s="4">
        <v>45853</v>
      </c>
      <c r="F832" s="4">
        <v>45856</v>
      </c>
      <c r="G832" s="6">
        <f t="shared" si="133"/>
        <v>3</v>
      </c>
      <c r="H832" s="6" t="str">
        <f t="shared" si="134"/>
        <v>Valid</v>
      </c>
      <c r="I832" t="s">
        <v>2570</v>
      </c>
      <c r="J832" t="s">
        <v>90</v>
      </c>
      <c r="K832" t="s">
        <v>38</v>
      </c>
      <c r="L832" s="2" t="s">
        <v>2793</v>
      </c>
      <c r="M832" t="s">
        <v>248</v>
      </c>
      <c r="O832" t="s">
        <v>75</v>
      </c>
      <c r="P832" t="s">
        <v>275</v>
      </c>
      <c r="Q832" t="s">
        <v>2571</v>
      </c>
      <c r="R832" t="s">
        <v>51</v>
      </c>
      <c r="S832">
        <v>6</v>
      </c>
      <c r="T832">
        <v>2382.88</v>
      </c>
      <c r="U832" s="2">
        <f t="shared" si="138"/>
        <v>12867.552000000001</v>
      </c>
      <c r="V832" s="13">
        <v>0.1</v>
      </c>
      <c r="W832" s="2">
        <f t="shared" si="143"/>
        <v>0.1</v>
      </c>
      <c r="X832" s="2" t="str">
        <f t="shared" si="140"/>
        <v>Valid</v>
      </c>
      <c r="Y832" s="2" t="str">
        <f t="shared" si="141"/>
        <v>Clean</v>
      </c>
      <c r="Z832">
        <v>12867.55</v>
      </c>
      <c r="AA832">
        <v>10068.94</v>
      </c>
      <c r="AB832" s="2">
        <f t="shared" si="135"/>
        <v>2798.612000000001</v>
      </c>
      <c r="AC832">
        <v>2798.61</v>
      </c>
      <c r="AD832" s="11">
        <f t="shared" si="142"/>
        <v>0.2174936176661447</v>
      </c>
      <c r="AE832" t="s">
        <v>33</v>
      </c>
      <c r="AF832" t="s">
        <v>34</v>
      </c>
    </row>
    <row r="833" spans="1:32">
      <c r="A833" t="s">
        <v>2572</v>
      </c>
      <c r="B833" s="2" t="str">
        <f t="shared" si="132"/>
        <v>Unique</v>
      </c>
      <c r="C833" s="2" t="str">
        <f t="shared" si="136"/>
        <v>Apr</v>
      </c>
      <c r="D833" s="2">
        <f t="shared" si="137"/>
        <v>2025</v>
      </c>
      <c r="E833" s="4">
        <v>45750</v>
      </c>
      <c r="F833" s="4">
        <v>45750</v>
      </c>
      <c r="G833" s="6">
        <f t="shared" si="133"/>
        <v>0</v>
      </c>
      <c r="H833" s="6" t="str">
        <f t="shared" si="134"/>
        <v>Valid</v>
      </c>
      <c r="I833" t="s">
        <v>2573</v>
      </c>
      <c r="J833" t="s">
        <v>163</v>
      </c>
      <c r="K833" t="s">
        <v>96</v>
      </c>
      <c r="L833" s="2" t="s">
        <v>2793</v>
      </c>
      <c r="M833" t="s">
        <v>237</v>
      </c>
      <c r="O833" t="s">
        <v>42</v>
      </c>
      <c r="P833" t="s">
        <v>67</v>
      </c>
      <c r="Q833" t="s">
        <v>2574</v>
      </c>
      <c r="R833" t="s">
        <v>51</v>
      </c>
      <c r="S833">
        <v>9</v>
      </c>
      <c r="T833">
        <v>3462.7</v>
      </c>
      <c r="U833" s="2">
        <f t="shared" si="138"/>
        <v>26489.654999999999</v>
      </c>
      <c r="V833" s="13">
        <v>0.15</v>
      </c>
      <c r="W833" s="2">
        <f t="shared" si="143"/>
        <v>0.15</v>
      </c>
      <c r="X833" s="2" t="str">
        <f t="shared" si="140"/>
        <v>Valid</v>
      </c>
      <c r="Y833" s="2" t="str">
        <f t="shared" si="141"/>
        <v>Clean</v>
      </c>
      <c r="Z833">
        <v>26489.65</v>
      </c>
      <c r="AA833">
        <v>15818.46</v>
      </c>
      <c r="AB833" s="2">
        <f t="shared" si="135"/>
        <v>10671.195</v>
      </c>
      <c r="AC833">
        <v>10671.19</v>
      </c>
      <c r="AD833" s="11">
        <f t="shared" si="142"/>
        <v>0.40284375218245616</v>
      </c>
      <c r="AE833" t="s">
        <v>156</v>
      </c>
      <c r="AF833" t="s">
        <v>104</v>
      </c>
    </row>
    <row r="834" spans="1:32">
      <c r="A834" t="s">
        <v>2575</v>
      </c>
      <c r="B834" s="2" t="str">
        <f t="shared" ref="B834:B897" si="144">IF(COUNTIF($A:$A,A834)&gt;1,"Duplicate Order ID","Unique")</f>
        <v>Unique</v>
      </c>
      <c r="C834" s="2" t="str">
        <f t="shared" si="136"/>
        <v>May</v>
      </c>
      <c r="D834" s="2">
        <f t="shared" si="137"/>
        <v>2025</v>
      </c>
      <c r="E834" s="4">
        <v>45803</v>
      </c>
      <c r="F834" s="4">
        <v>45805</v>
      </c>
      <c r="G834" s="6">
        <f t="shared" ref="G834:G897" si="145">F834-E834</f>
        <v>2</v>
      </c>
      <c r="H834" s="6" t="str">
        <f t="shared" ref="H834:H897" si="146">IF(G834&lt;0,"Invalid: Ship Date Before Order Date","Valid")</f>
        <v>Valid</v>
      </c>
      <c r="I834" t="s">
        <v>2576</v>
      </c>
      <c r="J834" t="s">
        <v>265</v>
      </c>
      <c r="K834" t="s">
        <v>38</v>
      </c>
      <c r="L834" t="s">
        <v>55</v>
      </c>
      <c r="M834" t="s">
        <v>85</v>
      </c>
      <c r="O834" t="s">
        <v>75</v>
      </c>
      <c r="P834" t="s">
        <v>172</v>
      </c>
      <c r="Q834" t="s">
        <v>2577</v>
      </c>
      <c r="R834" t="s">
        <v>32</v>
      </c>
      <c r="S834">
        <v>9</v>
      </c>
      <c r="T834">
        <v>4302.0200000000004</v>
      </c>
      <c r="U834" s="2">
        <f t="shared" si="138"/>
        <v>36782.271000000008</v>
      </c>
      <c r="V834" s="13">
        <v>0.05</v>
      </c>
      <c r="W834" s="2">
        <f t="shared" si="143"/>
        <v>0.05</v>
      </c>
      <c r="X834" s="2" t="str">
        <f t="shared" si="140"/>
        <v>Valid</v>
      </c>
      <c r="Y834" s="2" t="str">
        <f t="shared" si="141"/>
        <v>Clean</v>
      </c>
      <c r="Z834">
        <v>36782.269999999997</v>
      </c>
      <c r="AA834">
        <v>25902.81</v>
      </c>
      <c r="AB834" s="2">
        <f t="shared" ref="AB834:AB897" si="147">IF(ISNUMBER(U834),U834-AA834,"Invalid")</f>
        <v>10879.461000000007</v>
      </c>
      <c r="AC834">
        <v>10879.46</v>
      </c>
      <c r="AD834" s="11">
        <f t="shared" si="142"/>
        <v>0.2957800048773499</v>
      </c>
      <c r="AE834" t="s">
        <v>33</v>
      </c>
      <c r="AF834" t="s">
        <v>34</v>
      </c>
    </row>
    <row r="835" spans="1:32">
      <c r="A835" t="s">
        <v>2578</v>
      </c>
      <c r="B835" s="2" t="str">
        <f t="shared" si="144"/>
        <v>Unique</v>
      </c>
      <c r="C835" s="2" t="str">
        <f t="shared" ref="C835:C898" si="148">TEXT(E835,"mmm")</f>
        <v>Jun</v>
      </c>
      <c r="D835" s="2">
        <f t="shared" ref="D835:D898" si="149">YEAR(E835)</f>
        <v>2024</v>
      </c>
      <c r="E835" s="4">
        <v>45447</v>
      </c>
      <c r="F835" s="4">
        <v>45447</v>
      </c>
      <c r="G835" s="6">
        <f t="shared" si="145"/>
        <v>0</v>
      </c>
      <c r="H835" s="6" t="str">
        <f t="shared" si="146"/>
        <v>Valid</v>
      </c>
      <c r="I835" t="s">
        <v>2579</v>
      </c>
      <c r="J835" t="s">
        <v>119</v>
      </c>
      <c r="K835" t="s">
        <v>96</v>
      </c>
      <c r="L835" t="s">
        <v>39</v>
      </c>
      <c r="M835" t="s">
        <v>100</v>
      </c>
      <c r="O835" t="s">
        <v>42</v>
      </c>
      <c r="P835" t="s">
        <v>159</v>
      </c>
      <c r="Q835" t="s">
        <v>2580</v>
      </c>
      <c r="R835" t="s">
        <v>51</v>
      </c>
      <c r="S835">
        <v>6</v>
      </c>
      <c r="T835">
        <v>3949.4</v>
      </c>
      <c r="U835" s="2">
        <f t="shared" ref="U835:U898" si="150">IF(ISNUMBER(W835),S835*T835*(1-W835),"Invalid")</f>
        <v>23696.400000000001</v>
      </c>
      <c r="V835" s="13">
        <v>0</v>
      </c>
      <c r="W835" s="2">
        <f t="shared" si="143"/>
        <v>0</v>
      </c>
      <c r="X835" s="2" t="str">
        <f t="shared" ref="X835:X898" si="151">IF(OR(V835&lt;0,V835&gt;1),"Invalid","Valid")</f>
        <v>Valid</v>
      </c>
      <c r="Y835" s="2" t="str">
        <f t="shared" ref="Y835:Y898" si="152">IF(AND(H835="Valid",X835="Valid"),"Clean","Invalid")</f>
        <v>Clean</v>
      </c>
      <c r="Z835">
        <v>23696.400000000001</v>
      </c>
      <c r="AA835">
        <v>18109.77</v>
      </c>
      <c r="AB835" s="2">
        <f t="shared" si="147"/>
        <v>5586.630000000001</v>
      </c>
      <c r="AC835">
        <v>5586.63</v>
      </c>
      <c r="AD835" s="11">
        <f t="shared" ref="AD835:AD898" si="153">AC835/Z835</f>
        <v>0.2357585962424672</v>
      </c>
      <c r="AE835" t="s">
        <v>33</v>
      </c>
      <c r="AF835" t="s">
        <v>34</v>
      </c>
    </row>
    <row r="836" spans="1:32">
      <c r="A836" t="s">
        <v>2581</v>
      </c>
      <c r="B836" s="2" t="str">
        <f t="shared" si="144"/>
        <v>Unique</v>
      </c>
      <c r="C836" s="2" t="str">
        <f t="shared" si="148"/>
        <v>Oct</v>
      </c>
      <c r="D836" s="2">
        <f t="shared" si="149"/>
        <v>2024</v>
      </c>
      <c r="E836" s="4">
        <v>45583</v>
      </c>
      <c r="F836" s="4">
        <v>45587</v>
      </c>
      <c r="G836" s="6">
        <f t="shared" si="145"/>
        <v>4</v>
      </c>
      <c r="H836" s="6" t="str">
        <f t="shared" si="146"/>
        <v>Valid</v>
      </c>
      <c r="I836" t="s">
        <v>2582</v>
      </c>
      <c r="J836" t="s">
        <v>129</v>
      </c>
      <c r="K836" t="s">
        <v>96</v>
      </c>
      <c r="L836" t="s">
        <v>55</v>
      </c>
      <c r="M836" t="s">
        <v>56</v>
      </c>
      <c r="O836" t="s">
        <v>29</v>
      </c>
      <c r="P836" t="s">
        <v>49</v>
      </c>
      <c r="Q836" t="s">
        <v>2583</v>
      </c>
      <c r="R836" t="s">
        <v>51</v>
      </c>
      <c r="S836">
        <v>6</v>
      </c>
      <c r="T836">
        <v>674.61</v>
      </c>
      <c r="U836" s="2">
        <f t="shared" si="150"/>
        <v>4047.66</v>
      </c>
      <c r="V836" s="13">
        <v>0</v>
      </c>
      <c r="W836" s="2">
        <f t="shared" si="143"/>
        <v>0</v>
      </c>
      <c r="X836" s="2" t="str">
        <f t="shared" si="151"/>
        <v>Valid</v>
      </c>
      <c r="Y836" s="2" t="str">
        <f t="shared" si="152"/>
        <v>Clean</v>
      </c>
      <c r="Z836">
        <v>4047.66</v>
      </c>
      <c r="AA836">
        <v>3078.93</v>
      </c>
      <c r="AB836" s="2">
        <f t="shared" si="147"/>
        <v>968.73</v>
      </c>
      <c r="AC836">
        <v>1279.79</v>
      </c>
      <c r="AD836" s="11">
        <f t="shared" si="153"/>
        <v>0.31618021276490615</v>
      </c>
      <c r="AE836" t="s">
        <v>33</v>
      </c>
      <c r="AF836" t="s">
        <v>34</v>
      </c>
    </row>
    <row r="837" spans="1:32">
      <c r="A837" t="s">
        <v>2584</v>
      </c>
      <c r="B837" s="2" t="str">
        <f t="shared" si="144"/>
        <v>Unique</v>
      </c>
      <c r="C837" s="2" t="str">
        <f t="shared" si="148"/>
        <v>Sep</v>
      </c>
      <c r="D837" s="2">
        <f t="shared" si="149"/>
        <v>2025</v>
      </c>
      <c r="E837" s="4">
        <v>45926</v>
      </c>
      <c r="F837" s="4">
        <v>45934</v>
      </c>
      <c r="G837" s="6">
        <f t="shared" si="145"/>
        <v>8</v>
      </c>
      <c r="H837" s="6" t="str">
        <f t="shared" si="146"/>
        <v>Valid</v>
      </c>
      <c r="I837" t="s">
        <v>2585</v>
      </c>
      <c r="J837" t="s">
        <v>115</v>
      </c>
      <c r="K837" t="s">
        <v>38</v>
      </c>
      <c r="L837" t="s">
        <v>39</v>
      </c>
      <c r="M837" t="s">
        <v>167</v>
      </c>
      <c r="O837" t="s">
        <v>75</v>
      </c>
      <c r="P837" t="s">
        <v>172</v>
      </c>
      <c r="Q837" t="s">
        <v>2586</v>
      </c>
      <c r="R837" t="s">
        <v>32</v>
      </c>
      <c r="S837">
        <v>7</v>
      </c>
      <c r="T837">
        <v>1509.59</v>
      </c>
      <c r="U837" s="2">
        <f t="shared" si="150"/>
        <v>10038.773499999999</v>
      </c>
      <c r="V837" s="13">
        <v>0.05</v>
      </c>
      <c r="W837" s="2">
        <f t="shared" si="143"/>
        <v>0.05</v>
      </c>
      <c r="X837" s="2" t="str">
        <f t="shared" si="151"/>
        <v>Valid</v>
      </c>
      <c r="Y837" s="2" t="str">
        <f t="shared" si="152"/>
        <v>Clean</v>
      </c>
      <c r="Z837">
        <v>10038.77</v>
      </c>
      <c r="AA837">
        <v>5673.1</v>
      </c>
      <c r="AB837" s="2">
        <f t="shared" si="147"/>
        <v>4365.673499999999</v>
      </c>
      <c r="AC837">
        <v>4365.67</v>
      </c>
      <c r="AD837" s="11">
        <f t="shared" si="153"/>
        <v>0.43488096649290697</v>
      </c>
      <c r="AE837" t="s">
        <v>33</v>
      </c>
      <c r="AF837" t="s">
        <v>34</v>
      </c>
    </row>
    <row r="838" spans="1:32">
      <c r="A838" t="s">
        <v>2587</v>
      </c>
      <c r="B838" s="2" t="str">
        <f t="shared" si="144"/>
        <v>Unique</v>
      </c>
      <c r="C838" s="2" t="str">
        <f t="shared" si="148"/>
        <v>Dec</v>
      </c>
      <c r="D838" s="2">
        <f t="shared" si="149"/>
        <v>2024</v>
      </c>
      <c r="E838" s="4">
        <v>45641</v>
      </c>
      <c r="F838" s="4">
        <v>45644</v>
      </c>
      <c r="G838" s="6">
        <f t="shared" si="145"/>
        <v>3</v>
      </c>
      <c r="H838" s="6" t="str">
        <f t="shared" si="146"/>
        <v>Valid</v>
      </c>
      <c r="I838" t="s">
        <v>2588</v>
      </c>
      <c r="J838" t="s">
        <v>48</v>
      </c>
      <c r="K838" t="s">
        <v>38</v>
      </c>
      <c r="L838" t="s">
        <v>26</v>
      </c>
      <c r="M838" t="s">
        <v>27</v>
      </c>
      <c r="O838" t="s">
        <v>29</v>
      </c>
      <c r="P838" t="s">
        <v>92</v>
      </c>
      <c r="Q838" t="s">
        <v>2589</v>
      </c>
      <c r="R838" t="s">
        <v>32</v>
      </c>
      <c r="S838">
        <v>2</v>
      </c>
      <c r="T838">
        <v>537.11</v>
      </c>
      <c r="U838" s="2">
        <f t="shared" si="150"/>
        <v>1074.22</v>
      </c>
      <c r="V838" s="13">
        <v>0</v>
      </c>
      <c r="W838" s="2">
        <f t="shared" si="143"/>
        <v>0</v>
      </c>
      <c r="X838" s="2" t="str">
        <f t="shared" si="151"/>
        <v>Valid</v>
      </c>
      <c r="Y838" s="2" t="str">
        <f t="shared" si="152"/>
        <v>Clean</v>
      </c>
      <c r="Z838">
        <v>1074.22</v>
      </c>
      <c r="AA838">
        <v>850.86</v>
      </c>
      <c r="AB838" s="2">
        <f t="shared" si="147"/>
        <v>223.36</v>
      </c>
      <c r="AC838">
        <v>223.36</v>
      </c>
      <c r="AD838" s="11">
        <f t="shared" si="153"/>
        <v>0.20792761259332354</v>
      </c>
      <c r="AE838" t="s">
        <v>33</v>
      </c>
      <c r="AF838" t="s">
        <v>34</v>
      </c>
    </row>
    <row r="839" spans="1:32">
      <c r="A839" t="s">
        <v>2590</v>
      </c>
      <c r="B839" s="2" t="str">
        <f t="shared" si="144"/>
        <v>Unique</v>
      </c>
      <c r="C839" s="2" t="str">
        <f t="shared" si="148"/>
        <v>Sep</v>
      </c>
      <c r="D839" s="2">
        <f t="shared" si="149"/>
        <v>2025</v>
      </c>
      <c r="E839" s="4">
        <v>45927</v>
      </c>
      <c r="F839" s="4">
        <v>45928</v>
      </c>
      <c r="G839" s="6">
        <f t="shared" si="145"/>
        <v>1</v>
      </c>
      <c r="H839" s="6" t="str">
        <f t="shared" si="146"/>
        <v>Valid</v>
      </c>
      <c r="I839" t="s">
        <v>2591</v>
      </c>
      <c r="J839" t="s">
        <v>24</v>
      </c>
      <c r="K839" t="s">
        <v>96</v>
      </c>
      <c r="L839" t="s">
        <v>64</v>
      </c>
      <c r="M839" t="s">
        <v>65</v>
      </c>
      <c r="O839" t="s">
        <v>29</v>
      </c>
      <c r="P839" t="s">
        <v>30</v>
      </c>
      <c r="Q839" t="s">
        <v>2592</v>
      </c>
      <c r="R839" t="s">
        <v>51</v>
      </c>
      <c r="S839">
        <v>3</v>
      </c>
      <c r="T839">
        <v>4177.63</v>
      </c>
      <c r="U839" s="2">
        <f t="shared" si="150"/>
        <v>9399.6674999999996</v>
      </c>
      <c r="V839" s="13">
        <v>0.25</v>
      </c>
      <c r="W839" s="2">
        <f t="shared" si="143"/>
        <v>0.25</v>
      </c>
      <c r="X839" s="2" t="str">
        <f t="shared" si="151"/>
        <v>Valid</v>
      </c>
      <c r="Y839" s="2" t="str">
        <f t="shared" si="152"/>
        <v>Clean</v>
      </c>
      <c r="Z839">
        <v>9399.67</v>
      </c>
      <c r="AA839">
        <v>6540.37</v>
      </c>
      <c r="AB839" s="2">
        <f t="shared" si="147"/>
        <v>2859.2974999999997</v>
      </c>
      <c r="AC839">
        <v>2859.3</v>
      </c>
      <c r="AD839" s="11">
        <f t="shared" si="153"/>
        <v>0.30419153012818539</v>
      </c>
      <c r="AE839" t="s">
        <v>33</v>
      </c>
      <c r="AF839" t="s">
        <v>34</v>
      </c>
    </row>
    <row r="840" spans="1:32">
      <c r="A840" t="s">
        <v>2593</v>
      </c>
      <c r="B840" s="2" t="str">
        <f t="shared" si="144"/>
        <v>Unique</v>
      </c>
      <c r="C840" s="2" t="str">
        <f t="shared" si="148"/>
        <v>Apr</v>
      </c>
      <c r="D840" s="2">
        <f t="shared" si="149"/>
        <v>2025</v>
      </c>
      <c r="E840" s="4">
        <v>45750</v>
      </c>
      <c r="F840" s="4">
        <v>45754</v>
      </c>
      <c r="G840" s="6">
        <f t="shared" si="145"/>
        <v>4</v>
      </c>
      <c r="H840" s="6" t="str">
        <f t="shared" si="146"/>
        <v>Valid</v>
      </c>
      <c r="I840" t="s">
        <v>2594</v>
      </c>
      <c r="J840" t="s">
        <v>63</v>
      </c>
      <c r="K840" t="s">
        <v>38</v>
      </c>
      <c r="L840" t="s">
        <v>64</v>
      </c>
      <c r="M840" t="s">
        <v>191</v>
      </c>
      <c r="O840" t="s">
        <v>29</v>
      </c>
      <c r="P840" t="s">
        <v>30</v>
      </c>
      <c r="Q840" t="s">
        <v>2595</v>
      </c>
      <c r="R840" t="s">
        <v>45</v>
      </c>
      <c r="S840">
        <v>1</v>
      </c>
      <c r="T840">
        <v>1470.57</v>
      </c>
      <c r="U840" s="2">
        <f t="shared" si="150"/>
        <v>1470.57</v>
      </c>
      <c r="V840" s="13">
        <v>0</v>
      </c>
      <c r="W840" s="2">
        <f t="shared" si="143"/>
        <v>0</v>
      </c>
      <c r="X840" s="2" t="str">
        <f t="shared" si="151"/>
        <v>Valid</v>
      </c>
      <c r="Y840" s="2" t="str">
        <f t="shared" si="152"/>
        <v>Clean</v>
      </c>
      <c r="Z840">
        <v>1470.57</v>
      </c>
      <c r="AA840">
        <v>834.02</v>
      </c>
      <c r="AB840" s="2">
        <f t="shared" si="147"/>
        <v>636.54999999999995</v>
      </c>
      <c r="AC840">
        <v>636.54999999999995</v>
      </c>
      <c r="AD840" s="11">
        <f t="shared" si="153"/>
        <v>0.43285936745615644</v>
      </c>
      <c r="AE840" t="s">
        <v>33</v>
      </c>
      <c r="AF840" t="s">
        <v>104</v>
      </c>
    </row>
    <row r="841" spans="1:32">
      <c r="A841" t="s">
        <v>2596</v>
      </c>
      <c r="B841" s="2" t="str">
        <f t="shared" si="144"/>
        <v>Unique</v>
      </c>
      <c r="C841" s="2" t="str">
        <f t="shared" si="148"/>
        <v>Sep</v>
      </c>
      <c r="D841" s="2">
        <f t="shared" si="149"/>
        <v>2024</v>
      </c>
      <c r="E841" s="4">
        <v>45555</v>
      </c>
      <c r="F841" s="4">
        <v>45557</v>
      </c>
      <c r="G841" s="6">
        <f t="shared" si="145"/>
        <v>2</v>
      </c>
      <c r="H841" s="6" t="str">
        <f t="shared" si="146"/>
        <v>Valid</v>
      </c>
      <c r="I841" t="s">
        <v>2597</v>
      </c>
      <c r="J841" t="s">
        <v>142</v>
      </c>
      <c r="K841" t="s">
        <v>96</v>
      </c>
      <c r="L841" t="s">
        <v>39</v>
      </c>
      <c r="M841" t="s">
        <v>40</v>
      </c>
      <c r="O841" t="s">
        <v>75</v>
      </c>
      <c r="P841" t="s">
        <v>172</v>
      </c>
      <c r="Q841" t="s">
        <v>2598</v>
      </c>
      <c r="R841" t="s">
        <v>60</v>
      </c>
      <c r="S841">
        <v>8</v>
      </c>
      <c r="T841">
        <v>531.42999999999995</v>
      </c>
      <c r="U841" s="2">
        <f t="shared" si="150"/>
        <v>3826.2959999999998</v>
      </c>
      <c r="V841" s="13">
        <v>0.1</v>
      </c>
      <c r="W841" s="2">
        <f t="shared" si="143"/>
        <v>0.1</v>
      </c>
      <c r="X841" s="2" t="str">
        <f t="shared" si="151"/>
        <v>Valid</v>
      </c>
      <c r="Y841" s="2" t="str">
        <f t="shared" si="152"/>
        <v>Clean</v>
      </c>
      <c r="Z841">
        <v>3826.3</v>
      </c>
      <c r="AA841">
        <v>2194.12</v>
      </c>
      <c r="AB841" s="2">
        <f t="shared" si="147"/>
        <v>1632.1759999999999</v>
      </c>
      <c r="AC841">
        <v>1632.18</v>
      </c>
      <c r="AD841" s="11">
        <f t="shared" si="153"/>
        <v>0.4265687478765387</v>
      </c>
      <c r="AE841" t="s">
        <v>33</v>
      </c>
      <c r="AF841" t="s">
        <v>34</v>
      </c>
    </row>
    <row r="842" spans="1:32">
      <c r="A842" t="s">
        <v>2599</v>
      </c>
      <c r="B842" s="2" t="str">
        <f t="shared" si="144"/>
        <v>Unique</v>
      </c>
      <c r="C842" s="2" t="str">
        <f t="shared" si="148"/>
        <v>Sep</v>
      </c>
      <c r="D842" s="2">
        <f t="shared" si="149"/>
        <v>2025</v>
      </c>
      <c r="E842" s="4">
        <v>45919</v>
      </c>
      <c r="F842" s="4">
        <v>45919</v>
      </c>
      <c r="G842" s="6">
        <f t="shared" si="145"/>
        <v>0</v>
      </c>
      <c r="H842" s="6" t="str">
        <f t="shared" si="146"/>
        <v>Valid</v>
      </c>
      <c r="I842" t="s">
        <v>2600</v>
      </c>
      <c r="J842" t="s">
        <v>80</v>
      </c>
      <c r="K842" t="s">
        <v>96</v>
      </c>
      <c r="L842" t="s">
        <v>26</v>
      </c>
      <c r="M842" t="s">
        <v>351</v>
      </c>
      <c r="O842" t="s">
        <v>42</v>
      </c>
      <c r="P842" t="s">
        <v>67</v>
      </c>
      <c r="Q842" t="s">
        <v>2601</v>
      </c>
      <c r="R842" t="s">
        <v>45</v>
      </c>
      <c r="S842">
        <v>4</v>
      </c>
      <c r="T842">
        <v>1584.11</v>
      </c>
      <c r="U842" s="2">
        <f t="shared" si="150"/>
        <v>6336.44</v>
      </c>
      <c r="V842" s="13">
        <v>0</v>
      </c>
      <c r="W842" s="2">
        <f t="shared" si="143"/>
        <v>0</v>
      </c>
      <c r="X842" s="2" t="str">
        <f t="shared" si="151"/>
        <v>Valid</v>
      </c>
      <c r="Y842" s="2" t="str">
        <f t="shared" si="152"/>
        <v>Clean</v>
      </c>
      <c r="Z842">
        <v>6336.44</v>
      </c>
      <c r="AA842">
        <v>4680.68</v>
      </c>
      <c r="AB842" s="2">
        <f t="shared" si="147"/>
        <v>1655.7599999999993</v>
      </c>
      <c r="AC842">
        <v>1655.76</v>
      </c>
      <c r="AD842" s="11">
        <f t="shared" si="153"/>
        <v>0.26130761121386775</v>
      </c>
      <c r="AE842" t="s">
        <v>33</v>
      </c>
      <c r="AF842" t="s">
        <v>34</v>
      </c>
    </row>
    <row r="843" spans="1:32">
      <c r="A843" t="s">
        <v>2602</v>
      </c>
      <c r="B843" s="2" t="str">
        <f t="shared" si="144"/>
        <v>Unique</v>
      </c>
      <c r="C843" s="2" t="str">
        <f t="shared" si="148"/>
        <v>Feb</v>
      </c>
      <c r="D843" s="2">
        <f t="shared" si="149"/>
        <v>2025</v>
      </c>
      <c r="E843" s="4">
        <v>45694</v>
      </c>
      <c r="F843" s="4">
        <v>45700</v>
      </c>
      <c r="G843" s="6">
        <f t="shared" si="145"/>
        <v>6</v>
      </c>
      <c r="H843" s="6" t="str">
        <f t="shared" si="146"/>
        <v>Valid</v>
      </c>
      <c r="I843" t="s">
        <v>2603</v>
      </c>
      <c r="J843" t="s">
        <v>63</v>
      </c>
      <c r="K843" t="s">
        <v>38</v>
      </c>
      <c r="L843" t="s">
        <v>39</v>
      </c>
      <c r="M843" t="s">
        <v>146</v>
      </c>
      <c r="O843" t="s">
        <v>29</v>
      </c>
      <c r="P843" t="s">
        <v>49</v>
      </c>
      <c r="Q843" t="s">
        <v>2604</v>
      </c>
      <c r="R843" t="s">
        <v>60</v>
      </c>
      <c r="S843">
        <v>9</v>
      </c>
      <c r="T843">
        <v>3237.16</v>
      </c>
      <c r="U843" s="2">
        <f t="shared" si="150"/>
        <v>21850.829999999998</v>
      </c>
      <c r="V843" s="13">
        <v>0.25</v>
      </c>
      <c r="W843" s="2">
        <f t="shared" si="143"/>
        <v>0.25</v>
      </c>
      <c r="X843" s="2" t="str">
        <f t="shared" si="151"/>
        <v>Valid</v>
      </c>
      <c r="Y843" s="2" t="str">
        <f t="shared" si="152"/>
        <v>Clean</v>
      </c>
      <c r="Z843">
        <v>21850.83</v>
      </c>
      <c r="AA843">
        <v>16600.13</v>
      </c>
      <c r="AB843" s="2">
        <f t="shared" si="147"/>
        <v>5250.6999999999971</v>
      </c>
      <c r="AC843">
        <v>5250.7</v>
      </c>
      <c r="AD843" s="11">
        <f t="shared" si="153"/>
        <v>0.24029750814957598</v>
      </c>
      <c r="AE843" t="s">
        <v>33</v>
      </c>
      <c r="AF843" t="s">
        <v>34</v>
      </c>
    </row>
    <row r="844" spans="1:32">
      <c r="A844" t="s">
        <v>2605</v>
      </c>
      <c r="B844" s="2" t="str">
        <f t="shared" si="144"/>
        <v>Unique</v>
      </c>
      <c r="C844" s="2" t="str">
        <f t="shared" si="148"/>
        <v>Mar</v>
      </c>
      <c r="D844" s="2">
        <f t="shared" si="149"/>
        <v>2024</v>
      </c>
      <c r="E844" s="4">
        <v>45382</v>
      </c>
      <c r="F844" s="4">
        <v>45381</v>
      </c>
      <c r="G844" s="6">
        <f t="shared" si="145"/>
        <v>-1</v>
      </c>
      <c r="H844" s="6" t="str">
        <f t="shared" si="146"/>
        <v>Invalid: Ship Date Before Order Date</v>
      </c>
      <c r="I844" t="s">
        <v>2606</v>
      </c>
      <c r="J844" t="s">
        <v>265</v>
      </c>
      <c r="K844" t="s">
        <v>25</v>
      </c>
      <c r="L844" t="s">
        <v>26</v>
      </c>
      <c r="M844" t="s">
        <v>237</v>
      </c>
      <c r="O844" t="s">
        <v>75</v>
      </c>
      <c r="P844" t="s">
        <v>275</v>
      </c>
      <c r="Q844" t="s">
        <v>2607</v>
      </c>
      <c r="R844" t="s">
        <v>51</v>
      </c>
      <c r="S844">
        <v>4</v>
      </c>
      <c r="T844">
        <v>2192.08</v>
      </c>
      <c r="U844" s="2">
        <f t="shared" si="150"/>
        <v>7453.0719999999992</v>
      </c>
      <c r="V844" s="13">
        <v>0.15</v>
      </c>
      <c r="W844" s="2">
        <f t="shared" si="143"/>
        <v>0.15</v>
      </c>
      <c r="X844" s="2" t="str">
        <f t="shared" si="151"/>
        <v>Valid</v>
      </c>
      <c r="Y844" s="2" t="str">
        <f t="shared" si="152"/>
        <v>Invalid</v>
      </c>
      <c r="Z844">
        <v>7453.07</v>
      </c>
      <c r="AA844">
        <v>5133.78</v>
      </c>
      <c r="AB844" s="2">
        <f t="shared" si="147"/>
        <v>2319.2919999999995</v>
      </c>
      <c r="AC844">
        <v>2319.29</v>
      </c>
      <c r="AD844" s="11">
        <f t="shared" si="153"/>
        <v>0.31118586032332984</v>
      </c>
      <c r="AE844" t="s">
        <v>33</v>
      </c>
      <c r="AF844" t="s">
        <v>104</v>
      </c>
    </row>
    <row r="845" spans="1:32">
      <c r="A845" t="s">
        <v>2608</v>
      </c>
      <c r="B845" s="2" t="str">
        <f t="shared" si="144"/>
        <v>Unique</v>
      </c>
      <c r="C845" s="2" t="str">
        <f t="shared" si="148"/>
        <v>Jul</v>
      </c>
      <c r="D845" s="2">
        <f t="shared" si="149"/>
        <v>2025</v>
      </c>
      <c r="E845" s="4">
        <v>45856</v>
      </c>
      <c r="F845" s="4">
        <v>45863</v>
      </c>
      <c r="G845" s="6">
        <f t="shared" si="145"/>
        <v>7</v>
      </c>
      <c r="H845" s="6" t="str">
        <f t="shared" si="146"/>
        <v>Valid</v>
      </c>
      <c r="I845" t="s">
        <v>2609</v>
      </c>
      <c r="J845" t="s">
        <v>115</v>
      </c>
      <c r="K845" t="s">
        <v>38</v>
      </c>
      <c r="L845" t="s">
        <v>26</v>
      </c>
      <c r="M845" t="s">
        <v>137</v>
      </c>
      <c r="O845" t="s">
        <v>75</v>
      </c>
      <c r="P845" t="s">
        <v>172</v>
      </c>
      <c r="Q845" t="s">
        <v>2610</v>
      </c>
      <c r="R845" t="s">
        <v>51</v>
      </c>
      <c r="S845">
        <v>9</v>
      </c>
      <c r="T845">
        <v>3989.52</v>
      </c>
      <c r="U845" s="2" t="str">
        <f t="shared" si="150"/>
        <v>Invalid</v>
      </c>
      <c r="V845" s="13">
        <v>-0.02</v>
      </c>
      <c r="W845" s="2" t="str">
        <f t="shared" si="143"/>
        <v>Invalid</v>
      </c>
      <c r="X845" s="2" t="str">
        <f t="shared" si="151"/>
        <v>Invalid</v>
      </c>
      <c r="Y845" s="2" t="str">
        <f t="shared" si="152"/>
        <v>Invalid</v>
      </c>
      <c r="Z845">
        <v>35905.68</v>
      </c>
      <c r="AA845">
        <v>23916.1</v>
      </c>
      <c r="AB845" s="2" t="str">
        <f t="shared" si="147"/>
        <v>Invalid</v>
      </c>
      <c r="AC845">
        <v>11989.58</v>
      </c>
      <c r="AD845" s="11">
        <f t="shared" si="153"/>
        <v>0.33391875602968668</v>
      </c>
      <c r="AE845" t="s">
        <v>33</v>
      </c>
      <c r="AF845" t="s">
        <v>34</v>
      </c>
    </row>
    <row r="846" spans="1:32">
      <c r="A846" t="s">
        <v>2611</v>
      </c>
      <c r="B846" s="2" t="str">
        <f t="shared" si="144"/>
        <v>Unique</v>
      </c>
      <c r="C846" s="2" t="str">
        <f t="shared" si="148"/>
        <v>Jan</v>
      </c>
      <c r="D846" s="2">
        <f t="shared" si="149"/>
        <v>2025</v>
      </c>
      <c r="E846" s="4">
        <v>45677</v>
      </c>
      <c r="F846" s="4">
        <v>45682</v>
      </c>
      <c r="G846" s="6">
        <f t="shared" si="145"/>
        <v>5</v>
      </c>
      <c r="H846" s="6" t="str">
        <f t="shared" si="146"/>
        <v>Valid</v>
      </c>
      <c r="I846" t="s">
        <v>2612</v>
      </c>
      <c r="J846" t="s">
        <v>90</v>
      </c>
      <c r="K846" t="s">
        <v>96</v>
      </c>
      <c r="L846" t="s">
        <v>64</v>
      </c>
      <c r="M846" t="s">
        <v>191</v>
      </c>
      <c r="O846" t="s">
        <v>29</v>
      </c>
      <c r="P846" t="s">
        <v>49</v>
      </c>
      <c r="Q846" t="s">
        <v>2613</v>
      </c>
      <c r="R846" t="s">
        <v>51</v>
      </c>
      <c r="S846">
        <v>1</v>
      </c>
      <c r="T846">
        <v>3515.15</v>
      </c>
      <c r="U846" s="2">
        <f t="shared" si="150"/>
        <v>3515.15</v>
      </c>
      <c r="V846" s="13">
        <v>0</v>
      </c>
      <c r="W846" s="2">
        <f t="shared" si="143"/>
        <v>0</v>
      </c>
      <c r="X846" s="2" t="str">
        <f t="shared" si="151"/>
        <v>Valid</v>
      </c>
      <c r="Y846" s="2" t="str">
        <f t="shared" si="152"/>
        <v>Clean</v>
      </c>
      <c r="Z846">
        <v>3515.15</v>
      </c>
      <c r="AA846">
        <v>2216.34</v>
      </c>
      <c r="AB846" s="2">
        <f t="shared" si="147"/>
        <v>1298.81</v>
      </c>
      <c r="AC846">
        <v>1298.81</v>
      </c>
      <c r="AD846" s="11">
        <f t="shared" si="153"/>
        <v>0.36948921098672882</v>
      </c>
      <c r="AE846" t="s">
        <v>33</v>
      </c>
      <c r="AF846" t="s">
        <v>34</v>
      </c>
    </row>
    <row r="847" spans="1:32">
      <c r="A847" t="s">
        <v>2614</v>
      </c>
      <c r="B847" s="2" t="str">
        <f t="shared" si="144"/>
        <v>Unique</v>
      </c>
      <c r="C847" s="2" t="str">
        <f t="shared" si="148"/>
        <v>Feb</v>
      </c>
      <c r="D847" s="2">
        <f t="shared" si="149"/>
        <v>2024</v>
      </c>
      <c r="E847" s="4">
        <v>45345</v>
      </c>
      <c r="F847" s="4">
        <v>45349</v>
      </c>
      <c r="G847" s="6">
        <f t="shared" si="145"/>
        <v>4</v>
      </c>
      <c r="H847" s="6" t="str">
        <f t="shared" si="146"/>
        <v>Valid</v>
      </c>
      <c r="I847" t="s">
        <v>594</v>
      </c>
      <c r="J847" t="s">
        <v>24</v>
      </c>
      <c r="K847" t="s">
        <v>25</v>
      </c>
      <c r="L847" t="s">
        <v>39</v>
      </c>
      <c r="M847" t="s">
        <v>40</v>
      </c>
      <c r="O847" t="s">
        <v>42</v>
      </c>
      <c r="P847" t="s">
        <v>43</v>
      </c>
      <c r="Q847" t="s">
        <v>2615</v>
      </c>
      <c r="R847" t="s">
        <v>51</v>
      </c>
      <c r="S847">
        <v>9</v>
      </c>
      <c r="T847">
        <v>3616.23</v>
      </c>
      <c r="U847" s="2">
        <f t="shared" si="150"/>
        <v>24409.552499999998</v>
      </c>
      <c r="V847" s="13">
        <v>0.25</v>
      </c>
      <c r="W847" s="2">
        <f t="shared" si="143"/>
        <v>0.25</v>
      </c>
      <c r="X847" s="2" t="str">
        <f t="shared" si="151"/>
        <v>Valid</v>
      </c>
      <c r="Y847" s="2" t="str">
        <f t="shared" si="152"/>
        <v>Clean</v>
      </c>
      <c r="Z847">
        <v>24409.55</v>
      </c>
      <c r="AA847">
        <v>17157.580000000002</v>
      </c>
      <c r="AB847" s="2">
        <f t="shared" si="147"/>
        <v>7251.9724999999962</v>
      </c>
      <c r="AC847">
        <v>7251.97</v>
      </c>
      <c r="AD847" s="11">
        <f t="shared" si="153"/>
        <v>0.29709560397467388</v>
      </c>
      <c r="AE847" t="s">
        <v>112</v>
      </c>
      <c r="AF847" t="s">
        <v>104</v>
      </c>
    </row>
    <row r="848" spans="1:32">
      <c r="A848" t="s">
        <v>2616</v>
      </c>
      <c r="B848" s="2" t="str">
        <f t="shared" si="144"/>
        <v>Unique</v>
      </c>
      <c r="C848" s="2" t="str">
        <f t="shared" si="148"/>
        <v>Apr</v>
      </c>
      <c r="D848" s="2">
        <f t="shared" si="149"/>
        <v>2024</v>
      </c>
      <c r="E848" s="4">
        <v>45396</v>
      </c>
      <c r="F848" s="4">
        <v>45404</v>
      </c>
      <c r="G848" s="6">
        <f t="shared" si="145"/>
        <v>8</v>
      </c>
      <c r="H848" s="6" t="str">
        <f t="shared" si="146"/>
        <v>Valid</v>
      </c>
      <c r="I848" t="s">
        <v>2617</v>
      </c>
      <c r="J848" t="s">
        <v>115</v>
      </c>
      <c r="K848" t="s">
        <v>38</v>
      </c>
      <c r="L848" t="s">
        <v>64</v>
      </c>
      <c r="M848" t="s">
        <v>181</v>
      </c>
      <c r="O848" t="s">
        <v>42</v>
      </c>
      <c r="P848" t="s">
        <v>159</v>
      </c>
      <c r="Q848" t="s">
        <v>2618</v>
      </c>
      <c r="R848" t="s">
        <v>60</v>
      </c>
      <c r="S848">
        <v>2</v>
      </c>
      <c r="T848">
        <v>3977.52</v>
      </c>
      <c r="U848" s="2">
        <f t="shared" si="150"/>
        <v>7955.04</v>
      </c>
      <c r="V848" s="13">
        <v>0</v>
      </c>
      <c r="W848" s="2">
        <f t="shared" si="143"/>
        <v>0</v>
      </c>
      <c r="X848" s="2" t="str">
        <f t="shared" si="151"/>
        <v>Valid</v>
      </c>
      <c r="Y848" s="2" t="str">
        <f t="shared" si="152"/>
        <v>Clean</v>
      </c>
      <c r="Z848">
        <v>7955.04</v>
      </c>
      <c r="AA848">
        <v>5580.68</v>
      </c>
      <c r="AB848" s="2">
        <f t="shared" si="147"/>
        <v>2374.3599999999997</v>
      </c>
      <c r="AC848">
        <v>2374.36</v>
      </c>
      <c r="AD848" s="11">
        <f t="shared" si="153"/>
        <v>0.29847241497214344</v>
      </c>
      <c r="AE848" t="s">
        <v>112</v>
      </c>
      <c r="AF848" t="s">
        <v>104</v>
      </c>
    </row>
    <row r="849" spans="1:32">
      <c r="A849" t="s">
        <v>2619</v>
      </c>
      <c r="B849" s="2" t="str">
        <f t="shared" si="144"/>
        <v>Unique</v>
      </c>
      <c r="C849" s="2" t="str">
        <f t="shared" si="148"/>
        <v>May</v>
      </c>
      <c r="D849" s="2">
        <f t="shared" si="149"/>
        <v>2025</v>
      </c>
      <c r="E849" s="4">
        <v>45797</v>
      </c>
      <c r="F849" s="4">
        <v>45799</v>
      </c>
      <c r="G849" s="6">
        <f t="shared" si="145"/>
        <v>2</v>
      </c>
      <c r="H849" s="6" t="str">
        <f t="shared" si="146"/>
        <v>Valid</v>
      </c>
      <c r="I849" t="s">
        <v>2620</v>
      </c>
      <c r="J849" t="s">
        <v>163</v>
      </c>
      <c r="K849" t="s">
        <v>96</v>
      </c>
      <c r="L849" t="s">
        <v>39</v>
      </c>
      <c r="M849" t="s">
        <v>40</v>
      </c>
      <c r="O849" t="s">
        <v>42</v>
      </c>
      <c r="P849" t="s">
        <v>43</v>
      </c>
      <c r="Q849" t="s">
        <v>2621</v>
      </c>
      <c r="R849" t="s">
        <v>32</v>
      </c>
      <c r="S849">
        <v>2</v>
      </c>
      <c r="T849">
        <v>210.08</v>
      </c>
      <c r="U849" s="2">
        <f t="shared" si="150"/>
        <v>336.12800000000004</v>
      </c>
      <c r="V849" s="13">
        <v>0.2</v>
      </c>
      <c r="W849" s="2">
        <f t="shared" si="143"/>
        <v>0.2</v>
      </c>
      <c r="X849" s="2" t="str">
        <f t="shared" si="151"/>
        <v>Valid</v>
      </c>
      <c r="Y849" s="2" t="str">
        <f t="shared" si="152"/>
        <v>Clean</v>
      </c>
      <c r="Z849">
        <v>336.13</v>
      </c>
      <c r="AA849">
        <v>242.19</v>
      </c>
      <c r="AB849" s="2">
        <f t="shared" si="147"/>
        <v>93.938000000000045</v>
      </c>
      <c r="AC849">
        <v>93.94</v>
      </c>
      <c r="AD849" s="11">
        <f t="shared" si="153"/>
        <v>0.27947520304644036</v>
      </c>
      <c r="AE849" t="s">
        <v>33</v>
      </c>
      <c r="AF849" t="s">
        <v>34</v>
      </c>
    </row>
    <row r="850" spans="1:32">
      <c r="A850" t="s">
        <v>2622</v>
      </c>
      <c r="B850" s="2" t="str">
        <f t="shared" si="144"/>
        <v>Unique</v>
      </c>
      <c r="C850" s="2" t="str">
        <f t="shared" si="148"/>
        <v>May</v>
      </c>
      <c r="D850" s="2">
        <f t="shared" si="149"/>
        <v>2025</v>
      </c>
      <c r="E850" s="4">
        <v>45804</v>
      </c>
      <c r="F850" s="4">
        <v>45806</v>
      </c>
      <c r="G850" s="6">
        <f t="shared" si="145"/>
        <v>2</v>
      </c>
      <c r="H850" s="6" t="str">
        <f t="shared" si="146"/>
        <v>Valid</v>
      </c>
      <c r="I850" t="s">
        <v>2623</v>
      </c>
      <c r="J850" t="s">
        <v>119</v>
      </c>
      <c r="K850" t="s">
        <v>96</v>
      </c>
      <c r="L850" t="s">
        <v>55</v>
      </c>
      <c r="M850" t="s">
        <v>248</v>
      </c>
      <c r="O850" t="s">
        <v>42</v>
      </c>
      <c r="P850" t="s">
        <v>58</v>
      </c>
      <c r="Q850" t="s">
        <v>2624</v>
      </c>
      <c r="R850" t="s">
        <v>32</v>
      </c>
      <c r="S850">
        <v>1</v>
      </c>
      <c r="T850">
        <v>1744.35</v>
      </c>
      <c r="U850" s="2">
        <f t="shared" si="150"/>
        <v>1308.2624999999998</v>
      </c>
      <c r="V850" s="13">
        <v>0.25</v>
      </c>
      <c r="W850" s="2">
        <f t="shared" si="143"/>
        <v>0.25</v>
      </c>
      <c r="X850" s="2" t="str">
        <f t="shared" si="151"/>
        <v>Valid</v>
      </c>
      <c r="Y850" s="2" t="str">
        <f t="shared" si="152"/>
        <v>Clean</v>
      </c>
      <c r="Z850">
        <v>1308.26</v>
      </c>
      <c r="AA850">
        <v>1083.56</v>
      </c>
      <c r="AB850" s="2">
        <f t="shared" si="147"/>
        <v>224.70249999999987</v>
      </c>
      <c r="AC850">
        <v>224.7</v>
      </c>
      <c r="AD850" s="11">
        <f t="shared" si="153"/>
        <v>0.17175484995337317</v>
      </c>
      <c r="AE850" t="s">
        <v>33</v>
      </c>
      <c r="AF850" t="s">
        <v>34</v>
      </c>
    </row>
    <row r="851" spans="1:32">
      <c r="A851" t="s">
        <v>2625</v>
      </c>
      <c r="B851" s="2" t="str">
        <f t="shared" si="144"/>
        <v>Unique</v>
      </c>
      <c r="C851" s="2" t="str">
        <f t="shared" si="148"/>
        <v>Mar</v>
      </c>
      <c r="D851" s="2">
        <f t="shared" si="149"/>
        <v>2024</v>
      </c>
      <c r="E851" s="4">
        <v>45357</v>
      </c>
      <c r="F851" s="4">
        <v>45363</v>
      </c>
      <c r="G851" s="6">
        <f t="shared" si="145"/>
        <v>6</v>
      </c>
      <c r="H851" s="6" t="str">
        <f t="shared" si="146"/>
        <v>Valid</v>
      </c>
      <c r="I851" t="s">
        <v>2626</v>
      </c>
      <c r="J851" t="s">
        <v>48</v>
      </c>
      <c r="K851" t="s">
        <v>96</v>
      </c>
      <c r="L851" t="s">
        <v>64</v>
      </c>
      <c r="M851" t="s">
        <v>181</v>
      </c>
      <c r="O851" t="s">
        <v>42</v>
      </c>
      <c r="P851" t="s">
        <v>159</v>
      </c>
      <c r="Q851" t="s">
        <v>2627</v>
      </c>
      <c r="R851" t="s">
        <v>60</v>
      </c>
      <c r="S851">
        <v>3</v>
      </c>
      <c r="T851">
        <v>679.63</v>
      </c>
      <c r="U851" s="2">
        <f t="shared" si="150"/>
        <v>1631.1120000000001</v>
      </c>
      <c r="V851" s="13">
        <v>0.2</v>
      </c>
      <c r="W851" s="2">
        <f t="shared" si="143"/>
        <v>0.2</v>
      </c>
      <c r="X851" s="2" t="str">
        <f t="shared" si="151"/>
        <v>Valid</v>
      </c>
      <c r="Y851" s="2" t="str">
        <f t="shared" si="152"/>
        <v>Clean</v>
      </c>
      <c r="Z851">
        <v>1631.11</v>
      </c>
      <c r="AA851">
        <v>898.73</v>
      </c>
      <c r="AB851" s="2">
        <f t="shared" si="147"/>
        <v>732.38200000000006</v>
      </c>
      <c r="AC851">
        <v>396.58</v>
      </c>
      <c r="AD851" s="11">
        <f t="shared" si="153"/>
        <v>0.24313504300752248</v>
      </c>
      <c r="AE851" t="s">
        <v>33</v>
      </c>
      <c r="AF851" t="s">
        <v>34</v>
      </c>
    </row>
    <row r="852" spans="1:32">
      <c r="A852" t="s">
        <v>2628</v>
      </c>
      <c r="B852" s="2" t="str">
        <f t="shared" si="144"/>
        <v>Unique</v>
      </c>
      <c r="C852" s="2" t="str">
        <f t="shared" si="148"/>
        <v>Jun</v>
      </c>
      <c r="D852" s="2">
        <f t="shared" si="149"/>
        <v>2024</v>
      </c>
      <c r="E852" s="4">
        <v>45473</v>
      </c>
      <c r="F852" s="4">
        <v>45476</v>
      </c>
      <c r="G852" s="6">
        <f t="shared" si="145"/>
        <v>3</v>
      </c>
      <c r="H852" s="6" t="str">
        <f t="shared" si="146"/>
        <v>Valid</v>
      </c>
      <c r="I852" t="s">
        <v>2629</v>
      </c>
      <c r="J852" t="s">
        <v>115</v>
      </c>
      <c r="K852" t="s">
        <v>96</v>
      </c>
      <c r="L852" t="s">
        <v>39</v>
      </c>
      <c r="M852" t="s">
        <v>100</v>
      </c>
      <c r="O852" t="s">
        <v>29</v>
      </c>
      <c r="P852" t="s">
        <v>30</v>
      </c>
      <c r="Q852" t="s">
        <v>2630</v>
      </c>
      <c r="R852" t="s">
        <v>51</v>
      </c>
      <c r="S852">
        <v>6</v>
      </c>
      <c r="T852">
        <v>1211.01</v>
      </c>
      <c r="U852" s="2">
        <f t="shared" si="150"/>
        <v>7266.0599999999995</v>
      </c>
      <c r="V852" s="13">
        <v>0</v>
      </c>
      <c r="W852" s="2">
        <f t="shared" si="143"/>
        <v>0</v>
      </c>
      <c r="X852" s="2" t="str">
        <f t="shared" si="151"/>
        <v>Valid</v>
      </c>
      <c r="Y852" s="2" t="str">
        <f t="shared" si="152"/>
        <v>Clean</v>
      </c>
      <c r="Z852">
        <v>7266.06</v>
      </c>
      <c r="AA852">
        <v>6216.89</v>
      </c>
      <c r="AB852" s="2">
        <f t="shared" si="147"/>
        <v>1049.1699999999992</v>
      </c>
      <c r="AC852">
        <v>1049.17</v>
      </c>
      <c r="AD852" s="11">
        <f t="shared" si="153"/>
        <v>0.14439324750965449</v>
      </c>
      <c r="AE852" t="s">
        <v>33</v>
      </c>
      <c r="AF852" t="s">
        <v>34</v>
      </c>
    </row>
    <row r="853" spans="1:32">
      <c r="A853" t="s">
        <v>2631</v>
      </c>
      <c r="B853" s="2" t="str">
        <f t="shared" si="144"/>
        <v>Unique</v>
      </c>
      <c r="C853" s="2" t="str">
        <f t="shared" si="148"/>
        <v>Mar</v>
      </c>
      <c r="D853" s="2">
        <f t="shared" si="149"/>
        <v>2024</v>
      </c>
      <c r="E853" s="4">
        <v>45377</v>
      </c>
      <c r="F853" s="4">
        <v>45383</v>
      </c>
      <c r="G853" s="6">
        <f t="shared" si="145"/>
        <v>6</v>
      </c>
      <c r="H853" s="6" t="str">
        <f t="shared" si="146"/>
        <v>Valid</v>
      </c>
      <c r="I853" t="s">
        <v>2632</v>
      </c>
      <c r="J853" t="s">
        <v>24</v>
      </c>
      <c r="K853" t="s">
        <v>38</v>
      </c>
      <c r="L853" t="s">
        <v>64</v>
      </c>
      <c r="M853" t="s">
        <v>181</v>
      </c>
      <c r="O853" t="s">
        <v>75</v>
      </c>
      <c r="P853" t="s">
        <v>76</v>
      </c>
      <c r="Q853" t="s">
        <v>2633</v>
      </c>
      <c r="R853" t="s">
        <v>51</v>
      </c>
      <c r="S853">
        <v>2</v>
      </c>
      <c r="T853">
        <v>1161.3</v>
      </c>
      <c r="U853" s="2">
        <f t="shared" si="150"/>
        <v>1858.08</v>
      </c>
      <c r="V853" s="13">
        <v>0.2</v>
      </c>
      <c r="W853" s="2">
        <f t="shared" si="143"/>
        <v>0.2</v>
      </c>
      <c r="X853" s="2" t="str">
        <f t="shared" si="151"/>
        <v>Valid</v>
      </c>
      <c r="Y853" s="2" t="str">
        <f t="shared" si="152"/>
        <v>Clean</v>
      </c>
      <c r="Z853">
        <v>1858.08</v>
      </c>
      <c r="AA853">
        <v>1590.75</v>
      </c>
      <c r="AB853" s="2">
        <f t="shared" si="147"/>
        <v>267.32999999999993</v>
      </c>
      <c r="AC853">
        <v>267.33</v>
      </c>
      <c r="AD853" s="11">
        <f t="shared" si="153"/>
        <v>0.143874321880651</v>
      </c>
      <c r="AE853" t="s">
        <v>33</v>
      </c>
      <c r="AF853" t="s">
        <v>34</v>
      </c>
    </row>
    <row r="854" spans="1:32">
      <c r="A854" t="s">
        <v>2634</v>
      </c>
      <c r="B854" s="2" t="str">
        <f t="shared" si="144"/>
        <v>Unique</v>
      </c>
      <c r="C854" s="2" t="str">
        <f t="shared" si="148"/>
        <v>Apr</v>
      </c>
      <c r="D854" s="2">
        <f t="shared" si="149"/>
        <v>2024</v>
      </c>
      <c r="E854" s="4">
        <v>45383</v>
      </c>
      <c r="F854" s="4">
        <v>45390</v>
      </c>
      <c r="G854" s="6">
        <f t="shared" si="145"/>
        <v>7</v>
      </c>
      <c r="H854" s="6" t="str">
        <f t="shared" si="146"/>
        <v>Valid</v>
      </c>
      <c r="I854" t="s">
        <v>2635</v>
      </c>
      <c r="J854" t="s">
        <v>63</v>
      </c>
      <c r="K854" t="s">
        <v>25</v>
      </c>
      <c r="L854" t="s">
        <v>39</v>
      </c>
      <c r="M854" t="s">
        <v>167</v>
      </c>
      <c r="O854" t="s">
        <v>42</v>
      </c>
      <c r="P854" t="s">
        <v>43</v>
      </c>
      <c r="Q854" t="s">
        <v>2636</v>
      </c>
      <c r="R854" t="s">
        <v>32</v>
      </c>
      <c r="S854">
        <v>7</v>
      </c>
      <c r="T854">
        <v>4205.3500000000004</v>
      </c>
      <c r="U854" s="2">
        <f t="shared" si="150"/>
        <v>25021.832500000004</v>
      </c>
      <c r="V854" s="13">
        <v>0.15</v>
      </c>
      <c r="W854" s="2">
        <f t="shared" si="143"/>
        <v>0.15</v>
      </c>
      <c r="X854" s="2" t="str">
        <f t="shared" si="151"/>
        <v>Valid</v>
      </c>
      <c r="Y854" s="2" t="str">
        <f t="shared" si="152"/>
        <v>Clean</v>
      </c>
      <c r="Z854">
        <v>25021.83</v>
      </c>
      <c r="AA854">
        <v>15544.44</v>
      </c>
      <c r="AB854" s="2">
        <f t="shared" si="147"/>
        <v>9477.3925000000036</v>
      </c>
      <c r="AC854">
        <v>9477.39</v>
      </c>
      <c r="AD854" s="11">
        <f t="shared" si="153"/>
        <v>0.37876486252204572</v>
      </c>
      <c r="AE854" t="s">
        <v>112</v>
      </c>
      <c r="AF854" t="s">
        <v>69</v>
      </c>
    </row>
    <row r="855" spans="1:32">
      <c r="A855" t="s">
        <v>2637</v>
      </c>
      <c r="B855" s="2" t="str">
        <f t="shared" si="144"/>
        <v>Unique</v>
      </c>
      <c r="C855" s="2" t="str">
        <f t="shared" si="148"/>
        <v>May</v>
      </c>
      <c r="D855" s="2">
        <f t="shared" si="149"/>
        <v>2025</v>
      </c>
      <c r="E855" s="4">
        <v>45793</v>
      </c>
      <c r="F855" s="4">
        <v>45799</v>
      </c>
      <c r="G855" s="6">
        <f t="shared" si="145"/>
        <v>6</v>
      </c>
      <c r="H855" s="6" t="str">
        <f t="shared" si="146"/>
        <v>Valid</v>
      </c>
      <c r="I855" t="s">
        <v>2638</v>
      </c>
      <c r="J855" t="s">
        <v>54</v>
      </c>
      <c r="K855" t="s">
        <v>91</v>
      </c>
      <c r="L855" t="s">
        <v>55</v>
      </c>
      <c r="M855" t="s">
        <v>248</v>
      </c>
      <c r="O855" t="s">
        <v>75</v>
      </c>
      <c r="P855" t="s">
        <v>76</v>
      </c>
      <c r="Q855" t="s">
        <v>2639</v>
      </c>
      <c r="R855" t="s">
        <v>45</v>
      </c>
      <c r="S855">
        <v>8</v>
      </c>
      <c r="T855">
        <v>579.79999999999995</v>
      </c>
      <c r="U855" s="2">
        <f t="shared" si="150"/>
        <v>3710.72</v>
      </c>
      <c r="V855" s="13">
        <v>0.2</v>
      </c>
      <c r="W855" s="2">
        <f t="shared" si="143"/>
        <v>0.2</v>
      </c>
      <c r="X855" s="2" t="str">
        <f t="shared" si="151"/>
        <v>Valid</v>
      </c>
      <c r="Y855" s="2" t="str">
        <f t="shared" si="152"/>
        <v>Clean</v>
      </c>
      <c r="Z855">
        <v>3710.72</v>
      </c>
      <c r="AA855">
        <v>3115.29</v>
      </c>
      <c r="AB855" s="2">
        <f t="shared" si="147"/>
        <v>595.42999999999984</v>
      </c>
      <c r="AC855">
        <v>595.42999999999995</v>
      </c>
      <c r="AD855" s="11">
        <f t="shared" si="153"/>
        <v>0.16046212055881337</v>
      </c>
      <c r="AE855" t="s">
        <v>33</v>
      </c>
      <c r="AF855" t="s">
        <v>34</v>
      </c>
    </row>
    <row r="856" spans="1:32">
      <c r="A856" t="s">
        <v>2640</v>
      </c>
      <c r="B856" s="2" t="str">
        <f t="shared" si="144"/>
        <v>Unique</v>
      </c>
      <c r="C856" s="2" t="str">
        <f t="shared" si="148"/>
        <v>Mar</v>
      </c>
      <c r="D856" s="2">
        <f t="shared" si="149"/>
        <v>2025</v>
      </c>
      <c r="E856" s="4">
        <v>45741</v>
      </c>
      <c r="F856" s="4">
        <v>45749</v>
      </c>
      <c r="G856" s="6">
        <f t="shared" si="145"/>
        <v>8</v>
      </c>
      <c r="H856" s="6" t="str">
        <f t="shared" si="146"/>
        <v>Valid</v>
      </c>
      <c r="I856" t="s">
        <v>2641</v>
      </c>
      <c r="J856" t="s">
        <v>115</v>
      </c>
      <c r="K856" t="s">
        <v>25</v>
      </c>
      <c r="L856" t="s">
        <v>55</v>
      </c>
      <c r="M856" t="s">
        <v>176</v>
      </c>
      <c r="O856" t="s">
        <v>42</v>
      </c>
      <c r="P856" t="s">
        <v>159</v>
      </c>
      <c r="Q856" t="s">
        <v>2642</v>
      </c>
      <c r="R856" t="s">
        <v>32</v>
      </c>
      <c r="S856">
        <v>4</v>
      </c>
      <c r="T856">
        <v>2233.64</v>
      </c>
      <c r="U856" s="2">
        <f t="shared" si="150"/>
        <v>8487.8319999999985</v>
      </c>
      <c r="V856" s="13">
        <v>0.05</v>
      </c>
      <c r="W856" s="2">
        <f t="shared" si="143"/>
        <v>0.05</v>
      </c>
      <c r="X856" s="2" t="str">
        <f t="shared" si="151"/>
        <v>Valid</v>
      </c>
      <c r="Y856" s="2" t="str">
        <f t="shared" si="152"/>
        <v>Clean</v>
      </c>
      <c r="Z856">
        <v>8487.83</v>
      </c>
      <c r="AA856">
        <v>5245.72</v>
      </c>
      <c r="AB856" s="2">
        <f t="shared" si="147"/>
        <v>3242.1119999999983</v>
      </c>
      <c r="AC856">
        <v>3242.11</v>
      </c>
      <c r="AD856" s="11">
        <f t="shared" si="153"/>
        <v>0.38197159933693303</v>
      </c>
      <c r="AE856" t="s">
        <v>33</v>
      </c>
      <c r="AF856" t="s">
        <v>34</v>
      </c>
    </row>
    <row r="857" spans="1:32">
      <c r="A857" t="s">
        <v>2643</v>
      </c>
      <c r="B857" s="2" t="str">
        <f t="shared" si="144"/>
        <v>Unique</v>
      </c>
      <c r="C857" s="2" t="str">
        <f t="shared" si="148"/>
        <v>Jul</v>
      </c>
      <c r="D857" s="2">
        <f t="shared" si="149"/>
        <v>2024</v>
      </c>
      <c r="E857" s="4">
        <v>45498</v>
      </c>
      <c r="F857" s="4">
        <v>45506</v>
      </c>
      <c r="G857" s="6">
        <f t="shared" si="145"/>
        <v>8</v>
      </c>
      <c r="H857" s="6" t="str">
        <f t="shared" si="146"/>
        <v>Valid</v>
      </c>
      <c r="I857" t="s">
        <v>1124</v>
      </c>
      <c r="J857" t="s">
        <v>119</v>
      </c>
      <c r="K857" t="s">
        <v>25</v>
      </c>
      <c r="L857" t="s">
        <v>26</v>
      </c>
      <c r="M857" t="s">
        <v>27</v>
      </c>
      <c r="O857" t="s">
        <v>29</v>
      </c>
      <c r="P857" t="s">
        <v>2644</v>
      </c>
      <c r="Q857" t="s">
        <v>2645</v>
      </c>
      <c r="R857" t="s">
        <v>32</v>
      </c>
      <c r="S857">
        <v>2</v>
      </c>
      <c r="T857">
        <v>2073.5300000000002</v>
      </c>
      <c r="U857" s="2">
        <f t="shared" si="150"/>
        <v>3110.2950000000001</v>
      </c>
      <c r="V857" s="13">
        <v>0.25</v>
      </c>
      <c r="W857" s="2">
        <f t="shared" si="143"/>
        <v>0.25</v>
      </c>
      <c r="X857" s="2" t="str">
        <f t="shared" si="151"/>
        <v>Valid</v>
      </c>
      <c r="Y857" s="2" t="str">
        <f t="shared" si="152"/>
        <v>Clean</v>
      </c>
      <c r="Z857">
        <v>3110.3</v>
      </c>
      <c r="AA857">
        <v>2101.0300000000002</v>
      </c>
      <c r="AB857" s="2">
        <f t="shared" si="147"/>
        <v>1009.2649999999999</v>
      </c>
      <c r="AC857">
        <v>1009.27</v>
      </c>
      <c r="AD857" s="11">
        <f t="shared" si="153"/>
        <v>0.32449281419798731</v>
      </c>
      <c r="AE857" t="s">
        <v>33</v>
      </c>
      <c r="AF857" t="s">
        <v>34</v>
      </c>
    </row>
    <row r="858" spans="1:32">
      <c r="A858" t="s">
        <v>2646</v>
      </c>
      <c r="B858" s="2" t="str">
        <f t="shared" si="144"/>
        <v>Unique</v>
      </c>
      <c r="C858" s="2" t="str">
        <f t="shared" si="148"/>
        <v>Jun</v>
      </c>
      <c r="D858" s="2">
        <f t="shared" si="149"/>
        <v>2024</v>
      </c>
      <c r="E858" s="4">
        <v>45455</v>
      </c>
      <c r="F858" s="4">
        <v>45462</v>
      </c>
      <c r="G858" s="6">
        <f t="shared" si="145"/>
        <v>7</v>
      </c>
      <c r="H858" s="6" t="str">
        <f t="shared" si="146"/>
        <v>Valid</v>
      </c>
      <c r="I858" t="s">
        <v>1303</v>
      </c>
      <c r="J858" t="s">
        <v>142</v>
      </c>
      <c r="K858" t="s">
        <v>96</v>
      </c>
      <c r="L858" t="s">
        <v>55</v>
      </c>
      <c r="M858" t="s">
        <v>248</v>
      </c>
      <c r="O858" t="s">
        <v>29</v>
      </c>
      <c r="P858" t="s">
        <v>125</v>
      </c>
      <c r="Q858" t="s">
        <v>2647</v>
      </c>
      <c r="R858" t="s">
        <v>60</v>
      </c>
      <c r="S858">
        <v>4</v>
      </c>
      <c r="T858">
        <v>395.1</v>
      </c>
      <c r="U858" s="2" t="str">
        <f t="shared" si="150"/>
        <v>Invalid</v>
      </c>
      <c r="V858" s="13">
        <v>-0.16</v>
      </c>
      <c r="W858" s="2" t="str">
        <f t="shared" si="143"/>
        <v>Invalid</v>
      </c>
      <c r="X858" s="2" t="str">
        <f t="shared" si="151"/>
        <v>Invalid</v>
      </c>
      <c r="Y858" s="2" t="str">
        <f t="shared" si="152"/>
        <v>Invalid</v>
      </c>
      <c r="Z858">
        <v>1185.3</v>
      </c>
      <c r="AA858">
        <v>966.55</v>
      </c>
      <c r="AB858" s="2" t="str">
        <f t="shared" si="147"/>
        <v>Invalid</v>
      </c>
      <c r="AC858">
        <v>218.75</v>
      </c>
      <c r="AD858" s="11">
        <f t="shared" si="153"/>
        <v>0.1845524339829579</v>
      </c>
      <c r="AE858" t="s">
        <v>156</v>
      </c>
      <c r="AF858" t="s">
        <v>69</v>
      </c>
    </row>
    <row r="859" spans="1:32">
      <c r="A859" t="s">
        <v>2648</v>
      </c>
      <c r="B859" s="2" t="str">
        <f t="shared" si="144"/>
        <v>Unique</v>
      </c>
      <c r="C859" s="2" t="str">
        <f t="shared" si="148"/>
        <v>Jun</v>
      </c>
      <c r="D859" s="2">
        <f t="shared" si="149"/>
        <v>2024</v>
      </c>
      <c r="E859" s="4">
        <v>45447</v>
      </c>
      <c r="F859" s="4">
        <v>45447</v>
      </c>
      <c r="G859" s="6">
        <f t="shared" si="145"/>
        <v>0</v>
      </c>
      <c r="H859" s="6" t="str">
        <f t="shared" si="146"/>
        <v>Valid</v>
      </c>
      <c r="I859" t="s">
        <v>2153</v>
      </c>
      <c r="J859" t="s">
        <v>133</v>
      </c>
      <c r="K859" t="s">
        <v>96</v>
      </c>
      <c r="L859" t="s">
        <v>55</v>
      </c>
      <c r="M859" t="s">
        <v>186</v>
      </c>
      <c r="O859" t="s">
        <v>29</v>
      </c>
      <c r="P859" t="s">
        <v>125</v>
      </c>
      <c r="Q859" t="s">
        <v>2649</v>
      </c>
      <c r="R859" t="s">
        <v>51</v>
      </c>
      <c r="S859">
        <v>6</v>
      </c>
      <c r="T859">
        <v>2708.97</v>
      </c>
      <c r="U859" s="2">
        <f t="shared" si="150"/>
        <v>12190.365</v>
      </c>
      <c r="V859" s="13">
        <v>0.25</v>
      </c>
      <c r="W859" s="2">
        <f t="shared" si="143"/>
        <v>0.25</v>
      </c>
      <c r="X859" s="2" t="str">
        <f t="shared" si="151"/>
        <v>Valid</v>
      </c>
      <c r="Y859" s="2" t="str">
        <f t="shared" si="152"/>
        <v>Clean</v>
      </c>
      <c r="Z859">
        <v>12190.36</v>
      </c>
      <c r="AA859">
        <v>10176.99</v>
      </c>
      <c r="AB859" s="2">
        <f t="shared" si="147"/>
        <v>2013.375</v>
      </c>
      <c r="AC859">
        <v>2013.37</v>
      </c>
      <c r="AD859" s="11">
        <f t="shared" si="153"/>
        <v>0.16516083200168</v>
      </c>
      <c r="AE859" t="s">
        <v>33</v>
      </c>
      <c r="AF859" t="s">
        <v>34</v>
      </c>
    </row>
    <row r="860" spans="1:32">
      <c r="A860" t="s">
        <v>2650</v>
      </c>
      <c r="B860" s="2" t="str">
        <f t="shared" si="144"/>
        <v>Unique</v>
      </c>
      <c r="C860" s="2" t="str">
        <f t="shared" si="148"/>
        <v>May</v>
      </c>
      <c r="D860" s="2">
        <f t="shared" si="149"/>
        <v>2024</v>
      </c>
      <c r="E860" s="4">
        <v>45414</v>
      </c>
      <c r="F860" s="4">
        <v>45421</v>
      </c>
      <c r="G860" s="6">
        <f t="shared" si="145"/>
        <v>7</v>
      </c>
      <c r="H860" s="6" t="str">
        <f t="shared" si="146"/>
        <v>Valid</v>
      </c>
      <c r="I860" t="s">
        <v>2651</v>
      </c>
      <c r="J860" t="s">
        <v>54</v>
      </c>
      <c r="K860" t="s">
        <v>25</v>
      </c>
      <c r="L860" t="s">
        <v>39</v>
      </c>
      <c r="M860" t="s">
        <v>40</v>
      </c>
      <c r="O860" t="s">
        <v>75</v>
      </c>
      <c r="P860" t="s">
        <v>76</v>
      </c>
      <c r="Q860" t="s">
        <v>2652</v>
      </c>
      <c r="R860" t="s">
        <v>32</v>
      </c>
      <c r="S860">
        <v>4</v>
      </c>
      <c r="T860">
        <v>2904.86</v>
      </c>
      <c r="U860" s="2">
        <f t="shared" si="150"/>
        <v>11619.44</v>
      </c>
      <c r="V860" s="13">
        <v>0</v>
      </c>
      <c r="W860" s="2">
        <f t="shared" si="143"/>
        <v>0</v>
      </c>
      <c r="X860" s="2" t="str">
        <f t="shared" si="151"/>
        <v>Valid</v>
      </c>
      <c r="Y860" s="2" t="str">
        <f t="shared" si="152"/>
        <v>Clean</v>
      </c>
      <c r="Z860">
        <v>11619.44</v>
      </c>
      <c r="AA860">
        <v>7184.32</v>
      </c>
      <c r="AB860" s="2">
        <f t="shared" si="147"/>
        <v>4435.1200000000008</v>
      </c>
      <c r="AC860">
        <v>4494.6400000000003</v>
      </c>
      <c r="AD860" s="11">
        <f t="shared" si="153"/>
        <v>0.38682070736627583</v>
      </c>
      <c r="AE860" t="s">
        <v>33</v>
      </c>
      <c r="AF860" t="s">
        <v>34</v>
      </c>
    </row>
    <row r="861" spans="1:32">
      <c r="A861" t="s">
        <v>2653</v>
      </c>
      <c r="B861" s="2" t="str">
        <f t="shared" si="144"/>
        <v>Unique</v>
      </c>
      <c r="C861" s="2" t="str">
        <f t="shared" si="148"/>
        <v>Oct</v>
      </c>
      <c r="D861" s="2">
        <f t="shared" si="149"/>
        <v>2024</v>
      </c>
      <c r="E861" s="4">
        <v>45592</v>
      </c>
      <c r="F861" s="4">
        <v>45597</v>
      </c>
      <c r="G861" s="6">
        <f t="shared" si="145"/>
        <v>5</v>
      </c>
      <c r="H861" s="6" t="str">
        <f t="shared" si="146"/>
        <v>Valid</v>
      </c>
      <c r="I861" t="s">
        <v>2654</v>
      </c>
      <c r="J861" t="s">
        <v>90</v>
      </c>
      <c r="K861" t="s">
        <v>91</v>
      </c>
      <c r="L861" t="s">
        <v>55</v>
      </c>
      <c r="M861" t="s">
        <v>248</v>
      </c>
      <c r="O861" t="s">
        <v>75</v>
      </c>
      <c r="P861" t="s">
        <v>172</v>
      </c>
      <c r="Q861" t="s">
        <v>2655</v>
      </c>
      <c r="R861" t="s">
        <v>60</v>
      </c>
      <c r="S861">
        <v>6</v>
      </c>
      <c r="T861">
        <v>4399.2</v>
      </c>
      <c r="U861" s="2">
        <f t="shared" si="150"/>
        <v>25075.439999999995</v>
      </c>
      <c r="V861" s="13">
        <v>0.05</v>
      </c>
      <c r="W861" s="2">
        <f t="shared" si="143"/>
        <v>0.05</v>
      </c>
      <c r="X861" s="2" t="str">
        <f t="shared" si="151"/>
        <v>Valid</v>
      </c>
      <c r="Y861" s="2" t="str">
        <f t="shared" si="152"/>
        <v>Clean</v>
      </c>
      <c r="Z861">
        <v>25075.439999999999</v>
      </c>
      <c r="AA861">
        <v>16282.74</v>
      </c>
      <c r="AB861" s="2">
        <f t="shared" si="147"/>
        <v>8792.6999999999953</v>
      </c>
      <c r="AC861">
        <v>8792.7000000000007</v>
      </c>
      <c r="AD861" s="11">
        <f t="shared" si="153"/>
        <v>0.35064987892535487</v>
      </c>
      <c r="AE861" t="s">
        <v>33</v>
      </c>
      <c r="AF861" t="s">
        <v>34</v>
      </c>
    </row>
    <row r="862" spans="1:32">
      <c r="A862" t="s">
        <v>2656</v>
      </c>
      <c r="B862" s="2" t="str">
        <f t="shared" si="144"/>
        <v>Unique</v>
      </c>
      <c r="C862" s="2" t="str">
        <f t="shared" si="148"/>
        <v>Feb</v>
      </c>
      <c r="D862" s="2">
        <f t="shared" si="149"/>
        <v>2024</v>
      </c>
      <c r="E862" s="4">
        <v>45324</v>
      </c>
      <c r="F862" s="4">
        <v>45326</v>
      </c>
      <c r="G862" s="6">
        <f t="shared" si="145"/>
        <v>2</v>
      </c>
      <c r="H862" s="6" t="str">
        <f t="shared" si="146"/>
        <v>Valid</v>
      </c>
      <c r="I862" t="s">
        <v>2657</v>
      </c>
      <c r="J862" t="s">
        <v>72</v>
      </c>
      <c r="K862" t="s">
        <v>96</v>
      </c>
      <c r="L862" t="s">
        <v>26</v>
      </c>
      <c r="M862" t="s">
        <v>137</v>
      </c>
      <c r="O862" t="s">
        <v>29</v>
      </c>
      <c r="P862" t="s">
        <v>125</v>
      </c>
      <c r="Q862" t="s">
        <v>2658</v>
      </c>
      <c r="R862" t="s">
        <v>32</v>
      </c>
      <c r="S862">
        <v>1</v>
      </c>
      <c r="T862">
        <v>4397.32</v>
      </c>
      <c r="U862" s="2">
        <f t="shared" si="150"/>
        <v>4177.4539999999997</v>
      </c>
      <c r="V862" s="13">
        <v>0.05</v>
      </c>
      <c r="W862" s="2">
        <f t="shared" si="143"/>
        <v>0.05</v>
      </c>
      <c r="X862" s="2" t="str">
        <f t="shared" si="151"/>
        <v>Valid</v>
      </c>
      <c r="Y862" s="2" t="str">
        <f t="shared" si="152"/>
        <v>Clean</v>
      </c>
      <c r="Z862">
        <v>4177.45</v>
      </c>
      <c r="AA862">
        <v>2299.5</v>
      </c>
      <c r="AB862" s="2">
        <f t="shared" si="147"/>
        <v>1877.9539999999997</v>
      </c>
      <c r="AC862">
        <v>1877.95</v>
      </c>
      <c r="AD862" s="11">
        <f t="shared" si="153"/>
        <v>0.44954457863050429</v>
      </c>
      <c r="AE862" t="s">
        <v>33</v>
      </c>
      <c r="AF862" t="s">
        <v>34</v>
      </c>
    </row>
    <row r="863" spans="1:32">
      <c r="A863" t="s">
        <v>2659</v>
      </c>
      <c r="B863" s="2" t="str">
        <f t="shared" si="144"/>
        <v>Unique</v>
      </c>
      <c r="C863" s="2" t="str">
        <f t="shared" si="148"/>
        <v>Mar</v>
      </c>
      <c r="D863" s="2">
        <f t="shared" si="149"/>
        <v>2025</v>
      </c>
      <c r="E863" s="4">
        <v>45724</v>
      </c>
      <c r="F863" s="4">
        <v>45725</v>
      </c>
      <c r="G863" s="6">
        <f t="shared" si="145"/>
        <v>1</v>
      </c>
      <c r="H863" s="6" t="str">
        <f t="shared" si="146"/>
        <v>Valid</v>
      </c>
      <c r="I863" t="s">
        <v>2660</v>
      </c>
      <c r="J863" t="s">
        <v>115</v>
      </c>
      <c r="K863" t="s">
        <v>96</v>
      </c>
      <c r="L863" t="s">
        <v>26</v>
      </c>
      <c r="M863" t="s">
        <v>351</v>
      </c>
      <c r="O863" t="s">
        <v>42</v>
      </c>
      <c r="P863" t="s">
        <v>58</v>
      </c>
      <c r="Q863" t="s">
        <v>2661</v>
      </c>
      <c r="R863" t="s">
        <v>45</v>
      </c>
      <c r="S863">
        <v>4</v>
      </c>
      <c r="T863">
        <v>3405.68</v>
      </c>
      <c r="U863" s="2">
        <f t="shared" si="150"/>
        <v>10898.175999999999</v>
      </c>
      <c r="V863" s="13">
        <v>0.2</v>
      </c>
      <c r="W863" s="2">
        <f t="shared" si="143"/>
        <v>0.2</v>
      </c>
      <c r="X863" s="2" t="str">
        <f t="shared" si="151"/>
        <v>Valid</v>
      </c>
      <c r="Y863" s="2" t="str">
        <f t="shared" si="152"/>
        <v>Clean</v>
      </c>
      <c r="Z863">
        <v>10898.18</v>
      </c>
      <c r="AA863">
        <v>6231.41</v>
      </c>
      <c r="AB863" s="2">
        <f t="shared" si="147"/>
        <v>4666.7659999999996</v>
      </c>
      <c r="AC863">
        <v>4666.7700000000004</v>
      </c>
      <c r="AD863" s="11">
        <f t="shared" si="153"/>
        <v>0.42821553690616232</v>
      </c>
      <c r="AE863" t="s">
        <v>33</v>
      </c>
      <c r="AF863" t="s">
        <v>34</v>
      </c>
    </row>
    <row r="864" spans="1:32">
      <c r="A864" t="s">
        <v>2662</v>
      </c>
      <c r="B864" s="2" t="str">
        <f t="shared" si="144"/>
        <v>Unique</v>
      </c>
      <c r="C864" s="2" t="str">
        <f t="shared" si="148"/>
        <v>Mar</v>
      </c>
      <c r="D864" s="2">
        <f t="shared" si="149"/>
        <v>2025</v>
      </c>
      <c r="E864" s="4">
        <v>45742</v>
      </c>
      <c r="F864" s="4">
        <v>45747</v>
      </c>
      <c r="G864" s="6">
        <f t="shared" si="145"/>
        <v>5</v>
      </c>
      <c r="H864" s="6" t="str">
        <f t="shared" si="146"/>
        <v>Valid</v>
      </c>
      <c r="I864" t="s">
        <v>2663</v>
      </c>
      <c r="J864" t="s">
        <v>115</v>
      </c>
      <c r="K864" t="s">
        <v>38</v>
      </c>
      <c r="L864" t="s">
        <v>39</v>
      </c>
      <c r="M864" t="s">
        <v>229</v>
      </c>
      <c r="O864" t="s">
        <v>29</v>
      </c>
      <c r="P864" t="s">
        <v>154</v>
      </c>
      <c r="Q864" t="s">
        <v>2664</v>
      </c>
      <c r="R864" t="s">
        <v>51</v>
      </c>
      <c r="S864">
        <v>5</v>
      </c>
      <c r="T864">
        <v>1395.14</v>
      </c>
      <c r="U864" s="2">
        <f t="shared" si="150"/>
        <v>6975.7000000000007</v>
      </c>
      <c r="V864" s="13">
        <v>0</v>
      </c>
      <c r="W864" s="2">
        <f t="shared" si="143"/>
        <v>0</v>
      </c>
      <c r="X864" s="2" t="str">
        <f t="shared" si="151"/>
        <v>Valid</v>
      </c>
      <c r="Y864" s="2" t="str">
        <f t="shared" si="152"/>
        <v>Clean</v>
      </c>
      <c r="Z864">
        <v>6975.7</v>
      </c>
      <c r="AA864">
        <v>4797.88</v>
      </c>
      <c r="AB864" s="2">
        <f t="shared" si="147"/>
        <v>2177.8200000000006</v>
      </c>
      <c r="AC864">
        <v>2177.8200000000002</v>
      </c>
      <c r="AD864" s="11">
        <f t="shared" si="153"/>
        <v>0.31220092607193545</v>
      </c>
      <c r="AE864" t="s">
        <v>33</v>
      </c>
      <c r="AF864" t="s">
        <v>69</v>
      </c>
    </row>
    <row r="865" spans="1:32">
      <c r="A865" t="s">
        <v>2665</v>
      </c>
      <c r="B865" s="2" t="str">
        <f t="shared" si="144"/>
        <v>Unique</v>
      </c>
      <c r="C865" s="2" t="str">
        <f t="shared" si="148"/>
        <v>Sep</v>
      </c>
      <c r="D865" s="2">
        <f t="shared" si="149"/>
        <v>2025</v>
      </c>
      <c r="E865" s="4">
        <v>45906</v>
      </c>
      <c r="F865" s="4">
        <v>45908</v>
      </c>
      <c r="G865" s="6">
        <f t="shared" si="145"/>
        <v>2</v>
      </c>
      <c r="H865" s="6" t="str">
        <f t="shared" si="146"/>
        <v>Valid</v>
      </c>
      <c r="I865" t="s">
        <v>2666</v>
      </c>
      <c r="J865" t="s">
        <v>129</v>
      </c>
      <c r="K865" t="s">
        <v>96</v>
      </c>
      <c r="L865" t="s">
        <v>64</v>
      </c>
      <c r="M865" t="s">
        <v>73</v>
      </c>
      <c r="O865" t="s">
        <v>42</v>
      </c>
      <c r="P865" t="s">
        <v>58</v>
      </c>
      <c r="Q865" t="s">
        <v>2667</v>
      </c>
      <c r="R865" t="s">
        <v>45</v>
      </c>
      <c r="S865">
        <v>3</v>
      </c>
      <c r="T865">
        <v>2937.23</v>
      </c>
      <c r="U865" s="2">
        <f t="shared" si="150"/>
        <v>8811.69</v>
      </c>
      <c r="V865" s="13">
        <v>0</v>
      </c>
      <c r="W865" s="2">
        <f t="shared" si="143"/>
        <v>0</v>
      </c>
      <c r="X865" s="2" t="str">
        <f t="shared" si="151"/>
        <v>Valid</v>
      </c>
      <c r="Y865" s="2" t="str">
        <f t="shared" si="152"/>
        <v>Clean</v>
      </c>
      <c r="Z865">
        <v>8811.69</v>
      </c>
      <c r="AA865">
        <v>6765.91</v>
      </c>
      <c r="AB865" s="2">
        <f t="shared" si="147"/>
        <v>2045.7800000000007</v>
      </c>
      <c r="AC865">
        <v>2045.78</v>
      </c>
      <c r="AD865" s="11">
        <f t="shared" si="153"/>
        <v>0.23216658779416888</v>
      </c>
      <c r="AE865" t="s">
        <v>33</v>
      </c>
      <c r="AF865" t="s">
        <v>34</v>
      </c>
    </row>
    <row r="866" spans="1:32">
      <c r="A866" t="s">
        <v>2668</v>
      </c>
      <c r="B866" s="2" t="str">
        <f t="shared" si="144"/>
        <v>Unique</v>
      </c>
      <c r="C866" s="2" t="str">
        <f t="shared" si="148"/>
        <v>Sep</v>
      </c>
      <c r="D866" s="2">
        <f t="shared" si="149"/>
        <v>2025</v>
      </c>
      <c r="E866" s="4">
        <v>45902</v>
      </c>
      <c r="F866" s="4">
        <v>45905</v>
      </c>
      <c r="G866" s="6">
        <f t="shared" si="145"/>
        <v>3</v>
      </c>
      <c r="H866" s="6" t="str">
        <f t="shared" si="146"/>
        <v>Valid</v>
      </c>
      <c r="I866" t="s">
        <v>2669</v>
      </c>
      <c r="J866" t="s">
        <v>72</v>
      </c>
      <c r="K866" t="s">
        <v>25</v>
      </c>
      <c r="L866" t="s">
        <v>55</v>
      </c>
      <c r="M866" t="s">
        <v>248</v>
      </c>
      <c r="O866" t="s">
        <v>75</v>
      </c>
      <c r="P866" t="s">
        <v>172</v>
      </c>
      <c r="Q866" t="s">
        <v>2670</v>
      </c>
      <c r="R866" t="s">
        <v>51</v>
      </c>
      <c r="S866">
        <v>5</v>
      </c>
      <c r="T866">
        <v>3406.87</v>
      </c>
      <c r="U866" s="2">
        <f t="shared" si="150"/>
        <v>17034.349999999999</v>
      </c>
      <c r="V866" s="13">
        <v>0</v>
      </c>
      <c r="W866" s="2">
        <f t="shared" si="143"/>
        <v>0</v>
      </c>
      <c r="X866" s="2" t="str">
        <f t="shared" si="151"/>
        <v>Valid</v>
      </c>
      <c r="Y866" s="2" t="str">
        <f t="shared" si="152"/>
        <v>Clean</v>
      </c>
      <c r="Z866">
        <v>17034.349999999999</v>
      </c>
      <c r="AA866">
        <v>14631.36</v>
      </c>
      <c r="AB866" s="2">
        <f t="shared" si="147"/>
        <v>2402.989999999998</v>
      </c>
      <c r="AC866">
        <v>2402.9899999999998</v>
      </c>
      <c r="AD866" s="11">
        <f t="shared" si="153"/>
        <v>0.14106731398615152</v>
      </c>
      <c r="AE866" t="s">
        <v>33</v>
      </c>
      <c r="AF866" t="s">
        <v>34</v>
      </c>
    </row>
    <row r="867" spans="1:32">
      <c r="A867" t="s">
        <v>2671</v>
      </c>
      <c r="B867" s="2" t="str">
        <f t="shared" si="144"/>
        <v>Unique</v>
      </c>
      <c r="C867" s="2" t="str">
        <f t="shared" si="148"/>
        <v>Feb</v>
      </c>
      <c r="D867" s="2">
        <f t="shared" si="149"/>
        <v>2025</v>
      </c>
      <c r="E867" s="4">
        <v>45694</v>
      </c>
      <c r="F867" s="4">
        <v>45702</v>
      </c>
      <c r="G867" s="6">
        <f t="shared" si="145"/>
        <v>8</v>
      </c>
      <c r="H867" s="6" t="str">
        <f t="shared" si="146"/>
        <v>Valid</v>
      </c>
      <c r="I867" t="s">
        <v>2672</v>
      </c>
      <c r="J867" t="s">
        <v>265</v>
      </c>
      <c r="K867" t="s">
        <v>25</v>
      </c>
      <c r="L867" t="s">
        <v>64</v>
      </c>
      <c r="M867" t="s">
        <v>65</v>
      </c>
      <c r="O867" t="s">
        <v>29</v>
      </c>
      <c r="P867" t="s">
        <v>92</v>
      </c>
      <c r="Q867" t="s">
        <v>2673</v>
      </c>
      <c r="R867" t="s">
        <v>32</v>
      </c>
      <c r="S867">
        <v>2</v>
      </c>
      <c r="T867">
        <v>3992.04</v>
      </c>
      <c r="U867" s="2">
        <f t="shared" si="150"/>
        <v>7984.08</v>
      </c>
      <c r="V867" s="13">
        <v>0</v>
      </c>
      <c r="W867" s="2">
        <f t="shared" si="143"/>
        <v>0</v>
      </c>
      <c r="X867" s="2" t="str">
        <f t="shared" si="151"/>
        <v>Valid</v>
      </c>
      <c r="Y867" s="2" t="str">
        <f t="shared" si="152"/>
        <v>Clean</v>
      </c>
      <c r="Z867">
        <v>7984.08</v>
      </c>
      <c r="AA867">
        <v>5658.05</v>
      </c>
      <c r="AB867" s="2">
        <f t="shared" si="147"/>
        <v>2326.0299999999997</v>
      </c>
      <c r="AC867">
        <v>2326.0300000000002</v>
      </c>
      <c r="AD867" s="11">
        <f t="shared" si="153"/>
        <v>0.29133350367230793</v>
      </c>
      <c r="AE867" t="s">
        <v>33</v>
      </c>
      <c r="AF867" t="s">
        <v>34</v>
      </c>
    </row>
    <row r="868" spans="1:32">
      <c r="A868" t="s">
        <v>2674</v>
      </c>
      <c r="B868" s="2" t="str">
        <f t="shared" si="144"/>
        <v>Unique</v>
      </c>
      <c r="C868" s="2" t="str">
        <f t="shared" si="148"/>
        <v>Feb</v>
      </c>
      <c r="D868" s="2">
        <f t="shared" si="149"/>
        <v>2025</v>
      </c>
      <c r="E868" s="4">
        <v>45714</v>
      </c>
      <c r="F868" s="4">
        <v>45722</v>
      </c>
      <c r="G868" s="6">
        <f t="shared" si="145"/>
        <v>8</v>
      </c>
      <c r="H868" s="6" t="str">
        <f t="shared" si="146"/>
        <v>Valid</v>
      </c>
      <c r="I868" t="s">
        <v>2675</v>
      </c>
      <c r="J868" t="s">
        <v>115</v>
      </c>
      <c r="K868" t="s">
        <v>25</v>
      </c>
      <c r="L868" t="s">
        <v>39</v>
      </c>
      <c r="M868" t="s">
        <v>146</v>
      </c>
      <c r="O868" t="s">
        <v>42</v>
      </c>
      <c r="P868" t="s">
        <v>159</v>
      </c>
      <c r="Q868" t="s">
        <v>2676</v>
      </c>
      <c r="R868" t="s">
        <v>51</v>
      </c>
      <c r="S868">
        <v>9</v>
      </c>
      <c r="T868">
        <v>3043.37</v>
      </c>
      <c r="U868" s="2">
        <f t="shared" si="150"/>
        <v>21912.263999999999</v>
      </c>
      <c r="V868" s="13">
        <v>0.2</v>
      </c>
      <c r="W868" s="2">
        <f t="shared" si="143"/>
        <v>0.2</v>
      </c>
      <c r="X868" s="2" t="str">
        <f t="shared" si="151"/>
        <v>Valid</v>
      </c>
      <c r="Y868" s="2" t="str">
        <f t="shared" si="152"/>
        <v>Clean</v>
      </c>
      <c r="Z868">
        <v>21912.26</v>
      </c>
      <c r="AA868">
        <v>16367.78</v>
      </c>
      <c r="AB868" s="2">
        <f t="shared" si="147"/>
        <v>5544.4839999999986</v>
      </c>
      <c r="AC868">
        <v>5544.48</v>
      </c>
      <c r="AD868" s="11">
        <f t="shared" si="153"/>
        <v>0.25303095162251632</v>
      </c>
      <c r="AE868" t="s">
        <v>112</v>
      </c>
      <c r="AF868" t="s">
        <v>69</v>
      </c>
    </row>
    <row r="869" spans="1:32">
      <c r="A869" t="s">
        <v>2677</v>
      </c>
      <c r="B869" s="2" t="str">
        <f t="shared" si="144"/>
        <v>Unique</v>
      </c>
      <c r="C869" s="2" t="str">
        <f t="shared" si="148"/>
        <v>Nov</v>
      </c>
      <c r="D869" s="2">
        <f t="shared" si="149"/>
        <v>2024</v>
      </c>
      <c r="E869" s="4">
        <v>45617</v>
      </c>
      <c r="F869" s="4">
        <v>45618</v>
      </c>
      <c r="G869" s="6">
        <f t="shared" si="145"/>
        <v>1</v>
      </c>
      <c r="H869" s="6" t="str">
        <f t="shared" si="146"/>
        <v>Valid</v>
      </c>
      <c r="I869" t="s">
        <v>2678</v>
      </c>
      <c r="J869" t="s">
        <v>119</v>
      </c>
      <c r="K869" t="s">
        <v>96</v>
      </c>
      <c r="L869" t="s">
        <v>55</v>
      </c>
      <c r="M869" t="s">
        <v>85</v>
      </c>
      <c r="O869" t="s">
        <v>75</v>
      </c>
      <c r="P869" t="s">
        <v>76</v>
      </c>
      <c r="Q869" t="s">
        <v>2679</v>
      </c>
      <c r="R869" t="s">
        <v>45</v>
      </c>
      <c r="S869">
        <v>6</v>
      </c>
      <c r="T869">
        <v>1043.49</v>
      </c>
      <c r="U869" s="2">
        <f t="shared" si="150"/>
        <v>4695.7049999999999</v>
      </c>
      <c r="V869" s="13">
        <v>0.25</v>
      </c>
      <c r="W869" s="2">
        <f t="shared" si="143"/>
        <v>0.25</v>
      </c>
      <c r="X869" s="2" t="str">
        <f t="shared" si="151"/>
        <v>Valid</v>
      </c>
      <c r="Y869" s="2" t="str">
        <f t="shared" si="152"/>
        <v>Clean</v>
      </c>
      <c r="Z869">
        <v>4695.7</v>
      </c>
      <c r="AA869">
        <v>3871.69</v>
      </c>
      <c r="AB869" s="2">
        <f t="shared" si="147"/>
        <v>824.01499999999987</v>
      </c>
      <c r="AC869">
        <v>824.01</v>
      </c>
      <c r="AD869" s="11">
        <f t="shared" si="153"/>
        <v>0.17548182379623911</v>
      </c>
      <c r="AE869" t="s">
        <v>156</v>
      </c>
      <c r="AF869" t="s">
        <v>69</v>
      </c>
    </row>
    <row r="870" spans="1:32">
      <c r="A870" t="s">
        <v>2680</v>
      </c>
      <c r="B870" s="2" t="str">
        <f t="shared" si="144"/>
        <v>Unique</v>
      </c>
      <c r="C870" s="2" t="str">
        <f t="shared" si="148"/>
        <v>Apr</v>
      </c>
      <c r="D870" s="2">
        <f t="shared" si="149"/>
        <v>2025</v>
      </c>
      <c r="E870" s="4">
        <v>45758</v>
      </c>
      <c r="F870" s="4">
        <v>45762</v>
      </c>
      <c r="G870" s="6">
        <f t="shared" si="145"/>
        <v>4</v>
      </c>
      <c r="H870" s="6" t="str">
        <f t="shared" si="146"/>
        <v>Valid</v>
      </c>
      <c r="I870" t="s">
        <v>2681</v>
      </c>
      <c r="J870" t="s">
        <v>72</v>
      </c>
      <c r="K870" t="s">
        <v>96</v>
      </c>
      <c r="L870" t="s">
        <v>55</v>
      </c>
      <c r="M870" t="s">
        <v>176</v>
      </c>
      <c r="O870" t="s">
        <v>29</v>
      </c>
      <c r="P870" t="s">
        <v>125</v>
      </c>
      <c r="Q870" t="s">
        <v>2682</v>
      </c>
      <c r="R870" t="s">
        <v>45</v>
      </c>
      <c r="S870">
        <v>9</v>
      </c>
      <c r="T870">
        <v>224.94</v>
      </c>
      <c r="U870" s="2">
        <f t="shared" si="150"/>
        <v>1923.2369999999999</v>
      </c>
      <c r="V870" s="13">
        <v>0.05</v>
      </c>
      <c r="W870" s="2">
        <f t="shared" ref="W870:W914" si="154">IF(OR(V870&lt;0,V870&gt;1),"Invalid",V870)</f>
        <v>0.05</v>
      </c>
      <c r="X870" s="2" t="str">
        <f t="shared" si="151"/>
        <v>Valid</v>
      </c>
      <c r="Y870" s="2" t="str">
        <f t="shared" si="152"/>
        <v>Clean</v>
      </c>
      <c r="Z870">
        <v>1923.24</v>
      </c>
      <c r="AA870">
        <v>1093.6600000000001</v>
      </c>
      <c r="AB870" s="2">
        <f t="shared" si="147"/>
        <v>829.57699999999977</v>
      </c>
      <c r="AC870">
        <v>829.58</v>
      </c>
      <c r="AD870" s="11">
        <f t="shared" si="153"/>
        <v>0.43134502194213931</v>
      </c>
      <c r="AE870" t="s">
        <v>33</v>
      </c>
      <c r="AF870" t="s">
        <v>34</v>
      </c>
    </row>
    <row r="871" spans="1:32">
      <c r="A871" t="s">
        <v>2683</v>
      </c>
      <c r="B871" s="2" t="str">
        <f t="shared" si="144"/>
        <v>Unique</v>
      </c>
      <c r="C871" s="2" t="str">
        <f t="shared" si="148"/>
        <v>Mar</v>
      </c>
      <c r="D871" s="2">
        <f t="shared" si="149"/>
        <v>2025</v>
      </c>
      <c r="E871" s="4">
        <v>45722</v>
      </c>
      <c r="F871" s="4">
        <v>45723</v>
      </c>
      <c r="G871" s="6">
        <f t="shared" si="145"/>
        <v>1</v>
      </c>
      <c r="H871" s="6" t="str">
        <f t="shared" si="146"/>
        <v>Valid</v>
      </c>
      <c r="I871" t="s">
        <v>2684</v>
      </c>
      <c r="J871" t="s">
        <v>142</v>
      </c>
      <c r="K871" t="s">
        <v>96</v>
      </c>
      <c r="L871" s="2" t="s">
        <v>2793</v>
      </c>
      <c r="M871" t="s">
        <v>351</v>
      </c>
      <c r="O871" t="s">
        <v>42</v>
      </c>
      <c r="P871" t="s">
        <v>67</v>
      </c>
      <c r="Q871" t="s">
        <v>1149</v>
      </c>
      <c r="R871" t="s">
        <v>45</v>
      </c>
      <c r="S871">
        <v>6</v>
      </c>
      <c r="T871">
        <v>796.65</v>
      </c>
      <c r="U871" s="2">
        <f t="shared" si="150"/>
        <v>4301.91</v>
      </c>
      <c r="V871" s="13">
        <v>0.1</v>
      </c>
      <c r="W871" s="2">
        <f t="shared" si="154"/>
        <v>0.1</v>
      </c>
      <c r="X871" s="2" t="str">
        <f t="shared" si="151"/>
        <v>Valid</v>
      </c>
      <c r="Y871" s="2" t="str">
        <f t="shared" si="152"/>
        <v>Clean</v>
      </c>
      <c r="Z871">
        <v>4301.91</v>
      </c>
      <c r="AA871">
        <v>2374.4</v>
      </c>
      <c r="AB871" s="2">
        <f t="shared" si="147"/>
        <v>1927.5099999999998</v>
      </c>
      <c r="AC871">
        <v>1927.51</v>
      </c>
      <c r="AD871" s="11">
        <f t="shared" si="153"/>
        <v>0.4480591179266884</v>
      </c>
      <c r="AE871" t="s">
        <v>33</v>
      </c>
      <c r="AF871" t="s">
        <v>34</v>
      </c>
    </row>
    <row r="872" spans="1:32">
      <c r="A872" t="s">
        <v>2685</v>
      </c>
      <c r="B872" s="2" t="str">
        <f t="shared" si="144"/>
        <v>Unique</v>
      </c>
      <c r="C872" s="2" t="str">
        <f t="shared" si="148"/>
        <v>Jun</v>
      </c>
      <c r="D872" s="2">
        <f t="shared" si="149"/>
        <v>2025</v>
      </c>
      <c r="E872" s="4">
        <v>45814</v>
      </c>
      <c r="F872" s="4">
        <v>45815</v>
      </c>
      <c r="G872" s="6">
        <f t="shared" si="145"/>
        <v>1</v>
      </c>
      <c r="H872" s="6" t="str">
        <f t="shared" si="146"/>
        <v>Valid</v>
      </c>
      <c r="I872" t="s">
        <v>2686</v>
      </c>
      <c r="J872" t="s">
        <v>72</v>
      </c>
      <c r="K872" t="s">
        <v>91</v>
      </c>
      <c r="L872" t="s">
        <v>64</v>
      </c>
      <c r="M872" t="s">
        <v>191</v>
      </c>
      <c r="O872" t="s">
        <v>42</v>
      </c>
      <c r="P872" t="s">
        <v>43</v>
      </c>
      <c r="Q872" t="s">
        <v>2687</v>
      </c>
      <c r="R872" t="s">
        <v>60</v>
      </c>
      <c r="S872">
        <v>9</v>
      </c>
      <c r="T872">
        <v>2932.92</v>
      </c>
      <c r="U872" s="2">
        <f t="shared" si="150"/>
        <v>22436.838</v>
      </c>
      <c r="V872" s="13">
        <v>0.15</v>
      </c>
      <c r="W872" s="2">
        <f t="shared" si="154"/>
        <v>0.15</v>
      </c>
      <c r="X872" s="2" t="str">
        <f t="shared" si="151"/>
        <v>Valid</v>
      </c>
      <c r="Y872" s="2" t="str">
        <f t="shared" si="152"/>
        <v>Clean</v>
      </c>
      <c r="Z872">
        <v>22436.84</v>
      </c>
      <c r="AA872">
        <v>17454.669999999998</v>
      </c>
      <c r="AB872" s="2">
        <f t="shared" si="147"/>
        <v>4982.1680000000015</v>
      </c>
      <c r="AC872">
        <v>4982.17</v>
      </c>
      <c r="AD872" s="11">
        <f t="shared" si="153"/>
        <v>0.22205310551753277</v>
      </c>
      <c r="AE872" t="s">
        <v>33</v>
      </c>
      <c r="AF872" t="s">
        <v>69</v>
      </c>
    </row>
    <row r="873" spans="1:32">
      <c r="A873" t="s">
        <v>2688</v>
      </c>
      <c r="B873" s="2" t="str">
        <f t="shared" si="144"/>
        <v>Unique</v>
      </c>
      <c r="C873" s="2" t="str">
        <f t="shared" si="148"/>
        <v>Feb</v>
      </c>
      <c r="D873" s="2">
        <f t="shared" si="149"/>
        <v>2024</v>
      </c>
      <c r="E873" s="4">
        <v>45342</v>
      </c>
      <c r="F873" s="4">
        <v>45344</v>
      </c>
      <c r="G873" s="6">
        <f t="shared" si="145"/>
        <v>2</v>
      </c>
      <c r="H873" s="6" t="str">
        <f t="shared" si="146"/>
        <v>Valid</v>
      </c>
      <c r="I873" t="s">
        <v>2558</v>
      </c>
      <c r="J873" t="s">
        <v>80</v>
      </c>
      <c r="K873" t="s">
        <v>38</v>
      </c>
      <c r="L873" t="s">
        <v>55</v>
      </c>
      <c r="M873" t="s">
        <v>56</v>
      </c>
      <c r="O873" t="s">
        <v>75</v>
      </c>
      <c r="P873" t="s">
        <v>76</v>
      </c>
      <c r="Q873" t="s">
        <v>2689</v>
      </c>
      <c r="R873" t="s">
        <v>51</v>
      </c>
      <c r="S873">
        <v>9</v>
      </c>
      <c r="T873">
        <v>2186.23</v>
      </c>
      <c r="U873" s="2">
        <f t="shared" si="150"/>
        <v>19676.07</v>
      </c>
      <c r="V873" s="13">
        <v>0</v>
      </c>
      <c r="W873" s="2">
        <f t="shared" si="154"/>
        <v>0</v>
      </c>
      <c r="X873" s="2" t="str">
        <f t="shared" si="151"/>
        <v>Valid</v>
      </c>
      <c r="Y873" s="2" t="str">
        <f t="shared" si="152"/>
        <v>Clean</v>
      </c>
      <c r="Z873">
        <v>19676.07</v>
      </c>
      <c r="AA873">
        <v>12458.62</v>
      </c>
      <c r="AB873" s="2">
        <f t="shared" si="147"/>
        <v>7217.4499999999989</v>
      </c>
      <c r="AC873">
        <v>7217.45</v>
      </c>
      <c r="AD873" s="11">
        <f t="shared" si="153"/>
        <v>0.36681359641432459</v>
      </c>
      <c r="AE873" t="s">
        <v>103</v>
      </c>
      <c r="AF873" t="s">
        <v>69</v>
      </c>
    </row>
    <row r="874" spans="1:32">
      <c r="A874" t="s">
        <v>2690</v>
      </c>
      <c r="B874" s="2" t="str">
        <f t="shared" si="144"/>
        <v>Unique</v>
      </c>
      <c r="C874" s="2" t="str">
        <f t="shared" si="148"/>
        <v>Nov</v>
      </c>
      <c r="D874" s="2">
        <f t="shared" si="149"/>
        <v>2024</v>
      </c>
      <c r="E874" s="4">
        <v>45597</v>
      </c>
      <c r="F874" s="4">
        <v>45598</v>
      </c>
      <c r="G874" s="6">
        <f t="shared" si="145"/>
        <v>1</v>
      </c>
      <c r="H874" s="6" t="str">
        <f t="shared" si="146"/>
        <v>Valid</v>
      </c>
      <c r="I874" t="s">
        <v>1964</v>
      </c>
      <c r="J874" t="s">
        <v>24</v>
      </c>
      <c r="K874" t="s">
        <v>91</v>
      </c>
      <c r="L874" t="s">
        <v>39</v>
      </c>
      <c r="M874" t="s">
        <v>100</v>
      </c>
      <c r="O874" t="s">
        <v>42</v>
      </c>
      <c r="P874" t="s">
        <v>58</v>
      </c>
      <c r="Q874" t="s">
        <v>2691</v>
      </c>
      <c r="R874" t="s">
        <v>60</v>
      </c>
      <c r="S874">
        <v>5</v>
      </c>
      <c r="T874">
        <v>2212.02</v>
      </c>
      <c r="U874" s="2">
        <f t="shared" si="150"/>
        <v>8848.08</v>
      </c>
      <c r="V874" s="13">
        <v>0.2</v>
      </c>
      <c r="W874" s="2">
        <f t="shared" si="154"/>
        <v>0.2</v>
      </c>
      <c r="X874" s="2" t="str">
        <f t="shared" si="151"/>
        <v>Valid</v>
      </c>
      <c r="Y874" s="2" t="str">
        <f t="shared" si="152"/>
        <v>Clean</v>
      </c>
      <c r="Z874">
        <v>8848.08</v>
      </c>
      <c r="AA874">
        <v>5691.56</v>
      </c>
      <c r="AB874" s="2">
        <f t="shared" si="147"/>
        <v>3156.5199999999995</v>
      </c>
      <c r="AC874">
        <v>3156.52</v>
      </c>
      <c r="AD874" s="11">
        <f t="shared" si="153"/>
        <v>0.35674632236598225</v>
      </c>
      <c r="AE874" t="s">
        <v>33</v>
      </c>
      <c r="AF874" t="s">
        <v>34</v>
      </c>
    </row>
    <row r="875" spans="1:32">
      <c r="A875" t="s">
        <v>2692</v>
      </c>
      <c r="B875" s="2" t="str">
        <f t="shared" si="144"/>
        <v>Unique</v>
      </c>
      <c r="C875" s="2" t="str">
        <f t="shared" si="148"/>
        <v>Feb</v>
      </c>
      <c r="D875" s="2">
        <f t="shared" si="149"/>
        <v>2025</v>
      </c>
      <c r="E875" s="4">
        <v>45689</v>
      </c>
      <c r="F875" s="4">
        <v>45696</v>
      </c>
      <c r="G875" s="6">
        <f t="shared" si="145"/>
        <v>7</v>
      </c>
      <c r="H875" s="6" t="str">
        <f t="shared" si="146"/>
        <v>Valid</v>
      </c>
      <c r="I875" t="s">
        <v>2693</v>
      </c>
      <c r="J875" t="s">
        <v>90</v>
      </c>
      <c r="K875" t="s">
        <v>96</v>
      </c>
      <c r="L875" t="s">
        <v>64</v>
      </c>
      <c r="M875" t="s">
        <v>181</v>
      </c>
      <c r="O875" t="s">
        <v>29</v>
      </c>
      <c r="P875" t="s">
        <v>125</v>
      </c>
      <c r="Q875" t="s">
        <v>2694</v>
      </c>
      <c r="R875" t="s">
        <v>32</v>
      </c>
      <c r="S875">
        <v>8</v>
      </c>
      <c r="T875">
        <v>623.30999999999995</v>
      </c>
      <c r="U875" s="2">
        <f t="shared" si="150"/>
        <v>4487.8319999999994</v>
      </c>
      <c r="V875" s="13">
        <v>0.1</v>
      </c>
      <c r="W875" s="2">
        <f t="shared" si="154"/>
        <v>0.1</v>
      </c>
      <c r="X875" s="2" t="str">
        <f t="shared" si="151"/>
        <v>Valid</v>
      </c>
      <c r="Y875" s="2" t="str">
        <f t="shared" si="152"/>
        <v>Clean</v>
      </c>
      <c r="Z875">
        <v>4487.83</v>
      </c>
      <c r="AA875">
        <v>2633.78</v>
      </c>
      <c r="AB875" s="2">
        <f t="shared" si="147"/>
        <v>1854.0519999999992</v>
      </c>
      <c r="AC875">
        <v>1854.05</v>
      </c>
      <c r="AD875" s="11">
        <f t="shared" si="153"/>
        <v>0.4131283939008385</v>
      </c>
      <c r="AE875" t="s">
        <v>33</v>
      </c>
      <c r="AF875" t="s">
        <v>34</v>
      </c>
    </row>
    <row r="876" spans="1:32">
      <c r="A876" t="s">
        <v>2695</v>
      </c>
      <c r="B876" s="2" t="str">
        <f t="shared" si="144"/>
        <v>Unique</v>
      </c>
      <c r="C876" s="2" t="str">
        <f t="shared" si="148"/>
        <v>Jul</v>
      </c>
      <c r="D876" s="2">
        <f t="shared" si="149"/>
        <v>2025</v>
      </c>
      <c r="E876" s="4">
        <v>45853</v>
      </c>
      <c r="F876" s="4">
        <v>45854</v>
      </c>
      <c r="G876" s="6">
        <f t="shared" si="145"/>
        <v>1</v>
      </c>
      <c r="H876" s="6" t="str">
        <f t="shared" si="146"/>
        <v>Valid</v>
      </c>
      <c r="I876" t="s">
        <v>2696</v>
      </c>
      <c r="J876" t="s">
        <v>72</v>
      </c>
      <c r="K876" t="s">
        <v>38</v>
      </c>
      <c r="L876" t="s">
        <v>64</v>
      </c>
      <c r="M876" t="s">
        <v>65</v>
      </c>
      <c r="O876" t="s">
        <v>29</v>
      </c>
      <c r="P876" t="s">
        <v>30</v>
      </c>
      <c r="Q876" t="s">
        <v>2697</v>
      </c>
      <c r="R876" t="s">
        <v>60</v>
      </c>
      <c r="S876">
        <v>8</v>
      </c>
      <c r="T876">
        <v>3924.88</v>
      </c>
      <c r="U876" s="2">
        <f t="shared" si="150"/>
        <v>29829.088</v>
      </c>
      <c r="V876" s="13">
        <v>0.05</v>
      </c>
      <c r="W876" s="2">
        <f t="shared" si="154"/>
        <v>0.05</v>
      </c>
      <c r="X876" s="2" t="str">
        <f t="shared" si="151"/>
        <v>Valid</v>
      </c>
      <c r="Y876" s="2" t="str">
        <f t="shared" si="152"/>
        <v>Clean</v>
      </c>
      <c r="Z876">
        <v>29829.09</v>
      </c>
      <c r="AA876">
        <v>20710.18</v>
      </c>
      <c r="AB876" s="2">
        <f t="shared" si="147"/>
        <v>9118.9079999999994</v>
      </c>
      <c r="AC876">
        <v>9118.91</v>
      </c>
      <c r="AD876" s="11">
        <f t="shared" si="153"/>
        <v>0.30570526958750671</v>
      </c>
      <c r="AE876" t="s">
        <v>33</v>
      </c>
      <c r="AF876" t="s">
        <v>34</v>
      </c>
    </row>
    <row r="877" spans="1:32">
      <c r="A877" t="s">
        <v>2698</v>
      </c>
      <c r="B877" s="2" t="str">
        <f t="shared" si="144"/>
        <v>Unique</v>
      </c>
      <c r="C877" s="2" t="str">
        <f t="shared" si="148"/>
        <v>Aug</v>
      </c>
      <c r="D877" s="2">
        <f t="shared" si="149"/>
        <v>2024</v>
      </c>
      <c r="E877" s="4">
        <v>45514</v>
      </c>
      <c r="F877" s="4">
        <v>45515</v>
      </c>
      <c r="G877" s="6">
        <f t="shared" si="145"/>
        <v>1</v>
      </c>
      <c r="H877" s="6" t="str">
        <f t="shared" si="146"/>
        <v>Valid</v>
      </c>
      <c r="I877" t="s">
        <v>2699</v>
      </c>
      <c r="J877" t="s">
        <v>37</v>
      </c>
      <c r="K877" t="s">
        <v>91</v>
      </c>
      <c r="L877" t="s">
        <v>64</v>
      </c>
      <c r="M877" t="s">
        <v>65</v>
      </c>
      <c r="O877" t="s">
        <v>75</v>
      </c>
      <c r="P877" t="s">
        <v>81</v>
      </c>
      <c r="Q877" t="s">
        <v>2700</v>
      </c>
      <c r="R877" t="s">
        <v>51</v>
      </c>
      <c r="S877">
        <v>7</v>
      </c>
      <c r="T877">
        <v>3852.62</v>
      </c>
      <c r="U877" s="2">
        <f t="shared" si="150"/>
        <v>21574.672000000002</v>
      </c>
      <c r="V877" s="13">
        <v>0.2</v>
      </c>
      <c r="W877" s="2">
        <f t="shared" si="154"/>
        <v>0.2</v>
      </c>
      <c r="X877" s="2" t="str">
        <f t="shared" si="151"/>
        <v>Valid</v>
      </c>
      <c r="Y877" s="2" t="str">
        <f t="shared" si="152"/>
        <v>Clean</v>
      </c>
      <c r="Z877">
        <v>21574.67</v>
      </c>
      <c r="AA877">
        <v>14672.83</v>
      </c>
      <c r="AB877" s="2">
        <f t="shared" si="147"/>
        <v>6901.8420000000024</v>
      </c>
      <c r="AC877">
        <v>6901.84</v>
      </c>
      <c r="AD877" s="11">
        <f t="shared" si="153"/>
        <v>0.31990477722254851</v>
      </c>
      <c r="AE877" t="s">
        <v>33</v>
      </c>
      <c r="AF877" t="s">
        <v>34</v>
      </c>
    </row>
    <row r="878" spans="1:32">
      <c r="A878" t="s">
        <v>2701</v>
      </c>
      <c r="B878" s="2" t="str">
        <f t="shared" si="144"/>
        <v>Unique</v>
      </c>
      <c r="C878" s="2" t="str">
        <f t="shared" si="148"/>
        <v>Nov</v>
      </c>
      <c r="D878" s="2">
        <f t="shared" si="149"/>
        <v>2024</v>
      </c>
      <c r="E878" s="4">
        <v>45614</v>
      </c>
      <c r="F878" s="4">
        <v>45616</v>
      </c>
      <c r="G878" s="6">
        <f t="shared" si="145"/>
        <v>2</v>
      </c>
      <c r="H878" s="6" t="str">
        <f t="shared" si="146"/>
        <v>Valid</v>
      </c>
      <c r="I878" t="s">
        <v>2702</v>
      </c>
      <c r="J878" t="s">
        <v>115</v>
      </c>
      <c r="K878" t="s">
        <v>25</v>
      </c>
      <c r="L878" t="s">
        <v>64</v>
      </c>
      <c r="M878" t="s">
        <v>27</v>
      </c>
      <c r="O878" t="s">
        <v>42</v>
      </c>
      <c r="P878" t="s">
        <v>67</v>
      </c>
      <c r="Q878" t="s">
        <v>846</v>
      </c>
      <c r="R878" t="s">
        <v>51</v>
      </c>
      <c r="S878">
        <v>6</v>
      </c>
      <c r="T878">
        <v>3790.22</v>
      </c>
      <c r="U878" s="2">
        <f t="shared" si="150"/>
        <v>22741.32</v>
      </c>
      <c r="V878" s="13">
        <v>0</v>
      </c>
      <c r="W878" s="2">
        <f t="shared" si="154"/>
        <v>0</v>
      </c>
      <c r="X878" s="2" t="str">
        <f t="shared" si="151"/>
        <v>Valid</v>
      </c>
      <c r="Y878" s="2" t="str">
        <f t="shared" si="152"/>
        <v>Clean</v>
      </c>
      <c r="Z878">
        <v>22741.32</v>
      </c>
      <c r="AA878">
        <v>16388.57</v>
      </c>
      <c r="AB878" s="2">
        <f t="shared" si="147"/>
        <v>6352.75</v>
      </c>
      <c r="AC878">
        <v>6352.75</v>
      </c>
      <c r="AD878" s="11">
        <f t="shared" si="153"/>
        <v>0.27934834037777928</v>
      </c>
      <c r="AE878" t="s">
        <v>33</v>
      </c>
      <c r="AF878" t="s">
        <v>34</v>
      </c>
    </row>
    <row r="879" spans="1:32">
      <c r="A879" t="s">
        <v>2703</v>
      </c>
      <c r="B879" s="2" t="str">
        <f t="shared" si="144"/>
        <v>Unique</v>
      </c>
      <c r="C879" s="2" t="str">
        <f t="shared" si="148"/>
        <v>Aug</v>
      </c>
      <c r="D879" s="2">
        <f t="shared" si="149"/>
        <v>2025</v>
      </c>
      <c r="E879" s="4">
        <v>45895</v>
      </c>
      <c r="F879" s="4">
        <v>45903</v>
      </c>
      <c r="G879" s="6">
        <f t="shared" si="145"/>
        <v>8</v>
      </c>
      <c r="H879" s="6" t="str">
        <f t="shared" si="146"/>
        <v>Valid</v>
      </c>
      <c r="I879" t="s">
        <v>2704</v>
      </c>
      <c r="J879" t="s">
        <v>129</v>
      </c>
      <c r="K879" t="s">
        <v>25</v>
      </c>
      <c r="L879" t="s">
        <v>64</v>
      </c>
      <c r="M879" t="s">
        <v>27</v>
      </c>
      <c r="O879" t="s">
        <v>29</v>
      </c>
      <c r="P879" t="s">
        <v>125</v>
      </c>
      <c r="Q879" t="s">
        <v>2705</v>
      </c>
      <c r="R879" t="s">
        <v>32</v>
      </c>
      <c r="S879">
        <v>6</v>
      </c>
      <c r="T879">
        <v>674.36</v>
      </c>
      <c r="U879" s="2">
        <f t="shared" si="150"/>
        <v>3641.5439999999999</v>
      </c>
      <c r="V879" s="13">
        <v>0.1</v>
      </c>
      <c r="W879" s="2">
        <f t="shared" si="154"/>
        <v>0.1</v>
      </c>
      <c r="X879" s="2" t="str">
        <f t="shared" si="151"/>
        <v>Valid</v>
      </c>
      <c r="Y879" s="2" t="str">
        <f t="shared" si="152"/>
        <v>Clean</v>
      </c>
      <c r="Z879">
        <v>3641.54</v>
      </c>
      <c r="AA879">
        <v>2690.37</v>
      </c>
      <c r="AB879" s="2">
        <f t="shared" si="147"/>
        <v>951.17399999999998</v>
      </c>
      <c r="AC879">
        <v>951.17</v>
      </c>
      <c r="AD879" s="11">
        <f t="shared" si="153"/>
        <v>0.26119993189694468</v>
      </c>
      <c r="AE879" t="s">
        <v>33</v>
      </c>
      <c r="AF879" t="s">
        <v>34</v>
      </c>
    </row>
    <row r="880" spans="1:32">
      <c r="A880" t="s">
        <v>2706</v>
      </c>
      <c r="B880" s="2" t="str">
        <f t="shared" si="144"/>
        <v>Unique</v>
      </c>
      <c r="C880" s="2" t="str">
        <f t="shared" si="148"/>
        <v>Jan</v>
      </c>
      <c r="D880" s="2">
        <f t="shared" si="149"/>
        <v>2024</v>
      </c>
      <c r="E880" s="4">
        <v>45313</v>
      </c>
      <c r="F880" s="4">
        <v>45313</v>
      </c>
      <c r="G880" s="6">
        <f t="shared" si="145"/>
        <v>0</v>
      </c>
      <c r="H880" s="6" t="str">
        <f t="shared" si="146"/>
        <v>Valid</v>
      </c>
      <c r="I880" t="s">
        <v>2707</v>
      </c>
      <c r="J880" t="s">
        <v>24</v>
      </c>
      <c r="K880" t="s">
        <v>91</v>
      </c>
      <c r="L880" t="s">
        <v>39</v>
      </c>
      <c r="M880" t="s">
        <v>100</v>
      </c>
      <c r="O880" t="s">
        <v>29</v>
      </c>
      <c r="P880" t="s">
        <v>30</v>
      </c>
      <c r="Q880" t="s">
        <v>2708</v>
      </c>
      <c r="R880" t="s">
        <v>51</v>
      </c>
      <c r="S880">
        <v>8</v>
      </c>
      <c r="T880">
        <v>1557.21</v>
      </c>
      <c r="U880" s="2">
        <f t="shared" si="150"/>
        <v>11834.796</v>
      </c>
      <c r="V880" s="13">
        <v>0.05</v>
      </c>
      <c r="W880" s="2">
        <f t="shared" si="154"/>
        <v>0.05</v>
      </c>
      <c r="X880" s="2" t="str">
        <f t="shared" si="151"/>
        <v>Valid</v>
      </c>
      <c r="Y880" s="2" t="str">
        <f t="shared" si="152"/>
        <v>Clean</v>
      </c>
      <c r="Z880">
        <v>11834.8</v>
      </c>
      <c r="AA880">
        <v>9322.36</v>
      </c>
      <c r="AB880" s="2">
        <f t="shared" si="147"/>
        <v>2512.4359999999997</v>
      </c>
      <c r="AC880">
        <v>2512.44</v>
      </c>
      <c r="AD880" s="11">
        <f t="shared" si="153"/>
        <v>0.21229256092202659</v>
      </c>
      <c r="AE880" t="s">
        <v>33</v>
      </c>
      <c r="AF880" t="s">
        <v>34</v>
      </c>
    </row>
    <row r="881" spans="1:32">
      <c r="A881" t="s">
        <v>2709</v>
      </c>
      <c r="B881" s="2" t="str">
        <f t="shared" si="144"/>
        <v>Unique</v>
      </c>
      <c r="C881" s="2" t="str">
        <f t="shared" si="148"/>
        <v>Aug</v>
      </c>
      <c r="D881" s="2">
        <f t="shared" si="149"/>
        <v>2025</v>
      </c>
      <c r="E881" s="4">
        <v>45896</v>
      </c>
      <c r="F881" s="4">
        <v>45897</v>
      </c>
      <c r="G881" s="6">
        <f t="shared" si="145"/>
        <v>1</v>
      </c>
      <c r="H881" s="6" t="str">
        <f t="shared" si="146"/>
        <v>Valid</v>
      </c>
      <c r="I881" t="s">
        <v>2710</v>
      </c>
      <c r="J881" t="s">
        <v>63</v>
      </c>
      <c r="K881" t="s">
        <v>96</v>
      </c>
      <c r="L881" t="s">
        <v>26</v>
      </c>
      <c r="M881" t="s">
        <v>137</v>
      </c>
      <c r="O881" t="s">
        <v>29</v>
      </c>
      <c r="P881" t="s">
        <v>49</v>
      </c>
      <c r="Q881" t="s">
        <v>2711</v>
      </c>
      <c r="R881" t="s">
        <v>60</v>
      </c>
      <c r="S881">
        <v>6</v>
      </c>
      <c r="T881">
        <v>1182.03</v>
      </c>
      <c r="U881" s="2">
        <f t="shared" si="150"/>
        <v>6028.3530000000001</v>
      </c>
      <c r="V881" s="13">
        <v>0.15</v>
      </c>
      <c r="W881" s="2">
        <f t="shared" si="154"/>
        <v>0.15</v>
      </c>
      <c r="X881" s="2" t="str">
        <f t="shared" si="151"/>
        <v>Valid</v>
      </c>
      <c r="Y881" s="2" t="str">
        <f t="shared" si="152"/>
        <v>Clean</v>
      </c>
      <c r="Z881">
        <v>6028.35</v>
      </c>
      <c r="AA881">
        <v>4433.63</v>
      </c>
      <c r="AB881" s="2">
        <f t="shared" si="147"/>
        <v>1594.723</v>
      </c>
      <c r="AC881">
        <v>1594.72</v>
      </c>
      <c r="AD881" s="11">
        <f t="shared" si="153"/>
        <v>0.2645367306145131</v>
      </c>
      <c r="AE881" t="s">
        <v>33</v>
      </c>
      <c r="AF881" t="s">
        <v>34</v>
      </c>
    </row>
    <row r="882" spans="1:32">
      <c r="A882" t="s">
        <v>2712</v>
      </c>
      <c r="B882" s="2" t="str">
        <f t="shared" si="144"/>
        <v>Unique</v>
      </c>
      <c r="C882" s="2" t="str">
        <f t="shared" si="148"/>
        <v>Mar</v>
      </c>
      <c r="D882" s="2">
        <f t="shared" si="149"/>
        <v>2024</v>
      </c>
      <c r="E882" s="4">
        <v>45359</v>
      </c>
      <c r="F882" s="4">
        <v>45366</v>
      </c>
      <c r="G882" s="6">
        <f t="shared" si="145"/>
        <v>7</v>
      </c>
      <c r="H882" s="6" t="str">
        <f t="shared" si="146"/>
        <v>Valid</v>
      </c>
      <c r="I882" t="s">
        <v>2713</v>
      </c>
      <c r="J882" t="s">
        <v>129</v>
      </c>
      <c r="K882" t="s">
        <v>38</v>
      </c>
      <c r="L882" s="2" t="s">
        <v>2793</v>
      </c>
      <c r="M882" t="s">
        <v>123</v>
      </c>
      <c r="O882" t="s">
        <v>42</v>
      </c>
      <c r="P882" t="s">
        <v>67</v>
      </c>
      <c r="Q882" t="s">
        <v>2714</v>
      </c>
      <c r="R882" t="s">
        <v>51</v>
      </c>
      <c r="S882">
        <v>5</v>
      </c>
      <c r="T882">
        <v>3234.77</v>
      </c>
      <c r="U882" s="2">
        <f t="shared" si="150"/>
        <v>16173.85</v>
      </c>
      <c r="V882" s="13">
        <v>0</v>
      </c>
      <c r="W882" s="2">
        <f t="shared" si="154"/>
        <v>0</v>
      </c>
      <c r="X882" s="2" t="str">
        <f t="shared" si="151"/>
        <v>Valid</v>
      </c>
      <c r="Y882" s="2" t="str">
        <f t="shared" si="152"/>
        <v>Clean</v>
      </c>
      <c r="Z882">
        <v>16173.85</v>
      </c>
      <c r="AA882">
        <v>13636.34</v>
      </c>
      <c r="AB882" s="2">
        <f t="shared" si="147"/>
        <v>2537.5100000000002</v>
      </c>
      <c r="AC882">
        <v>2537.5100000000002</v>
      </c>
      <c r="AD882" s="11">
        <f t="shared" si="153"/>
        <v>0.15688967067210344</v>
      </c>
      <c r="AE882" t="s">
        <v>33</v>
      </c>
      <c r="AF882" t="s">
        <v>34</v>
      </c>
    </row>
    <row r="883" spans="1:32">
      <c r="A883" t="s">
        <v>2715</v>
      </c>
      <c r="B883" s="2" t="str">
        <f t="shared" si="144"/>
        <v>Unique</v>
      </c>
      <c r="C883" s="2" t="str">
        <f t="shared" si="148"/>
        <v>Dec</v>
      </c>
      <c r="D883" s="2">
        <f t="shared" si="149"/>
        <v>2024</v>
      </c>
      <c r="E883" s="4">
        <v>45627</v>
      </c>
      <c r="F883" s="4">
        <v>45631</v>
      </c>
      <c r="G883" s="6">
        <f t="shared" si="145"/>
        <v>4</v>
      </c>
      <c r="H883" s="6" t="str">
        <f t="shared" si="146"/>
        <v>Valid</v>
      </c>
      <c r="I883" t="s">
        <v>2716</v>
      </c>
      <c r="J883" t="s">
        <v>63</v>
      </c>
      <c r="K883" t="s">
        <v>38</v>
      </c>
      <c r="L883" t="s">
        <v>55</v>
      </c>
      <c r="M883" t="s">
        <v>85</v>
      </c>
      <c r="O883" t="s">
        <v>75</v>
      </c>
      <c r="P883" t="s">
        <v>81</v>
      </c>
      <c r="Q883" t="s">
        <v>2717</v>
      </c>
      <c r="R883" t="s">
        <v>32</v>
      </c>
      <c r="S883">
        <v>9</v>
      </c>
      <c r="T883">
        <v>3726.75</v>
      </c>
      <c r="U883" s="2">
        <f t="shared" si="150"/>
        <v>25155.5625</v>
      </c>
      <c r="V883" s="13">
        <v>0.25</v>
      </c>
      <c r="W883" s="2">
        <f t="shared" si="154"/>
        <v>0.25</v>
      </c>
      <c r="X883" s="2" t="str">
        <f t="shared" si="151"/>
        <v>Valid</v>
      </c>
      <c r="Y883" s="2" t="str">
        <f t="shared" si="152"/>
        <v>Clean</v>
      </c>
      <c r="Z883">
        <v>25155.56</v>
      </c>
      <c r="AA883">
        <v>17592.689999999999</v>
      </c>
      <c r="AB883" s="2">
        <f t="shared" si="147"/>
        <v>7562.8725000000013</v>
      </c>
      <c r="AC883">
        <v>7562.87</v>
      </c>
      <c r="AD883" s="11">
        <f t="shared" si="153"/>
        <v>0.30064407232436885</v>
      </c>
      <c r="AE883" t="s">
        <v>33</v>
      </c>
      <c r="AF883" t="s">
        <v>34</v>
      </c>
    </row>
    <row r="884" spans="1:32">
      <c r="A884" t="s">
        <v>2718</v>
      </c>
      <c r="B884" s="2" t="str">
        <f t="shared" si="144"/>
        <v>Unique</v>
      </c>
      <c r="C884" s="2" t="str">
        <f t="shared" si="148"/>
        <v>Feb</v>
      </c>
      <c r="D884" s="2">
        <f t="shared" si="149"/>
        <v>2025</v>
      </c>
      <c r="E884" s="4">
        <v>45690</v>
      </c>
      <c r="F884" s="4">
        <v>45698</v>
      </c>
      <c r="G884" s="6">
        <f t="shared" si="145"/>
        <v>8</v>
      </c>
      <c r="H884" s="6" t="str">
        <f t="shared" si="146"/>
        <v>Valid</v>
      </c>
      <c r="I884" t="s">
        <v>2719</v>
      </c>
      <c r="J884" t="s">
        <v>133</v>
      </c>
      <c r="K884" t="s">
        <v>91</v>
      </c>
      <c r="L884" t="s">
        <v>39</v>
      </c>
      <c r="M884" t="s">
        <v>146</v>
      </c>
      <c r="O884" t="s">
        <v>75</v>
      </c>
      <c r="P884" t="s">
        <v>76</v>
      </c>
      <c r="Q884" t="s">
        <v>2720</v>
      </c>
      <c r="R884" t="s">
        <v>60</v>
      </c>
      <c r="S884">
        <v>4</v>
      </c>
      <c r="T884">
        <v>1912.45</v>
      </c>
      <c r="U884" s="2">
        <f t="shared" si="150"/>
        <v>7649.8</v>
      </c>
      <c r="V884" s="13">
        <v>0</v>
      </c>
      <c r="W884" s="2">
        <f t="shared" si="154"/>
        <v>0</v>
      </c>
      <c r="X884" s="2" t="str">
        <f t="shared" si="151"/>
        <v>Valid</v>
      </c>
      <c r="Y884" s="2" t="str">
        <f t="shared" si="152"/>
        <v>Clean</v>
      </c>
      <c r="Z884">
        <v>7649.8</v>
      </c>
      <c r="AA884">
        <v>4894.53</v>
      </c>
      <c r="AB884" s="2">
        <f t="shared" si="147"/>
        <v>2755.2700000000004</v>
      </c>
      <c r="AC884">
        <v>2755.27</v>
      </c>
      <c r="AD884" s="11">
        <f t="shared" si="153"/>
        <v>0.36017542942299147</v>
      </c>
      <c r="AE884" t="s">
        <v>112</v>
      </c>
      <c r="AF884" t="s">
        <v>104</v>
      </c>
    </row>
    <row r="885" spans="1:32">
      <c r="A885" t="s">
        <v>2721</v>
      </c>
      <c r="B885" s="2" t="str">
        <f t="shared" si="144"/>
        <v>Unique</v>
      </c>
      <c r="C885" s="2" t="str">
        <f t="shared" si="148"/>
        <v>Apr</v>
      </c>
      <c r="D885" s="2">
        <f t="shared" si="149"/>
        <v>2025</v>
      </c>
      <c r="E885" s="4">
        <v>45775</v>
      </c>
      <c r="F885" s="4">
        <v>45778</v>
      </c>
      <c r="G885" s="6">
        <f t="shared" si="145"/>
        <v>3</v>
      </c>
      <c r="H885" s="6" t="str">
        <f t="shared" si="146"/>
        <v>Valid</v>
      </c>
      <c r="I885" t="s">
        <v>2722</v>
      </c>
      <c r="J885" t="s">
        <v>129</v>
      </c>
      <c r="K885" t="s">
        <v>38</v>
      </c>
      <c r="L885" t="s">
        <v>64</v>
      </c>
      <c r="M885" t="s">
        <v>191</v>
      </c>
      <c r="O885" t="s">
        <v>29</v>
      </c>
      <c r="P885" t="s">
        <v>125</v>
      </c>
      <c r="Q885" t="s">
        <v>2723</v>
      </c>
      <c r="R885" t="s">
        <v>45</v>
      </c>
      <c r="S885">
        <v>1</v>
      </c>
      <c r="T885">
        <v>1620.87</v>
      </c>
      <c r="U885" s="2">
        <f t="shared" si="150"/>
        <v>1620.87</v>
      </c>
      <c r="V885" s="13">
        <v>0</v>
      </c>
      <c r="W885" s="2">
        <f t="shared" si="154"/>
        <v>0</v>
      </c>
      <c r="X885" s="2" t="str">
        <f t="shared" si="151"/>
        <v>Valid</v>
      </c>
      <c r="Y885" s="2" t="str">
        <f t="shared" si="152"/>
        <v>Clean</v>
      </c>
      <c r="Z885">
        <v>1620.87</v>
      </c>
      <c r="AA885">
        <v>1103.6099999999999</v>
      </c>
      <c r="AB885" s="2">
        <f t="shared" si="147"/>
        <v>517.26</v>
      </c>
      <c r="AC885">
        <v>517.26</v>
      </c>
      <c r="AD885" s="11">
        <f t="shared" si="153"/>
        <v>0.31912491439782342</v>
      </c>
      <c r="AE885" t="s">
        <v>33</v>
      </c>
      <c r="AF885" t="s">
        <v>34</v>
      </c>
    </row>
    <row r="886" spans="1:32">
      <c r="A886" t="s">
        <v>2724</v>
      </c>
      <c r="B886" s="2" t="str">
        <f t="shared" si="144"/>
        <v>Unique</v>
      </c>
      <c r="C886" s="2" t="str">
        <f t="shared" si="148"/>
        <v>Jan</v>
      </c>
      <c r="D886" s="2">
        <f t="shared" si="149"/>
        <v>2025</v>
      </c>
      <c r="E886" s="4">
        <v>45675</v>
      </c>
      <c r="F886" s="4">
        <v>45682</v>
      </c>
      <c r="G886" s="6">
        <f t="shared" si="145"/>
        <v>7</v>
      </c>
      <c r="H886" s="6" t="str">
        <f t="shared" si="146"/>
        <v>Valid</v>
      </c>
      <c r="I886" t="s">
        <v>2725</v>
      </c>
      <c r="J886" t="s">
        <v>80</v>
      </c>
      <c r="K886" t="s">
        <v>96</v>
      </c>
      <c r="L886" t="s">
        <v>55</v>
      </c>
      <c r="M886" t="s">
        <v>176</v>
      </c>
      <c r="O886" t="s">
        <v>29</v>
      </c>
      <c r="P886" t="s">
        <v>125</v>
      </c>
      <c r="Q886" t="s">
        <v>2726</v>
      </c>
      <c r="R886" t="s">
        <v>45</v>
      </c>
      <c r="S886">
        <v>2</v>
      </c>
      <c r="T886">
        <v>2098.54</v>
      </c>
      <c r="U886" s="2">
        <f t="shared" si="150"/>
        <v>3567.518</v>
      </c>
      <c r="V886" s="13">
        <v>0.15</v>
      </c>
      <c r="W886" s="2">
        <f t="shared" si="154"/>
        <v>0.15</v>
      </c>
      <c r="X886" s="2" t="str">
        <f t="shared" si="151"/>
        <v>Valid</v>
      </c>
      <c r="Y886" s="2" t="str">
        <f t="shared" si="152"/>
        <v>Clean</v>
      </c>
      <c r="Z886">
        <v>3567.52</v>
      </c>
      <c r="AA886">
        <v>2411.8000000000002</v>
      </c>
      <c r="AB886" s="2">
        <f t="shared" si="147"/>
        <v>1155.7179999999998</v>
      </c>
      <c r="AC886">
        <v>1155.72</v>
      </c>
      <c r="AD886" s="11">
        <f t="shared" si="153"/>
        <v>0.32395613759698616</v>
      </c>
      <c r="AE886" t="s">
        <v>33</v>
      </c>
      <c r="AF886" t="s">
        <v>34</v>
      </c>
    </row>
    <row r="887" spans="1:32">
      <c r="A887" t="s">
        <v>2727</v>
      </c>
      <c r="B887" s="2" t="str">
        <f t="shared" si="144"/>
        <v>Unique</v>
      </c>
      <c r="C887" s="2" t="str">
        <f t="shared" si="148"/>
        <v>Jan</v>
      </c>
      <c r="D887" s="2">
        <f t="shared" si="149"/>
        <v>2024</v>
      </c>
      <c r="E887" s="4">
        <v>45296</v>
      </c>
      <c r="F887" s="4">
        <v>45296</v>
      </c>
      <c r="G887" s="6">
        <f t="shared" si="145"/>
        <v>0</v>
      </c>
      <c r="H887" s="6" t="str">
        <f t="shared" si="146"/>
        <v>Valid</v>
      </c>
      <c r="I887" t="s">
        <v>2728</v>
      </c>
      <c r="J887" t="s">
        <v>163</v>
      </c>
      <c r="K887" t="s">
        <v>25</v>
      </c>
      <c r="L887" t="s">
        <v>26</v>
      </c>
      <c r="M887" t="s">
        <v>27</v>
      </c>
      <c r="O887" t="s">
        <v>42</v>
      </c>
      <c r="P887" t="s">
        <v>43</v>
      </c>
      <c r="Q887" t="s">
        <v>2729</v>
      </c>
      <c r="R887" t="s">
        <v>60</v>
      </c>
      <c r="S887">
        <v>1</v>
      </c>
      <c r="T887">
        <v>2167.08</v>
      </c>
      <c r="U887" s="2">
        <f t="shared" si="150"/>
        <v>1625.31</v>
      </c>
      <c r="V887" s="13">
        <v>0.25</v>
      </c>
      <c r="W887" s="2">
        <f t="shared" si="154"/>
        <v>0.25</v>
      </c>
      <c r="X887" s="2" t="str">
        <f t="shared" si="151"/>
        <v>Valid</v>
      </c>
      <c r="Y887" s="2" t="str">
        <f t="shared" si="152"/>
        <v>Clean</v>
      </c>
      <c r="Z887">
        <v>1625.31</v>
      </c>
      <c r="AA887">
        <v>1157.8900000000001</v>
      </c>
      <c r="AB887" s="2">
        <f t="shared" si="147"/>
        <v>467.41999999999985</v>
      </c>
      <c r="AC887">
        <v>467.42</v>
      </c>
      <c r="AD887" s="11">
        <f t="shared" si="153"/>
        <v>0.28758821394072515</v>
      </c>
      <c r="AE887" t="s">
        <v>33</v>
      </c>
      <c r="AF887" t="s">
        <v>34</v>
      </c>
    </row>
    <row r="888" spans="1:32">
      <c r="A888" t="s">
        <v>2730</v>
      </c>
      <c r="B888" s="2" t="str">
        <f t="shared" si="144"/>
        <v>Unique</v>
      </c>
      <c r="C888" s="2" t="str">
        <f t="shared" si="148"/>
        <v>Apr</v>
      </c>
      <c r="D888" s="2">
        <f t="shared" si="149"/>
        <v>2025</v>
      </c>
      <c r="E888" s="4">
        <v>45773</v>
      </c>
      <c r="F888" s="4">
        <v>45780</v>
      </c>
      <c r="G888" s="6">
        <f t="shared" si="145"/>
        <v>7</v>
      </c>
      <c r="H888" s="6" t="str">
        <f t="shared" si="146"/>
        <v>Valid</v>
      </c>
      <c r="I888" t="s">
        <v>2731</v>
      </c>
      <c r="J888" t="s">
        <v>54</v>
      </c>
      <c r="K888" t="s">
        <v>96</v>
      </c>
      <c r="L888" t="s">
        <v>55</v>
      </c>
      <c r="M888" t="s">
        <v>248</v>
      </c>
      <c r="O888" t="s">
        <v>75</v>
      </c>
      <c r="P888" t="s">
        <v>76</v>
      </c>
      <c r="Q888" t="s">
        <v>2732</v>
      </c>
      <c r="R888" t="s">
        <v>51</v>
      </c>
      <c r="S888">
        <v>7</v>
      </c>
      <c r="T888">
        <v>3989.9</v>
      </c>
      <c r="U888" s="2">
        <f t="shared" si="150"/>
        <v>23739.904999999999</v>
      </c>
      <c r="V888" s="13">
        <v>0.15</v>
      </c>
      <c r="W888" s="2">
        <f t="shared" si="154"/>
        <v>0.15</v>
      </c>
      <c r="X888" s="2" t="str">
        <f t="shared" si="151"/>
        <v>Valid</v>
      </c>
      <c r="Y888" s="2" t="str">
        <f t="shared" si="152"/>
        <v>Clean</v>
      </c>
      <c r="Z888">
        <v>23739.9</v>
      </c>
      <c r="AA888">
        <v>17716.52</v>
      </c>
      <c r="AB888" s="2">
        <f t="shared" si="147"/>
        <v>6023.3849999999984</v>
      </c>
      <c r="AC888">
        <v>6023.38</v>
      </c>
      <c r="AD888" s="11">
        <f t="shared" si="153"/>
        <v>0.25372389942670354</v>
      </c>
      <c r="AE888" t="s">
        <v>33</v>
      </c>
      <c r="AF888" t="s">
        <v>69</v>
      </c>
    </row>
    <row r="889" spans="1:32">
      <c r="A889" t="s">
        <v>2733</v>
      </c>
      <c r="B889" s="2" t="str">
        <f t="shared" si="144"/>
        <v>Unique</v>
      </c>
      <c r="C889" s="2" t="str">
        <f t="shared" si="148"/>
        <v>Jun</v>
      </c>
      <c r="D889" s="2">
        <f t="shared" si="149"/>
        <v>2024</v>
      </c>
      <c r="E889" s="4">
        <v>45455</v>
      </c>
      <c r="F889" s="4">
        <v>45461</v>
      </c>
      <c r="G889" s="6">
        <f t="shared" si="145"/>
        <v>6</v>
      </c>
      <c r="H889" s="6" t="str">
        <f t="shared" si="146"/>
        <v>Valid</v>
      </c>
      <c r="I889" t="s">
        <v>2734</v>
      </c>
      <c r="J889" t="s">
        <v>129</v>
      </c>
      <c r="K889" t="s">
        <v>38</v>
      </c>
      <c r="L889" t="s">
        <v>55</v>
      </c>
      <c r="M889" t="s">
        <v>85</v>
      </c>
      <c r="O889" t="s">
        <v>29</v>
      </c>
      <c r="P889" t="s">
        <v>49</v>
      </c>
      <c r="Q889" t="s">
        <v>2735</v>
      </c>
      <c r="R889" t="s">
        <v>60</v>
      </c>
      <c r="S889">
        <v>4</v>
      </c>
      <c r="T889">
        <v>4176.13</v>
      </c>
      <c r="U889" s="2">
        <f t="shared" si="150"/>
        <v>16704.52</v>
      </c>
      <c r="V889" s="13">
        <v>0</v>
      </c>
      <c r="W889" s="2">
        <f t="shared" si="154"/>
        <v>0</v>
      </c>
      <c r="X889" s="2" t="str">
        <f t="shared" si="151"/>
        <v>Valid</v>
      </c>
      <c r="Y889" s="2" t="str">
        <f t="shared" si="152"/>
        <v>Clean</v>
      </c>
      <c r="Z889">
        <v>16704.52</v>
      </c>
      <c r="AA889">
        <v>10158.280000000001</v>
      </c>
      <c r="AB889" s="2">
        <f t="shared" si="147"/>
        <v>6546.24</v>
      </c>
      <c r="AC889">
        <v>6546.24</v>
      </c>
      <c r="AD889" s="11">
        <f t="shared" si="153"/>
        <v>0.39188435225914897</v>
      </c>
      <c r="AE889" t="s">
        <v>33</v>
      </c>
      <c r="AF889" t="s">
        <v>34</v>
      </c>
    </row>
    <row r="890" spans="1:32">
      <c r="A890" t="s">
        <v>2736</v>
      </c>
      <c r="B890" s="2" t="str">
        <f t="shared" si="144"/>
        <v>Unique</v>
      </c>
      <c r="C890" s="2" t="str">
        <f t="shared" si="148"/>
        <v>Aug</v>
      </c>
      <c r="D890" s="2">
        <f t="shared" si="149"/>
        <v>2025</v>
      </c>
      <c r="E890" s="4">
        <v>45875</v>
      </c>
      <c r="F890" s="4">
        <v>45876</v>
      </c>
      <c r="G890" s="6">
        <f t="shared" si="145"/>
        <v>1</v>
      </c>
      <c r="H890" s="6" t="str">
        <f t="shared" si="146"/>
        <v>Valid</v>
      </c>
      <c r="I890" t="s">
        <v>2737</v>
      </c>
      <c r="J890" t="s">
        <v>119</v>
      </c>
      <c r="K890" t="s">
        <v>38</v>
      </c>
      <c r="L890" t="s">
        <v>64</v>
      </c>
      <c r="M890" t="s">
        <v>65</v>
      </c>
      <c r="O890" t="s">
        <v>29</v>
      </c>
      <c r="P890" t="s">
        <v>49</v>
      </c>
      <c r="Q890" t="s">
        <v>2738</v>
      </c>
      <c r="R890" t="s">
        <v>60</v>
      </c>
      <c r="S890">
        <v>4</v>
      </c>
      <c r="T890">
        <v>3523.64</v>
      </c>
      <c r="U890" s="2">
        <f t="shared" si="150"/>
        <v>12685.103999999999</v>
      </c>
      <c r="V890" s="13">
        <v>0.1</v>
      </c>
      <c r="W890" s="2">
        <f t="shared" si="154"/>
        <v>0.1</v>
      </c>
      <c r="X890" s="2" t="str">
        <f t="shared" si="151"/>
        <v>Valid</v>
      </c>
      <c r="Y890" s="2" t="str">
        <f t="shared" si="152"/>
        <v>Clean</v>
      </c>
      <c r="Z890">
        <v>12685.1</v>
      </c>
      <c r="AA890">
        <v>10779.56</v>
      </c>
      <c r="AB890" s="2">
        <f t="shared" si="147"/>
        <v>1905.5439999999999</v>
      </c>
      <c r="AC890">
        <v>1905.54</v>
      </c>
      <c r="AD890" s="11">
        <f t="shared" si="153"/>
        <v>0.15021876059313682</v>
      </c>
      <c r="AE890" t="s">
        <v>103</v>
      </c>
      <c r="AF890" t="s">
        <v>69</v>
      </c>
    </row>
    <row r="891" spans="1:32">
      <c r="A891" t="s">
        <v>2739</v>
      </c>
      <c r="B891" s="2" t="str">
        <f t="shared" si="144"/>
        <v>Unique</v>
      </c>
      <c r="C891" s="2" t="str">
        <f t="shared" si="148"/>
        <v>Mar</v>
      </c>
      <c r="D891" s="2">
        <f t="shared" si="149"/>
        <v>2025</v>
      </c>
      <c r="E891" s="4">
        <v>45726</v>
      </c>
      <c r="F891" s="4">
        <v>45727</v>
      </c>
      <c r="G891" s="6">
        <f t="shared" si="145"/>
        <v>1</v>
      </c>
      <c r="H891" s="6" t="str">
        <f t="shared" si="146"/>
        <v>Valid</v>
      </c>
      <c r="I891" t="s">
        <v>884</v>
      </c>
      <c r="J891" t="s">
        <v>90</v>
      </c>
      <c r="K891" t="s">
        <v>96</v>
      </c>
      <c r="L891" t="s">
        <v>64</v>
      </c>
      <c r="M891" t="s">
        <v>73</v>
      </c>
      <c r="O891" t="s">
        <v>29</v>
      </c>
      <c r="P891" t="s">
        <v>125</v>
      </c>
      <c r="Q891" t="s">
        <v>2740</v>
      </c>
      <c r="R891" t="s">
        <v>51</v>
      </c>
      <c r="S891">
        <v>2</v>
      </c>
      <c r="T891">
        <v>3922.08</v>
      </c>
      <c r="U891" s="2">
        <f t="shared" si="150"/>
        <v>5883.12</v>
      </c>
      <c r="V891" s="13">
        <v>0.25</v>
      </c>
      <c r="W891" s="2">
        <f t="shared" si="154"/>
        <v>0.25</v>
      </c>
      <c r="X891" s="2" t="str">
        <f t="shared" si="151"/>
        <v>Valid</v>
      </c>
      <c r="Y891" s="2" t="str">
        <f t="shared" si="152"/>
        <v>Clean</v>
      </c>
      <c r="Z891">
        <v>5883.12</v>
      </c>
      <c r="AA891">
        <v>4647.91</v>
      </c>
      <c r="AB891" s="2">
        <f t="shared" si="147"/>
        <v>1235.21</v>
      </c>
      <c r="AC891">
        <v>1235.21</v>
      </c>
      <c r="AD891" s="11">
        <f t="shared" si="153"/>
        <v>0.20995832143488491</v>
      </c>
      <c r="AE891" t="s">
        <v>33</v>
      </c>
      <c r="AF891" t="s">
        <v>104</v>
      </c>
    </row>
    <row r="892" spans="1:32">
      <c r="A892" t="s">
        <v>2741</v>
      </c>
      <c r="B892" s="2" t="str">
        <f t="shared" si="144"/>
        <v>Unique</v>
      </c>
      <c r="C892" s="2" t="str">
        <f t="shared" si="148"/>
        <v>May</v>
      </c>
      <c r="D892" s="2">
        <f t="shared" si="149"/>
        <v>2024</v>
      </c>
      <c r="E892" s="4">
        <v>45427</v>
      </c>
      <c r="F892" s="4">
        <v>45433</v>
      </c>
      <c r="G892" s="6">
        <f t="shared" si="145"/>
        <v>6</v>
      </c>
      <c r="H892" s="6" t="str">
        <f t="shared" si="146"/>
        <v>Valid</v>
      </c>
      <c r="I892" t="s">
        <v>2742</v>
      </c>
      <c r="J892" t="s">
        <v>24</v>
      </c>
      <c r="K892" t="s">
        <v>25</v>
      </c>
      <c r="L892" t="s">
        <v>64</v>
      </c>
      <c r="M892" t="s">
        <v>191</v>
      </c>
      <c r="O892" t="s">
        <v>29</v>
      </c>
      <c r="P892" t="s">
        <v>125</v>
      </c>
      <c r="Q892" t="s">
        <v>2743</v>
      </c>
      <c r="R892" t="s">
        <v>60</v>
      </c>
      <c r="S892">
        <v>6</v>
      </c>
      <c r="T892">
        <v>2909.56</v>
      </c>
      <c r="U892" s="2">
        <f t="shared" si="150"/>
        <v>13965.888000000001</v>
      </c>
      <c r="V892" s="13">
        <v>0.2</v>
      </c>
      <c r="W892" s="2">
        <f t="shared" si="154"/>
        <v>0.2</v>
      </c>
      <c r="X892" s="2" t="str">
        <f t="shared" si="151"/>
        <v>Valid</v>
      </c>
      <c r="Y892" s="2" t="str">
        <f t="shared" si="152"/>
        <v>Clean</v>
      </c>
      <c r="Z892">
        <v>13965.89</v>
      </c>
      <c r="AA892">
        <v>11646.12</v>
      </c>
      <c r="AB892" s="2">
        <f t="shared" si="147"/>
        <v>2319.768</v>
      </c>
      <c r="AC892">
        <v>2319.77</v>
      </c>
      <c r="AD892" s="11">
        <f t="shared" si="153"/>
        <v>0.16610255415157932</v>
      </c>
      <c r="AE892" t="s">
        <v>33</v>
      </c>
      <c r="AF892" t="s">
        <v>34</v>
      </c>
    </row>
    <row r="893" spans="1:32">
      <c r="A893" t="s">
        <v>2744</v>
      </c>
      <c r="B893" s="2" t="str">
        <f t="shared" si="144"/>
        <v>Unique</v>
      </c>
      <c r="C893" s="2" t="str">
        <f t="shared" si="148"/>
        <v>Oct</v>
      </c>
      <c r="D893" s="2">
        <f t="shared" si="149"/>
        <v>2024</v>
      </c>
      <c r="E893" s="4">
        <v>45573</v>
      </c>
      <c r="F893" s="4">
        <v>45574</v>
      </c>
      <c r="G893" s="6">
        <f t="shared" si="145"/>
        <v>1</v>
      </c>
      <c r="H893" s="6" t="str">
        <f t="shared" si="146"/>
        <v>Valid</v>
      </c>
      <c r="I893" t="s">
        <v>2745</v>
      </c>
      <c r="J893" t="s">
        <v>265</v>
      </c>
      <c r="K893" t="s">
        <v>91</v>
      </c>
      <c r="L893" t="s">
        <v>55</v>
      </c>
      <c r="M893" t="s">
        <v>248</v>
      </c>
      <c r="O893" t="s">
        <v>75</v>
      </c>
      <c r="P893" t="s">
        <v>275</v>
      </c>
      <c r="Q893" t="s">
        <v>2746</v>
      </c>
      <c r="R893" t="s">
        <v>45</v>
      </c>
      <c r="S893">
        <v>5</v>
      </c>
      <c r="T893">
        <v>2407.9699999999998</v>
      </c>
      <c r="U893" s="2">
        <f t="shared" si="150"/>
        <v>10835.865</v>
      </c>
      <c r="V893" s="13">
        <v>0.1</v>
      </c>
      <c r="W893" s="2">
        <f t="shared" si="154"/>
        <v>0.1</v>
      </c>
      <c r="X893" s="2" t="str">
        <f t="shared" si="151"/>
        <v>Valid</v>
      </c>
      <c r="Y893" s="2" t="str">
        <f t="shared" si="152"/>
        <v>Clean</v>
      </c>
      <c r="Z893">
        <v>10835.86</v>
      </c>
      <c r="AA893">
        <v>6419.92</v>
      </c>
      <c r="AB893" s="2">
        <f t="shared" si="147"/>
        <v>4415.9449999999997</v>
      </c>
      <c r="AC893">
        <v>4415.9399999999996</v>
      </c>
      <c r="AD893" s="11">
        <f t="shared" si="153"/>
        <v>0.40753018219135345</v>
      </c>
      <c r="AE893" t="s">
        <v>156</v>
      </c>
      <c r="AF893" t="s">
        <v>69</v>
      </c>
    </row>
    <row r="894" spans="1:32">
      <c r="A894" t="s">
        <v>2747</v>
      </c>
      <c r="B894" s="2" t="str">
        <f t="shared" si="144"/>
        <v>Unique</v>
      </c>
      <c r="C894" s="2" t="str">
        <f t="shared" si="148"/>
        <v>Apr</v>
      </c>
      <c r="D894" s="2">
        <f t="shared" si="149"/>
        <v>2025</v>
      </c>
      <c r="E894" s="4">
        <v>45759</v>
      </c>
      <c r="F894" s="4">
        <v>45765</v>
      </c>
      <c r="G894" s="6">
        <f t="shared" si="145"/>
        <v>6</v>
      </c>
      <c r="H894" s="6" t="str">
        <f t="shared" si="146"/>
        <v>Valid</v>
      </c>
      <c r="I894" t="s">
        <v>2748</v>
      </c>
      <c r="J894" t="s">
        <v>48</v>
      </c>
      <c r="K894" t="s">
        <v>38</v>
      </c>
      <c r="L894" t="s">
        <v>39</v>
      </c>
      <c r="M894" t="s">
        <v>229</v>
      </c>
      <c r="O894" t="s">
        <v>75</v>
      </c>
      <c r="P894" t="s">
        <v>81</v>
      </c>
      <c r="Q894" t="s">
        <v>2749</v>
      </c>
      <c r="R894" t="s">
        <v>45</v>
      </c>
      <c r="S894">
        <v>1</v>
      </c>
      <c r="T894">
        <v>726.89</v>
      </c>
      <c r="U894" s="2">
        <f t="shared" si="150"/>
        <v>581.51200000000006</v>
      </c>
      <c r="V894" s="13">
        <v>0.2</v>
      </c>
      <c r="W894" s="2">
        <f t="shared" si="154"/>
        <v>0.2</v>
      </c>
      <c r="X894" s="2" t="str">
        <f t="shared" si="151"/>
        <v>Valid</v>
      </c>
      <c r="Y894" s="2" t="str">
        <f t="shared" si="152"/>
        <v>Clean</v>
      </c>
      <c r="Z894">
        <v>581.51</v>
      </c>
      <c r="AA894">
        <v>423.86</v>
      </c>
      <c r="AB894" s="2">
        <f t="shared" si="147"/>
        <v>157.65200000000004</v>
      </c>
      <c r="AC894">
        <v>157.65</v>
      </c>
      <c r="AD894" s="11">
        <f t="shared" si="153"/>
        <v>0.27110453818506991</v>
      </c>
      <c r="AE894" t="s">
        <v>33</v>
      </c>
      <c r="AF894" t="s">
        <v>34</v>
      </c>
    </row>
    <row r="895" spans="1:32">
      <c r="A895" t="s">
        <v>2750</v>
      </c>
      <c r="B895" s="2" t="str">
        <f t="shared" si="144"/>
        <v>Unique</v>
      </c>
      <c r="C895" s="2" t="str">
        <f t="shared" si="148"/>
        <v>Jun</v>
      </c>
      <c r="D895" s="2">
        <f t="shared" si="149"/>
        <v>2024</v>
      </c>
      <c r="E895" s="4">
        <v>45449</v>
      </c>
      <c r="F895" s="4">
        <v>45451</v>
      </c>
      <c r="G895" s="6">
        <f t="shared" si="145"/>
        <v>2</v>
      </c>
      <c r="H895" s="6" t="str">
        <f t="shared" si="146"/>
        <v>Valid</v>
      </c>
      <c r="I895" t="s">
        <v>2751</v>
      </c>
      <c r="J895" t="s">
        <v>129</v>
      </c>
      <c r="K895" t="s">
        <v>91</v>
      </c>
      <c r="L895" t="s">
        <v>55</v>
      </c>
      <c r="M895" t="s">
        <v>176</v>
      </c>
      <c r="O895" t="s">
        <v>42</v>
      </c>
      <c r="P895" t="s">
        <v>43</v>
      </c>
      <c r="Q895" t="s">
        <v>2752</v>
      </c>
      <c r="R895" t="s">
        <v>32</v>
      </c>
      <c r="S895">
        <v>3</v>
      </c>
      <c r="T895">
        <v>395.49</v>
      </c>
      <c r="U895" s="2">
        <f t="shared" si="150"/>
        <v>1127.1465000000001</v>
      </c>
      <c r="V895" s="13">
        <v>0.05</v>
      </c>
      <c r="W895" s="2">
        <f t="shared" si="154"/>
        <v>0.05</v>
      </c>
      <c r="X895" s="2" t="str">
        <f t="shared" si="151"/>
        <v>Valid</v>
      </c>
      <c r="Y895" s="2" t="str">
        <f t="shared" si="152"/>
        <v>Clean</v>
      </c>
      <c r="Z895">
        <v>1127.1500000000001</v>
      </c>
      <c r="AA895">
        <v>845.62</v>
      </c>
      <c r="AB895" s="2">
        <f t="shared" si="147"/>
        <v>281.52650000000006</v>
      </c>
      <c r="AC895">
        <v>281.52999999999997</v>
      </c>
      <c r="AD895" s="11">
        <f t="shared" si="153"/>
        <v>0.24977154770882309</v>
      </c>
      <c r="AE895" t="s">
        <v>33</v>
      </c>
      <c r="AF895" t="s">
        <v>104</v>
      </c>
    </row>
    <row r="896" spans="1:32">
      <c r="A896" t="s">
        <v>2753</v>
      </c>
      <c r="B896" s="2" t="str">
        <f t="shared" si="144"/>
        <v>Unique</v>
      </c>
      <c r="C896" s="2" t="str">
        <f t="shared" si="148"/>
        <v>Feb</v>
      </c>
      <c r="D896" s="2">
        <f t="shared" si="149"/>
        <v>2024</v>
      </c>
      <c r="E896" s="4">
        <v>45344</v>
      </c>
      <c r="F896" s="4">
        <v>45351</v>
      </c>
      <c r="G896" s="6">
        <f t="shared" si="145"/>
        <v>7</v>
      </c>
      <c r="H896" s="6" t="str">
        <f t="shared" si="146"/>
        <v>Valid</v>
      </c>
      <c r="I896" t="s">
        <v>2754</v>
      </c>
      <c r="J896" t="s">
        <v>48</v>
      </c>
      <c r="K896" t="s">
        <v>96</v>
      </c>
      <c r="L896" t="s">
        <v>55</v>
      </c>
      <c r="M896" t="s">
        <v>56</v>
      </c>
      <c r="O896" t="s">
        <v>42</v>
      </c>
      <c r="P896" t="s">
        <v>43</v>
      </c>
      <c r="Q896" t="s">
        <v>2755</v>
      </c>
      <c r="R896" t="s">
        <v>51</v>
      </c>
      <c r="S896">
        <v>6</v>
      </c>
      <c r="T896">
        <v>4254.05</v>
      </c>
      <c r="U896" s="2">
        <f t="shared" si="150"/>
        <v>25524.300000000003</v>
      </c>
      <c r="V896" s="13">
        <v>0</v>
      </c>
      <c r="W896" s="2">
        <f t="shared" si="154"/>
        <v>0</v>
      </c>
      <c r="X896" s="2" t="str">
        <f t="shared" si="151"/>
        <v>Valid</v>
      </c>
      <c r="Y896" s="2" t="str">
        <f t="shared" si="152"/>
        <v>Clean</v>
      </c>
      <c r="Z896">
        <v>25524.3</v>
      </c>
      <c r="AA896">
        <v>16711.93</v>
      </c>
      <c r="AB896" s="2">
        <f t="shared" si="147"/>
        <v>8812.3700000000026</v>
      </c>
      <c r="AC896">
        <v>8812.3700000000008</v>
      </c>
      <c r="AD896" s="11">
        <f t="shared" si="153"/>
        <v>0.34525413037771852</v>
      </c>
      <c r="AE896" t="s">
        <v>33</v>
      </c>
      <c r="AF896" t="s">
        <v>34</v>
      </c>
    </row>
    <row r="897" spans="1:32">
      <c r="A897" t="s">
        <v>2756</v>
      </c>
      <c r="B897" s="2" t="str">
        <f t="shared" si="144"/>
        <v>Unique</v>
      </c>
      <c r="C897" s="2" t="str">
        <f t="shared" si="148"/>
        <v>Nov</v>
      </c>
      <c r="D897" s="2">
        <f t="shared" si="149"/>
        <v>2024</v>
      </c>
      <c r="E897" s="4">
        <v>45601</v>
      </c>
      <c r="F897" s="4">
        <v>45606</v>
      </c>
      <c r="G897" s="6">
        <f t="shared" si="145"/>
        <v>5</v>
      </c>
      <c r="H897" s="6" t="str">
        <f t="shared" si="146"/>
        <v>Valid</v>
      </c>
      <c r="I897" t="s">
        <v>2757</v>
      </c>
      <c r="J897" t="s">
        <v>54</v>
      </c>
      <c r="K897" t="s">
        <v>25</v>
      </c>
      <c r="L897" t="s">
        <v>55</v>
      </c>
      <c r="M897" t="s">
        <v>186</v>
      </c>
      <c r="O897" t="s">
        <v>42</v>
      </c>
      <c r="P897" t="s">
        <v>67</v>
      </c>
      <c r="Q897" t="s">
        <v>2758</v>
      </c>
      <c r="R897" t="s">
        <v>45</v>
      </c>
      <c r="S897">
        <v>4</v>
      </c>
      <c r="T897">
        <v>711.18</v>
      </c>
      <c r="U897" s="2">
        <f t="shared" si="150"/>
        <v>2418.0119999999997</v>
      </c>
      <c r="V897" s="13">
        <v>0.15</v>
      </c>
      <c r="W897" s="2">
        <f t="shared" si="154"/>
        <v>0.15</v>
      </c>
      <c r="X897" s="2" t="str">
        <f t="shared" si="151"/>
        <v>Valid</v>
      </c>
      <c r="Y897" s="2" t="str">
        <f t="shared" si="152"/>
        <v>Clean</v>
      </c>
      <c r="Z897">
        <v>2418.0100000000002</v>
      </c>
      <c r="AA897">
        <v>1441.89</v>
      </c>
      <c r="AB897" s="2">
        <f t="shared" si="147"/>
        <v>976.12199999999962</v>
      </c>
      <c r="AC897">
        <v>976.12</v>
      </c>
      <c r="AD897" s="11">
        <f t="shared" si="153"/>
        <v>0.40368732966364901</v>
      </c>
      <c r="AE897" t="s">
        <v>112</v>
      </c>
      <c r="AF897" t="s">
        <v>104</v>
      </c>
    </row>
    <row r="898" spans="1:32">
      <c r="A898" t="s">
        <v>2759</v>
      </c>
      <c r="B898" s="2" t="str">
        <f t="shared" ref="B898:B961" si="155">IF(COUNTIF($A:$A,A898)&gt;1,"Duplicate Order ID","Unique")</f>
        <v>Unique</v>
      </c>
      <c r="C898" s="2" t="str">
        <f t="shared" si="148"/>
        <v>Dec</v>
      </c>
      <c r="D898" s="2">
        <f t="shared" si="149"/>
        <v>2024</v>
      </c>
      <c r="E898" s="4">
        <v>45650</v>
      </c>
      <c r="F898" s="4">
        <v>45651</v>
      </c>
      <c r="G898" s="6">
        <f t="shared" ref="G898:G914" si="156">F898-E898</f>
        <v>1</v>
      </c>
      <c r="H898" s="6" t="str">
        <f t="shared" ref="H898:H914" si="157">IF(G898&lt;0,"Invalid: Ship Date Before Order Date","Valid")</f>
        <v>Valid</v>
      </c>
      <c r="I898" t="s">
        <v>2760</v>
      </c>
      <c r="J898" t="s">
        <v>63</v>
      </c>
      <c r="K898" t="s">
        <v>38</v>
      </c>
      <c r="L898" t="s">
        <v>55</v>
      </c>
      <c r="M898" t="s">
        <v>248</v>
      </c>
      <c r="O898" t="s">
        <v>75</v>
      </c>
      <c r="P898" t="s">
        <v>81</v>
      </c>
      <c r="Q898" t="s">
        <v>2761</v>
      </c>
      <c r="R898" t="s">
        <v>32</v>
      </c>
      <c r="S898">
        <v>1</v>
      </c>
      <c r="T898">
        <v>3693.03</v>
      </c>
      <c r="U898" s="2">
        <f t="shared" si="150"/>
        <v>3508.3784999999998</v>
      </c>
      <c r="V898" s="13">
        <v>0.05</v>
      </c>
      <c r="W898" s="2">
        <f t="shared" si="154"/>
        <v>0.05</v>
      </c>
      <c r="X898" s="2" t="str">
        <f t="shared" si="151"/>
        <v>Valid</v>
      </c>
      <c r="Y898" s="2" t="str">
        <f t="shared" si="152"/>
        <v>Clean</v>
      </c>
      <c r="Z898">
        <v>3508.38</v>
      </c>
      <c r="AA898">
        <v>2828.06</v>
      </c>
      <c r="AB898" s="2">
        <f t="shared" ref="AB898:AB961" si="158">IF(ISNUMBER(U898),U898-AA898,"Invalid")</f>
        <v>680.31849999999986</v>
      </c>
      <c r="AC898">
        <v>680.32</v>
      </c>
      <c r="AD898" s="11">
        <f t="shared" si="153"/>
        <v>0.19391286006646943</v>
      </c>
      <c r="AE898" t="s">
        <v>156</v>
      </c>
      <c r="AF898" t="s">
        <v>104</v>
      </c>
    </row>
    <row r="899" spans="1:32">
      <c r="A899" t="s">
        <v>2762</v>
      </c>
      <c r="B899" s="2" t="str">
        <f t="shared" si="155"/>
        <v>Unique</v>
      </c>
      <c r="C899" s="2" t="str">
        <f t="shared" ref="C899:C914" si="159">TEXT(E899,"mmm")</f>
        <v>Apr</v>
      </c>
      <c r="D899" s="2">
        <f t="shared" ref="D899:D914" si="160">YEAR(E899)</f>
        <v>2025</v>
      </c>
      <c r="E899" s="4">
        <v>45776</v>
      </c>
      <c r="F899" s="4">
        <v>45780</v>
      </c>
      <c r="G899" s="6">
        <f t="shared" si="156"/>
        <v>4</v>
      </c>
      <c r="H899" s="6" t="str">
        <f t="shared" si="157"/>
        <v>Valid</v>
      </c>
      <c r="I899" t="s">
        <v>2127</v>
      </c>
      <c r="J899" t="s">
        <v>142</v>
      </c>
      <c r="K899" t="s">
        <v>91</v>
      </c>
      <c r="L899" t="s">
        <v>26</v>
      </c>
      <c r="M899" t="s">
        <v>237</v>
      </c>
      <c r="O899" t="s">
        <v>29</v>
      </c>
      <c r="P899" t="s">
        <v>30</v>
      </c>
      <c r="Q899" t="s">
        <v>2763</v>
      </c>
      <c r="R899" t="s">
        <v>51</v>
      </c>
      <c r="S899">
        <v>4</v>
      </c>
      <c r="T899">
        <v>1786.65</v>
      </c>
      <c r="U899" s="2">
        <f t="shared" ref="U899:U914" si="161">IF(ISNUMBER(W899),S899*T899*(1-W899),"Invalid")</f>
        <v>6789.27</v>
      </c>
      <c r="V899" s="13">
        <v>0.05</v>
      </c>
      <c r="W899" s="2">
        <f t="shared" si="154"/>
        <v>0.05</v>
      </c>
      <c r="X899" s="2" t="str">
        <f t="shared" ref="X899:X914" si="162">IF(OR(V899&lt;0,V899&gt;1),"Invalid","Valid")</f>
        <v>Valid</v>
      </c>
      <c r="Y899" s="2" t="str">
        <f t="shared" ref="Y899:Y914" si="163">IF(AND(H899="Valid",X899="Valid"),"Clean","Invalid")</f>
        <v>Clean</v>
      </c>
      <c r="Z899">
        <v>6789.27</v>
      </c>
      <c r="AA899">
        <v>5626.43</v>
      </c>
      <c r="AB899" s="2">
        <f t="shared" si="158"/>
        <v>1162.8400000000001</v>
      </c>
      <c r="AC899">
        <v>1162.8399999999999</v>
      </c>
      <c r="AD899" s="11">
        <f t="shared" ref="AD899:AD914" si="164">AC899/Z899</f>
        <v>0.17127614603631905</v>
      </c>
      <c r="AE899" t="s">
        <v>33</v>
      </c>
      <c r="AF899" t="s">
        <v>34</v>
      </c>
    </row>
    <row r="900" spans="1:32">
      <c r="A900" t="s">
        <v>2764</v>
      </c>
      <c r="B900" s="2" t="str">
        <f t="shared" si="155"/>
        <v>Unique</v>
      </c>
      <c r="C900" s="2" t="str">
        <f t="shared" si="159"/>
        <v>Jun</v>
      </c>
      <c r="D900" s="2">
        <f t="shared" si="160"/>
        <v>2024</v>
      </c>
      <c r="E900" s="4">
        <v>45445</v>
      </c>
      <c r="F900" s="4">
        <v>45451</v>
      </c>
      <c r="G900" s="6">
        <f t="shared" si="156"/>
        <v>6</v>
      </c>
      <c r="H900" s="6" t="str">
        <f t="shared" si="157"/>
        <v>Valid</v>
      </c>
      <c r="I900" t="s">
        <v>2765</v>
      </c>
      <c r="J900" t="s">
        <v>72</v>
      </c>
      <c r="K900" t="s">
        <v>25</v>
      </c>
      <c r="L900" t="s">
        <v>26</v>
      </c>
      <c r="M900" t="s">
        <v>351</v>
      </c>
      <c r="O900" t="s">
        <v>42</v>
      </c>
      <c r="P900" t="s">
        <v>43</v>
      </c>
      <c r="Q900" t="s">
        <v>2766</v>
      </c>
      <c r="R900" t="s">
        <v>51</v>
      </c>
      <c r="S900">
        <v>4</v>
      </c>
      <c r="T900">
        <v>1536.7</v>
      </c>
      <c r="U900" s="2">
        <f t="shared" si="161"/>
        <v>4917.4400000000005</v>
      </c>
      <c r="V900" s="13">
        <v>0.2</v>
      </c>
      <c r="W900" s="2">
        <f t="shared" si="154"/>
        <v>0.2</v>
      </c>
      <c r="X900" s="2" t="str">
        <f t="shared" si="162"/>
        <v>Valid</v>
      </c>
      <c r="Y900" s="2" t="str">
        <f t="shared" si="163"/>
        <v>Clean</v>
      </c>
      <c r="Z900">
        <v>4917.4399999999996</v>
      </c>
      <c r="AA900">
        <v>3846.77</v>
      </c>
      <c r="AB900" s="2">
        <f t="shared" si="158"/>
        <v>1070.6700000000005</v>
      </c>
      <c r="AC900">
        <v>1070.67</v>
      </c>
      <c r="AD900" s="11">
        <f t="shared" si="164"/>
        <v>0.21772914361944429</v>
      </c>
      <c r="AE900" t="s">
        <v>33</v>
      </c>
      <c r="AF900" t="s">
        <v>34</v>
      </c>
    </row>
    <row r="901" spans="1:32">
      <c r="A901" t="s">
        <v>2767</v>
      </c>
      <c r="B901" s="2" t="str">
        <f t="shared" si="155"/>
        <v>Unique</v>
      </c>
      <c r="C901" s="2" t="str">
        <f t="shared" si="159"/>
        <v>May</v>
      </c>
      <c r="D901" s="2">
        <f t="shared" si="160"/>
        <v>2025</v>
      </c>
      <c r="E901" s="4">
        <v>45804</v>
      </c>
      <c r="F901" s="4">
        <v>45811</v>
      </c>
      <c r="G901" s="6">
        <f t="shared" si="156"/>
        <v>7</v>
      </c>
      <c r="H901" s="6" t="str">
        <f t="shared" si="157"/>
        <v>Valid</v>
      </c>
      <c r="I901" t="s">
        <v>2768</v>
      </c>
      <c r="J901" t="s">
        <v>24</v>
      </c>
      <c r="K901" t="s">
        <v>25</v>
      </c>
      <c r="L901" t="s">
        <v>26</v>
      </c>
      <c r="M901" t="s">
        <v>123</v>
      </c>
      <c r="O901" t="s">
        <v>42</v>
      </c>
      <c r="P901" t="s">
        <v>67</v>
      </c>
      <c r="Q901" t="s">
        <v>2769</v>
      </c>
      <c r="R901" t="s">
        <v>51</v>
      </c>
      <c r="S901">
        <v>5</v>
      </c>
      <c r="T901">
        <v>881.08</v>
      </c>
      <c r="U901" s="2">
        <f t="shared" si="161"/>
        <v>3304.05</v>
      </c>
      <c r="V901" s="13">
        <v>0.25</v>
      </c>
      <c r="W901" s="2">
        <f t="shared" si="154"/>
        <v>0.25</v>
      </c>
      <c r="X901" s="2" t="str">
        <f t="shared" si="162"/>
        <v>Valid</v>
      </c>
      <c r="Y901" s="2" t="str">
        <f t="shared" si="163"/>
        <v>Clean</v>
      </c>
      <c r="Z901">
        <v>3304.05</v>
      </c>
      <c r="AA901">
        <v>2279.41</v>
      </c>
      <c r="AB901" s="2">
        <f t="shared" si="158"/>
        <v>1024.6400000000003</v>
      </c>
      <c r="AC901">
        <v>1024.6400000000001</v>
      </c>
      <c r="AD901" s="11">
        <f t="shared" si="164"/>
        <v>0.3101163723309272</v>
      </c>
      <c r="AE901" t="s">
        <v>156</v>
      </c>
      <c r="AF901" t="s">
        <v>69</v>
      </c>
    </row>
    <row r="902" spans="1:32">
      <c r="A902" t="s">
        <v>78</v>
      </c>
      <c r="B902" s="2" t="str">
        <f t="shared" si="155"/>
        <v>Duplicate Order ID</v>
      </c>
      <c r="C902" s="2" t="str">
        <f t="shared" si="159"/>
        <v>Apr</v>
      </c>
      <c r="D902" s="2">
        <f t="shared" si="160"/>
        <v>2025</v>
      </c>
      <c r="E902" s="4">
        <v>45757</v>
      </c>
      <c r="F902" s="4">
        <v>45763</v>
      </c>
      <c r="G902" s="6">
        <f t="shared" si="156"/>
        <v>6</v>
      </c>
      <c r="H902" s="6" t="str">
        <f t="shared" si="157"/>
        <v>Valid</v>
      </c>
      <c r="I902" t="s">
        <v>79</v>
      </c>
      <c r="J902" t="s">
        <v>80</v>
      </c>
      <c r="K902" t="s">
        <v>25</v>
      </c>
      <c r="L902" t="s">
        <v>39</v>
      </c>
      <c r="M902" t="s">
        <v>40</v>
      </c>
      <c r="O902" t="s">
        <v>75</v>
      </c>
      <c r="P902" t="s">
        <v>81</v>
      </c>
      <c r="Q902" t="s">
        <v>82</v>
      </c>
      <c r="R902" t="s">
        <v>60</v>
      </c>
      <c r="S902">
        <v>4</v>
      </c>
      <c r="T902">
        <v>1719.87</v>
      </c>
      <c r="U902" s="2">
        <f t="shared" si="161"/>
        <v>5847.5579999999991</v>
      </c>
      <c r="V902" s="13">
        <v>0.15</v>
      </c>
      <c r="W902" s="2">
        <f t="shared" si="154"/>
        <v>0.15</v>
      </c>
      <c r="X902" s="2" t="str">
        <f t="shared" si="162"/>
        <v>Valid</v>
      </c>
      <c r="Y902" s="2" t="str">
        <f t="shared" si="163"/>
        <v>Clean</v>
      </c>
      <c r="Z902">
        <v>5847.56</v>
      </c>
      <c r="AA902">
        <v>4727.25</v>
      </c>
      <c r="AB902" s="2">
        <f t="shared" si="158"/>
        <v>1120.3079999999991</v>
      </c>
      <c r="AC902">
        <v>1120.31</v>
      </c>
      <c r="AD902" s="11">
        <f t="shared" si="164"/>
        <v>0.19158589223539388</v>
      </c>
      <c r="AE902" t="s">
        <v>33</v>
      </c>
      <c r="AF902" t="s">
        <v>34</v>
      </c>
    </row>
    <row r="903" spans="1:32">
      <c r="A903" t="s">
        <v>1099</v>
      </c>
      <c r="B903" s="2" t="str">
        <f t="shared" si="155"/>
        <v>Duplicate Order ID</v>
      </c>
      <c r="C903" s="2" t="str">
        <f t="shared" si="159"/>
        <v>Dec</v>
      </c>
      <c r="D903" s="2">
        <f t="shared" si="160"/>
        <v>2024</v>
      </c>
      <c r="E903" s="4">
        <v>45630</v>
      </c>
      <c r="F903" s="4">
        <v>45632</v>
      </c>
      <c r="G903" s="6">
        <f t="shared" si="156"/>
        <v>2</v>
      </c>
      <c r="H903" s="6" t="str">
        <f t="shared" si="157"/>
        <v>Valid</v>
      </c>
      <c r="I903" t="s">
        <v>1100</v>
      </c>
      <c r="J903" t="s">
        <v>133</v>
      </c>
      <c r="K903" t="s">
        <v>96</v>
      </c>
      <c r="L903" t="s">
        <v>39</v>
      </c>
      <c r="M903" t="s">
        <v>40</v>
      </c>
      <c r="O903" t="s">
        <v>29</v>
      </c>
      <c r="P903" t="s">
        <v>154</v>
      </c>
      <c r="Q903" t="s">
        <v>1101</v>
      </c>
      <c r="R903" t="s">
        <v>32</v>
      </c>
      <c r="S903">
        <v>4</v>
      </c>
      <c r="T903">
        <v>2685.66</v>
      </c>
      <c r="U903" s="2">
        <f t="shared" si="161"/>
        <v>10742.64</v>
      </c>
      <c r="V903" s="13">
        <v>0</v>
      </c>
      <c r="W903" s="2">
        <f t="shared" si="154"/>
        <v>0</v>
      </c>
      <c r="X903" s="2" t="str">
        <f t="shared" si="162"/>
        <v>Valid</v>
      </c>
      <c r="Y903" s="2" t="str">
        <f t="shared" si="163"/>
        <v>Clean</v>
      </c>
      <c r="Z903">
        <v>10989.89</v>
      </c>
      <c r="AA903">
        <v>6477.37</v>
      </c>
      <c r="AB903" s="2">
        <f t="shared" si="158"/>
        <v>4265.2699999999995</v>
      </c>
      <c r="AC903">
        <v>4265.2700000000004</v>
      </c>
      <c r="AD903" s="11">
        <f t="shared" si="164"/>
        <v>0.38810852519906941</v>
      </c>
      <c r="AE903" t="s">
        <v>33</v>
      </c>
      <c r="AF903" t="s">
        <v>34</v>
      </c>
    </row>
    <row r="904" spans="1:32">
      <c r="A904" t="s">
        <v>381</v>
      </c>
      <c r="B904" s="2" t="str">
        <f t="shared" si="155"/>
        <v>Duplicate Order ID</v>
      </c>
      <c r="C904" s="2" t="str">
        <f t="shared" si="159"/>
        <v>Aug</v>
      </c>
      <c r="D904" s="2">
        <f t="shared" si="160"/>
        <v>2025</v>
      </c>
      <c r="E904" s="4">
        <v>45893</v>
      </c>
      <c r="F904" s="4">
        <v>45898</v>
      </c>
      <c r="G904" s="6">
        <f t="shared" si="156"/>
        <v>5</v>
      </c>
      <c r="H904" s="6" t="str">
        <f t="shared" si="157"/>
        <v>Valid</v>
      </c>
      <c r="I904" t="s">
        <v>382</v>
      </c>
      <c r="J904" t="s">
        <v>129</v>
      </c>
      <c r="K904" t="s">
        <v>38</v>
      </c>
      <c r="L904" t="s">
        <v>39</v>
      </c>
      <c r="M904" t="s">
        <v>146</v>
      </c>
      <c r="O904" t="s">
        <v>75</v>
      </c>
      <c r="P904" t="s">
        <v>81</v>
      </c>
      <c r="Q904" t="s">
        <v>383</v>
      </c>
      <c r="R904" t="s">
        <v>51</v>
      </c>
      <c r="S904">
        <v>3</v>
      </c>
      <c r="T904">
        <v>3703.96</v>
      </c>
      <c r="U904" s="2">
        <f t="shared" si="161"/>
        <v>9445.098</v>
      </c>
      <c r="V904" s="13">
        <v>0.15</v>
      </c>
      <c r="W904" s="2">
        <f t="shared" si="154"/>
        <v>0.15</v>
      </c>
      <c r="X904" s="2" t="str">
        <f t="shared" si="162"/>
        <v>Valid</v>
      </c>
      <c r="Y904" s="2" t="str">
        <f t="shared" si="163"/>
        <v>Clean</v>
      </c>
      <c r="Z904">
        <v>9549.44</v>
      </c>
      <c r="AA904">
        <v>5586.28</v>
      </c>
      <c r="AB904" s="2">
        <f t="shared" si="158"/>
        <v>3858.8180000000002</v>
      </c>
      <c r="AC904">
        <v>3858.82</v>
      </c>
      <c r="AD904" s="11">
        <f t="shared" si="164"/>
        <v>0.40408861671469742</v>
      </c>
      <c r="AE904" t="s">
        <v>33</v>
      </c>
      <c r="AF904" t="s">
        <v>104</v>
      </c>
    </row>
    <row r="905" spans="1:32">
      <c r="A905" t="s">
        <v>1224</v>
      </c>
      <c r="B905" s="2" t="str">
        <f t="shared" si="155"/>
        <v>Duplicate Order ID</v>
      </c>
      <c r="C905" s="2" t="str">
        <f t="shared" si="159"/>
        <v>Apr</v>
      </c>
      <c r="D905" s="2">
        <f t="shared" si="160"/>
        <v>2025</v>
      </c>
      <c r="E905" s="4">
        <v>45760</v>
      </c>
      <c r="F905" s="4">
        <v>45760</v>
      </c>
      <c r="G905" s="6">
        <f t="shared" si="156"/>
        <v>0</v>
      </c>
      <c r="H905" s="6" t="str">
        <f t="shared" si="157"/>
        <v>Valid</v>
      </c>
      <c r="I905" t="s">
        <v>1225</v>
      </c>
      <c r="J905" t="s">
        <v>133</v>
      </c>
      <c r="K905" t="s">
        <v>38</v>
      </c>
      <c r="L905" t="s">
        <v>26</v>
      </c>
      <c r="M905" t="s">
        <v>137</v>
      </c>
      <c r="O905" t="s">
        <v>29</v>
      </c>
      <c r="P905" t="s">
        <v>125</v>
      </c>
      <c r="Q905" t="s">
        <v>1226</v>
      </c>
      <c r="R905" t="s">
        <v>32</v>
      </c>
      <c r="S905">
        <v>9</v>
      </c>
      <c r="T905">
        <v>1118.68</v>
      </c>
      <c r="U905" s="2">
        <f t="shared" si="161"/>
        <v>10068.120000000001</v>
      </c>
      <c r="V905" s="13">
        <v>0</v>
      </c>
      <c r="W905" s="2">
        <f t="shared" si="154"/>
        <v>0</v>
      </c>
      <c r="X905" s="2" t="str">
        <f t="shared" si="162"/>
        <v>Valid</v>
      </c>
      <c r="Y905" s="2" t="str">
        <f t="shared" si="163"/>
        <v>Clean</v>
      </c>
      <c r="Z905">
        <v>10348.43</v>
      </c>
      <c r="AA905">
        <v>8595.3700000000008</v>
      </c>
      <c r="AB905" s="2">
        <f t="shared" si="158"/>
        <v>1472.75</v>
      </c>
      <c r="AC905">
        <v>1472.75</v>
      </c>
      <c r="AD905" s="11">
        <f t="shared" si="164"/>
        <v>0.14231627406282885</v>
      </c>
      <c r="AE905" t="s">
        <v>33</v>
      </c>
      <c r="AF905" t="s">
        <v>104</v>
      </c>
    </row>
    <row r="906" spans="1:32">
      <c r="A906" t="s">
        <v>781</v>
      </c>
      <c r="B906" s="2" t="str">
        <f t="shared" si="155"/>
        <v>Duplicate Order ID</v>
      </c>
      <c r="C906" s="2" t="str">
        <f t="shared" si="159"/>
        <v>Oct</v>
      </c>
      <c r="D906" s="2">
        <f t="shared" si="160"/>
        <v>2025</v>
      </c>
      <c r="E906" s="4">
        <v>45932</v>
      </c>
      <c r="F906" s="4">
        <v>45938</v>
      </c>
      <c r="G906" s="6">
        <f t="shared" si="156"/>
        <v>6</v>
      </c>
      <c r="H906" s="6" t="str">
        <f t="shared" si="157"/>
        <v>Valid</v>
      </c>
      <c r="I906" t="s">
        <v>782</v>
      </c>
      <c r="J906" t="s">
        <v>48</v>
      </c>
      <c r="K906" t="s">
        <v>38</v>
      </c>
      <c r="L906" t="s">
        <v>26</v>
      </c>
      <c r="M906" t="s">
        <v>123</v>
      </c>
      <c r="O906" t="s">
        <v>42</v>
      </c>
      <c r="P906" t="s">
        <v>58</v>
      </c>
      <c r="Q906" t="s">
        <v>783</v>
      </c>
      <c r="R906" t="s">
        <v>60</v>
      </c>
      <c r="S906">
        <v>4</v>
      </c>
      <c r="T906">
        <v>3944.64</v>
      </c>
      <c r="U906" s="2">
        <f t="shared" si="161"/>
        <v>11833.92</v>
      </c>
      <c r="V906" s="13">
        <v>0.25</v>
      </c>
      <c r="W906" s="2">
        <f t="shared" si="154"/>
        <v>0.25</v>
      </c>
      <c r="X906" s="2" t="str">
        <f t="shared" si="162"/>
        <v>Valid</v>
      </c>
      <c r="Y906" s="2" t="str">
        <f t="shared" si="163"/>
        <v>Clean</v>
      </c>
      <c r="Z906">
        <v>12116.89</v>
      </c>
      <c r="AA906">
        <v>6682.92</v>
      </c>
      <c r="AB906" s="2">
        <f t="shared" si="158"/>
        <v>5151</v>
      </c>
      <c r="AC906">
        <v>5151</v>
      </c>
      <c r="AD906" s="11">
        <f t="shared" si="164"/>
        <v>0.42510908327136748</v>
      </c>
      <c r="AE906" t="s">
        <v>33</v>
      </c>
      <c r="AF906" t="s">
        <v>104</v>
      </c>
    </row>
    <row r="907" spans="1:32">
      <c r="A907" t="s">
        <v>1049</v>
      </c>
      <c r="B907" s="2" t="str">
        <f t="shared" si="155"/>
        <v>Duplicate Order ID</v>
      </c>
      <c r="C907" s="2" t="str">
        <f t="shared" si="159"/>
        <v>May</v>
      </c>
      <c r="D907" s="2">
        <f t="shared" si="160"/>
        <v>2025</v>
      </c>
      <c r="E907" s="4">
        <v>45795</v>
      </c>
      <c r="F907" s="4">
        <v>45797</v>
      </c>
      <c r="G907" s="6">
        <f t="shared" si="156"/>
        <v>2</v>
      </c>
      <c r="H907" s="6" t="str">
        <f t="shared" si="157"/>
        <v>Valid</v>
      </c>
      <c r="I907" t="s">
        <v>1050</v>
      </c>
      <c r="J907" t="s">
        <v>48</v>
      </c>
      <c r="K907" t="s">
        <v>91</v>
      </c>
      <c r="L907" t="s">
        <v>64</v>
      </c>
      <c r="M907" t="s">
        <v>73</v>
      </c>
      <c r="O907" t="s">
        <v>29</v>
      </c>
      <c r="P907" t="s">
        <v>92</v>
      </c>
      <c r="Q907" t="s">
        <v>1051</v>
      </c>
      <c r="R907" t="s">
        <v>60</v>
      </c>
      <c r="S907">
        <v>9</v>
      </c>
      <c r="T907">
        <v>847.76</v>
      </c>
      <c r="U907" s="2">
        <f t="shared" si="161"/>
        <v>6485.3639999999996</v>
      </c>
      <c r="V907" s="13">
        <v>0.15</v>
      </c>
      <c r="W907" s="2">
        <f t="shared" si="154"/>
        <v>0.15</v>
      </c>
      <c r="X907" s="2" t="str">
        <f t="shared" si="162"/>
        <v>Valid</v>
      </c>
      <c r="Y907" s="2" t="str">
        <f t="shared" si="163"/>
        <v>Clean</v>
      </c>
      <c r="Z907">
        <v>6589.37</v>
      </c>
      <c r="AA907">
        <v>5376.17</v>
      </c>
      <c r="AB907" s="2">
        <f t="shared" si="158"/>
        <v>1109.1939999999995</v>
      </c>
      <c r="AC907">
        <v>1109.19</v>
      </c>
      <c r="AD907" s="11">
        <f t="shared" si="164"/>
        <v>0.16833020455673306</v>
      </c>
      <c r="AE907" t="s">
        <v>156</v>
      </c>
      <c r="AF907" t="s">
        <v>34</v>
      </c>
    </row>
    <row r="908" spans="1:32">
      <c r="A908" t="s">
        <v>620</v>
      </c>
      <c r="B908" s="2" t="str">
        <f t="shared" si="155"/>
        <v>Duplicate Order ID</v>
      </c>
      <c r="C908" s="2" t="str">
        <f t="shared" si="159"/>
        <v>Sep</v>
      </c>
      <c r="D908" s="2">
        <f t="shared" si="160"/>
        <v>2025</v>
      </c>
      <c r="E908" s="4">
        <v>45907</v>
      </c>
      <c r="F908" s="4">
        <v>45915</v>
      </c>
      <c r="G908" s="6">
        <f t="shared" si="156"/>
        <v>8</v>
      </c>
      <c r="H908" s="6" t="str">
        <f t="shared" si="157"/>
        <v>Valid</v>
      </c>
      <c r="I908" t="s">
        <v>621</v>
      </c>
      <c r="J908" t="s">
        <v>142</v>
      </c>
      <c r="K908" t="s">
        <v>91</v>
      </c>
      <c r="L908" t="s">
        <v>39</v>
      </c>
      <c r="M908" t="s">
        <v>146</v>
      </c>
      <c r="O908" t="s">
        <v>75</v>
      </c>
      <c r="P908" t="s">
        <v>81</v>
      </c>
      <c r="Q908" t="s">
        <v>622</v>
      </c>
      <c r="R908" t="s">
        <v>60</v>
      </c>
      <c r="S908">
        <v>3</v>
      </c>
      <c r="T908">
        <v>1711.32</v>
      </c>
      <c r="U908" s="2">
        <f t="shared" si="161"/>
        <v>5133.96</v>
      </c>
      <c r="V908" s="13">
        <v>0</v>
      </c>
      <c r="W908" s="2">
        <f t="shared" si="154"/>
        <v>0</v>
      </c>
      <c r="X908" s="2" t="str">
        <f t="shared" si="162"/>
        <v>Valid</v>
      </c>
      <c r="Y908" s="2" t="str">
        <f t="shared" si="163"/>
        <v>Clean</v>
      </c>
      <c r="Z908">
        <v>5206.53</v>
      </c>
      <c r="AA908">
        <v>3930</v>
      </c>
      <c r="AB908" s="2">
        <f t="shared" si="158"/>
        <v>1203.96</v>
      </c>
      <c r="AC908">
        <v>1203.96</v>
      </c>
      <c r="AD908" s="11">
        <f t="shared" si="164"/>
        <v>0.23124038467078845</v>
      </c>
      <c r="AE908" t="s">
        <v>33</v>
      </c>
      <c r="AF908" t="s">
        <v>104</v>
      </c>
    </row>
    <row r="909" spans="1:32">
      <c r="A909" t="s">
        <v>1375</v>
      </c>
      <c r="B909" s="2" t="str">
        <f t="shared" si="155"/>
        <v>Duplicate Order ID</v>
      </c>
      <c r="C909" s="2" t="str">
        <f t="shared" si="159"/>
        <v>Feb</v>
      </c>
      <c r="D909" s="2">
        <f t="shared" si="160"/>
        <v>2024</v>
      </c>
      <c r="E909" s="4">
        <v>45342</v>
      </c>
      <c r="F909" s="4">
        <v>45349</v>
      </c>
      <c r="G909" s="6">
        <f t="shared" si="156"/>
        <v>7</v>
      </c>
      <c r="H909" s="6" t="str">
        <f t="shared" si="157"/>
        <v>Valid</v>
      </c>
      <c r="I909" t="s">
        <v>1376</v>
      </c>
      <c r="J909" t="s">
        <v>163</v>
      </c>
      <c r="K909" t="s">
        <v>25</v>
      </c>
      <c r="L909" t="s">
        <v>55</v>
      </c>
      <c r="M909" t="s">
        <v>186</v>
      </c>
      <c r="O909" t="s">
        <v>75</v>
      </c>
      <c r="P909" t="s">
        <v>76</v>
      </c>
      <c r="Q909" t="s">
        <v>1377</v>
      </c>
      <c r="R909" t="s">
        <v>51</v>
      </c>
      <c r="S909">
        <v>9</v>
      </c>
      <c r="T909">
        <v>3779.31</v>
      </c>
      <c r="U909" s="2">
        <f t="shared" si="161"/>
        <v>27211.032000000003</v>
      </c>
      <c r="V909" s="13">
        <v>0.2</v>
      </c>
      <c r="W909" s="2">
        <f t="shared" si="154"/>
        <v>0.2</v>
      </c>
      <c r="X909" s="2" t="str">
        <f t="shared" si="162"/>
        <v>Valid</v>
      </c>
      <c r="Y909" s="2" t="str">
        <f t="shared" si="163"/>
        <v>Clean</v>
      </c>
      <c r="Z909">
        <v>27322.9</v>
      </c>
      <c r="AA909">
        <v>17940.43</v>
      </c>
      <c r="AB909" s="2">
        <f t="shared" si="158"/>
        <v>9270.6020000000026</v>
      </c>
      <c r="AC909">
        <v>9270.6</v>
      </c>
      <c r="AD909" s="11">
        <f t="shared" si="164"/>
        <v>0.33929780513781482</v>
      </c>
      <c r="AE909" t="s">
        <v>33</v>
      </c>
      <c r="AF909" t="s">
        <v>104</v>
      </c>
    </row>
    <row r="910" spans="1:32">
      <c r="A910" t="s">
        <v>1813</v>
      </c>
      <c r="B910" s="2" t="str">
        <f t="shared" si="155"/>
        <v>Duplicate Order ID</v>
      </c>
      <c r="C910" s="2" t="str">
        <f t="shared" si="159"/>
        <v>Feb</v>
      </c>
      <c r="D910" s="2">
        <f t="shared" si="160"/>
        <v>2025</v>
      </c>
      <c r="E910" s="4">
        <v>45698</v>
      </c>
      <c r="F910" s="4">
        <v>45702</v>
      </c>
      <c r="G910" s="6">
        <f t="shared" si="156"/>
        <v>4</v>
      </c>
      <c r="H910" s="6" t="str">
        <f t="shared" si="157"/>
        <v>Valid</v>
      </c>
      <c r="I910" t="s">
        <v>1814</v>
      </c>
      <c r="J910" t="s">
        <v>115</v>
      </c>
      <c r="K910" t="s">
        <v>38</v>
      </c>
      <c r="L910" t="s">
        <v>26</v>
      </c>
      <c r="M910" t="s">
        <v>137</v>
      </c>
      <c r="O910" t="s">
        <v>75</v>
      </c>
      <c r="P910" t="s">
        <v>172</v>
      </c>
      <c r="Q910" t="s">
        <v>1815</v>
      </c>
      <c r="R910" s="2" t="s">
        <v>2793</v>
      </c>
      <c r="S910">
        <v>5</v>
      </c>
      <c r="T910">
        <v>4276.29</v>
      </c>
      <c r="U910" s="2">
        <f t="shared" si="161"/>
        <v>21381.45</v>
      </c>
      <c r="V910" s="13">
        <v>0</v>
      </c>
      <c r="W910" s="2">
        <f t="shared" si="154"/>
        <v>0</v>
      </c>
      <c r="X910" s="2" t="str">
        <f t="shared" si="162"/>
        <v>Valid</v>
      </c>
      <c r="Y910" s="2" t="str">
        <f t="shared" si="163"/>
        <v>Clean</v>
      </c>
      <c r="Z910">
        <v>21443.63</v>
      </c>
      <c r="AA910">
        <v>13240.21</v>
      </c>
      <c r="AB910" s="2">
        <f t="shared" si="158"/>
        <v>8141.2400000000016</v>
      </c>
      <c r="AC910">
        <v>8141.24</v>
      </c>
      <c r="AD910" s="11">
        <f t="shared" si="164"/>
        <v>0.37965773518755919</v>
      </c>
      <c r="AE910" t="s">
        <v>156</v>
      </c>
      <c r="AF910" t="s">
        <v>34</v>
      </c>
    </row>
    <row r="911" spans="1:32">
      <c r="A911" t="s">
        <v>537</v>
      </c>
      <c r="B911" s="2" t="str">
        <f t="shared" si="155"/>
        <v>Duplicate Order ID</v>
      </c>
      <c r="C911" s="2" t="str">
        <f t="shared" si="159"/>
        <v>Mar</v>
      </c>
      <c r="D911" s="2">
        <f t="shared" si="160"/>
        <v>2024</v>
      </c>
      <c r="E911" s="4">
        <v>45381</v>
      </c>
      <c r="F911" s="4">
        <v>45377</v>
      </c>
      <c r="G911" s="6">
        <f t="shared" si="156"/>
        <v>-4</v>
      </c>
      <c r="H911" s="6" t="str">
        <f t="shared" si="157"/>
        <v>Invalid: Ship Date Before Order Date</v>
      </c>
      <c r="I911" t="s">
        <v>538</v>
      </c>
      <c r="J911" t="s">
        <v>90</v>
      </c>
      <c r="K911" t="s">
        <v>96</v>
      </c>
      <c r="L911" t="s">
        <v>26</v>
      </c>
      <c r="M911" t="s">
        <v>27</v>
      </c>
      <c r="O911" t="s">
        <v>75</v>
      </c>
      <c r="P911" t="s">
        <v>172</v>
      </c>
      <c r="Q911" t="s">
        <v>539</v>
      </c>
      <c r="R911" t="s">
        <v>32</v>
      </c>
      <c r="S911">
        <v>5</v>
      </c>
      <c r="T911">
        <v>907.54</v>
      </c>
      <c r="U911" s="2">
        <f t="shared" si="161"/>
        <v>3857.0449999999996</v>
      </c>
      <c r="V911" s="13">
        <v>0.15</v>
      </c>
      <c r="W911" s="2">
        <f t="shared" si="154"/>
        <v>0.15</v>
      </c>
      <c r="X911" s="2" t="str">
        <f t="shared" si="162"/>
        <v>Valid</v>
      </c>
      <c r="Y911" s="2" t="str">
        <f t="shared" si="163"/>
        <v>Invalid</v>
      </c>
      <c r="Z911">
        <v>4099.6899999999996</v>
      </c>
      <c r="AA911">
        <v>2769.26</v>
      </c>
      <c r="AB911" s="2">
        <f t="shared" si="158"/>
        <v>1087.7849999999994</v>
      </c>
      <c r="AC911">
        <v>1087.78</v>
      </c>
      <c r="AD911" s="11">
        <f t="shared" si="164"/>
        <v>0.26533225682917488</v>
      </c>
      <c r="AE911" t="s">
        <v>33</v>
      </c>
      <c r="AF911" t="s">
        <v>104</v>
      </c>
    </row>
    <row r="912" spans="1:32">
      <c r="A912" t="s">
        <v>924</v>
      </c>
      <c r="B912" s="2" t="str">
        <f t="shared" si="155"/>
        <v>Duplicate Order ID</v>
      </c>
      <c r="C912" s="2" t="str">
        <f t="shared" si="159"/>
        <v>Aug</v>
      </c>
      <c r="D912" s="2">
        <f t="shared" si="160"/>
        <v>2024</v>
      </c>
      <c r="E912" s="4">
        <v>45522</v>
      </c>
      <c r="F912" s="4">
        <v>45528</v>
      </c>
      <c r="G912" s="6">
        <f t="shared" si="156"/>
        <v>6</v>
      </c>
      <c r="H912" s="6" t="str">
        <f t="shared" si="157"/>
        <v>Valid</v>
      </c>
      <c r="I912" t="s">
        <v>925</v>
      </c>
      <c r="J912" t="s">
        <v>54</v>
      </c>
      <c r="K912" t="s">
        <v>25</v>
      </c>
      <c r="L912" t="s">
        <v>55</v>
      </c>
      <c r="M912" t="s">
        <v>85</v>
      </c>
      <c r="O912" t="s">
        <v>42</v>
      </c>
      <c r="P912" t="s">
        <v>67</v>
      </c>
      <c r="Q912" t="s">
        <v>926</v>
      </c>
      <c r="R912" t="s">
        <v>51</v>
      </c>
      <c r="S912">
        <v>7</v>
      </c>
      <c r="T912">
        <v>557.21</v>
      </c>
      <c r="U912" s="2">
        <f t="shared" si="161"/>
        <v>3510.4230000000002</v>
      </c>
      <c r="V912" s="13">
        <v>0.1</v>
      </c>
      <c r="W912" s="2">
        <f t="shared" si="154"/>
        <v>0.1</v>
      </c>
      <c r="X912" s="2" t="str">
        <f t="shared" si="162"/>
        <v>Valid</v>
      </c>
      <c r="Y912" s="2" t="str">
        <f t="shared" si="163"/>
        <v>Clean</v>
      </c>
      <c r="Z912">
        <v>3797.79</v>
      </c>
      <c r="AA912">
        <v>2191.5</v>
      </c>
      <c r="AB912" s="2">
        <f t="shared" si="158"/>
        <v>1318.9230000000002</v>
      </c>
      <c r="AC912">
        <v>1213.48</v>
      </c>
      <c r="AD912" s="11">
        <f t="shared" si="164"/>
        <v>0.31952266976320443</v>
      </c>
      <c r="AE912" t="s">
        <v>33</v>
      </c>
      <c r="AF912" t="s">
        <v>104</v>
      </c>
    </row>
    <row r="913" spans="1:32">
      <c r="A913" t="s">
        <v>480</v>
      </c>
      <c r="B913" s="2" t="str">
        <f t="shared" si="155"/>
        <v>Duplicate Order ID</v>
      </c>
      <c r="C913" s="2" t="str">
        <f t="shared" si="159"/>
        <v>May</v>
      </c>
      <c r="D913" s="2">
        <f t="shared" si="160"/>
        <v>2024</v>
      </c>
      <c r="E913" s="4">
        <v>45436</v>
      </c>
      <c r="F913" s="4">
        <v>45437</v>
      </c>
      <c r="G913" s="6">
        <f t="shared" si="156"/>
        <v>1</v>
      </c>
      <c r="H913" s="6" t="str">
        <f t="shared" si="157"/>
        <v>Valid</v>
      </c>
      <c r="I913" t="s">
        <v>481</v>
      </c>
      <c r="J913" t="s">
        <v>133</v>
      </c>
      <c r="K913" t="s">
        <v>38</v>
      </c>
      <c r="L913" t="s">
        <v>26</v>
      </c>
      <c r="M913" t="s">
        <v>123</v>
      </c>
      <c r="O913" t="s">
        <v>75</v>
      </c>
      <c r="P913" t="s">
        <v>81</v>
      </c>
      <c r="Q913" t="s">
        <v>482</v>
      </c>
      <c r="R913" t="s">
        <v>45</v>
      </c>
      <c r="S913">
        <v>1</v>
      </c>
      <c r="T913">
        <v>634.13</v>
      </c>
      <c r="U913" s="2">
        <f t="shared" si="161"/>
        <v>634.13</v>
      </c>
      <c r="V913" s="13">
        <v>0</v>
      </c>
      <c r="W913" s="2">
        <f t="shared" si="154"/>
        <v>0</v>
      </c>
      <c r="X913" s="2" t="str">
        <f t="shared" si="162"/>
        <v>Valid</v>
      </c>
      <c r="Y913" s="2" t="str">
        <f t="shared" si="163"/>
        <v>Clean</v>
      </c>
      <c r="Z913">
        <v>808.67</v>
      </c>
      <c r="AA913">
        <v>453.35</v>
      </c>
      <c r="AB913" s="2">
        <f t="shared" si="158"/>
        <v>180.77999999999997</v>
      </c>
      <c r="AC913">
        <v>180.78</v>
      </c>
      <c r="AD913" s="11">
        <f t="shared" si="164"/>
        <v>0.22355225246392227</v>
      </c>
      <c r="AE913" t="s">
        <v>103</v>
      </c>
      <c r="AF913" t="s">
        <v>104</v>
      </c>
    </row>
    <row r="914" spans="1:32">
      <c r="A914" t="s">
        <v>1112</v>
      </c>
      <c r="B914" s="2" t="str">
        <f t="shared" si="155"/>
        <v>Duplicate Order ID</v>
      </c>
      <c r="C914" s="2" t="str">
        <f t="shared" si="159"/>
        <v>Jun</v>
      </c>
      <c r="D914" s="2">
        <f t="shared" si="160"/>
        <v>2025</v>
      </c>
      <c r="E914" s="4">
        <v>45824</v>
      </c>
      <c r="F914" s="4">
        <v>45826</v>
      </c>
      <c r="G914" s="6">
        <f t="shared" si="156"/>
        <v>2</v>
      </c>
      <c r="H914" s="6" t="str">
        <f t="shared" si="157"/>
        <v>Valid</v>
      </c>
      <c r="I914" t="s">
        <v>1113</v>
      </c>
      <c r="J914" t="s">
        <v>119</v>
      </c>
      <c r="K914" t="s">
        <v>96</v>
      </c>
      <c r="L914" t="s">
        <v>64</v>
      </c>
      <c r="M914" t="s">
        <v>73</v>
      </c>
      <c r="O914" t="s">
        <v>29</v>
      </c>
      <c r="P914" t="s">
        <v>30</v>
      </c>
      <c r="Q914" t="s">
        <v>1114</v>
      </c>
      <c r="R914" t="s">
        <v>51</v>
      </c>
      <c r="S914">
        <v>3</v>
      </c>
      <c r="T914">
        <v>4289.37</v>
      </c>
      <c r="U914" s="2">
        <f t="shared" si="161"/>
        <v>11581.299000000001</v>
      </c>
      <c r="V914" s="13">
        <v>0.1</v>
      </c>
      <c r="W914" s="2">
        <f t="shared" si="154"/>
        <v>0.1</v>
      </c>
      <c r="X914" s="2" t="str">
        <f t="shared" si="162"/>
        <v>Valid</v>
      </c>
      <c r="Y914" s="2" t="str">
        <f t="shared" si="163"/>
        <v>Clean</v>
      </c>
      <c r="Z914">
        <v>11778.71</v>
      </c>
      <c r="AA914">
        <v>6829.43</v>
      </c>
      <c r="AB914" s="2">
        <f t="shared" si="158"/>
        <v>4751.8690000000006</v>
      </c>
      <c r="AC914">
        <v>4751.87</v>
      </c>
      <c r="AD914" s="11">
        <f t="shared" si="164"/>
        <v>0.40342872861289564</v>
      </c>
      <c r="AE914" t="s">
        <v>33</v>
      </c>
      <c r="AF914" t="s">
        <v>104</v>
      </c>
    </row>
  </sheetData>
  <autoFilter ref="A1:AF914"/>
  <conditionalFormatting sqref="A1:B1 A2:D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25"/>
  <cols>
    <col min="1" max="2" width="28" style="2" customWidth="1"/>
  </cols>
  <sheetData>
    <row r="1" spans="1:2" ht="27.95" customHeight="1">
      <c r="A1" s="1" t="s">
        <v>2770</v>
      </c>
      <c r="B1" s="1" t="s">
        <v>2771</v>
      </c>
    </row>
    <row r="2" spans="1:2" ht="42.75" customHeight="1">
      <c r="A2" s="3" t="s">
        <v>2772</v>
      </c>
      <c r="B2" s="3" t="s">
        <v>2773</v>
      </c>
    </row>
    <row r="3" spans="1:2" ht="28.5" customHeight="1">
      <c r="A3" s="3" t="s">
        <v>2774</v>
      </c>
      <c r="B3" s="3" t="s">
        <v>2775</v>
      </c>
    </row>
    <row r="4" spans="1:2" ht="28.5" customHeight="1">
      <c r="A4" s="3" t="s">
        <v>2776</v>
      </c>
      <c r="B4" s="3" t="s">
        <v>2775</v>
      </c>
    </row>
    <row r="5" spans="1:2" ht="28.5" customHeight="1">
      <c r="A5" s="3" t="s">
        <v>2777</v>
      </c>
      <c r="B5" s="3" t="s">
        <v>2778</v>
      </c>
    </row>
    <row r="6" spans="1:2" ht="42.75" customHeight="1">
      <c r="A6" s="3" t="s">
        <v>2779</v>
      </c>
      <c r="B6" s="3" t="s">
        <v>2780</v>
      </c>
    </row>
    <row r="7" spans="1:2" ht="57" customHeight="1">
      <c r="A7" s="3" t="s">
        <v>2781</v>
      </c>
      <c r="B7" s="3" t="s">
        <v>2782</v>
      </c>
    </row>
    <row r="8" spans="1:2" ht="28.5" customHeight="1">
      <c r="A8" s="3" t="s">
        <v>2783</v>
      </c>
      <c r="B8" s="3" t="s">
        <v>2784</v>
      </c>
    </row>
    <row r="9" spans="1:2" ht="42.75" customHeight="1">
      <c r="A9" s="3" t="s">
        <v>2785</v>
      </c>
      <c r="B9" s="3" t="s">
        <v>2786</v>
      </c>
    </row>
    <row r="10" spans="1:2" ht="71.25" customHeight="1">
      <c r="A10" s="3" t="s">
        <v>2787</v>
      </c>
      <c r="B10" s="3" t="s">
        <v>2788</v>
      </c>
    </row>
    <row r="11" spans="1:2" ht="42.75" customHeight="1">
      <c r="A11" s="3" t="s">
        <v>2789</v>
      </c>
      <c r="B11" s="3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Sales_Profit_Region</vt:lpstr>
      <vt:lpstr>Category_SubCategory</vt:lpstr>
      <vt:lpstr>Ship_Mode</vt:lpstr>
      <vt:lpstr>Customer_Segment</vt:lpstr>
      <vt:lpstr>Order_Status</vt:lpstr>
      <vt:lpstr>Monthly_Sales</vt:lpstr>
      <vt:lpstr>cleaned_orders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2026-06-24T07:45:16Z</dcterms:created>
  <dcterms:modified xsi:type="dcterms:W3CDTF">2026-06-27T15:00:17Z</dcterms:modified>
</cp:coreProperties>
</file>